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Meu Drive\Pessoal\Financeiro\2023\"/>
    </mc:Choice>
  </mc:AlternateContent>
  <xr:revisionPtr revIDLastSave="0" documentId="13_ncr:1_{0B4ECF8B-AA35-4DB6-B0CE-BC7A9296ACD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endas" sheetId="1" r:id="rId1"/>
    <sheet name="Rifas" sheetId="7" state="hidden" r:id="rId2"/>
  </sheets>
  <definedNames>
    <definedName name="_xlnm._FilterDatabase" localSheetId="0" hidden="1">Vendas!$A$1:$I$531</definedName>
    <definedName name="leo" localSheetId="0" hidden="1">Vendas!#REF!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34" i="1" l="1"/>
  <c r="D534" i="1"/>
  <c r="G522" i="1"/>
  <c r="G523" i="1"/>
  <c r="G524" i="1"/>
  <c r="G525" i="1"/>
  <c r="G526" i="1"/>
  <c r="G527" i="1"/>
  <c r="G528" i="1"/>
  <c r="G529" i="1"/>
  <c r="G530" i="1"/>
  <c r="G504" i="1"/>
  <c r="G505" i="1"/>
  <c r="G509" i="1"/>
  <c r="G502" i="1"/>
  <c r="G521" i="1"/>
  <c r="G520" i="1"/>
  <c r="G506" i="1"/>
  <c r="G508" i="1"/>
  <c r="G512" i="1"/>
  <c r="G517" i="1"/>
  <c r="G518" i="1"/>
  <c r="F470" i="1" l="1"/>
  <c r="G478" i="1"/>
  <c r="G469" i="1"/>
  <c r="G477" i="1"/>
  <c r="G462" i="1"/>
  <c r="G481" i="1"/>
  <c r="G463" i="1"/>
  <c r="G492" i="1"/>
  <c r="G490" i="1"/>
  <c r="G486" i="1"/>
  <c r="G475" i="1"/>
  <c r="G487" i="1"/>
  <c r="G483" i="1"/>
  <c r="G493" i="1"/>
  <c r="G471" i="1"/>
  <c r="G500" i="1"/>
  <c r="G488" i="1"/>
  <c r="G474" i="1"/>
  <c r="G473" i="1"/>
  <c r="G480" i="1"/>
  <c r="G444" i="1"/>
  <c r="G392" i="1"/>
  <c r="G466" i="1"/>
  <c r="G484" i="1"/>
  <c r="G468" i="1"/>
  <c r="G496" i="1"/>
  <c r="G489" i="1"/>
  <c r="G464" i="1"/>
  <c r="G491" i="1"/>
  <c r="G495" i="1"/>
  <c r="G494" i="1"/>
  <c r="G497" i="1"/>
  <c r="G499" i="1"/>
  <c r="G467" i="1"/>
  <c r="G501" i="1"/>
  <c r="G485" i="1"/>
  <c r="G476" i="1"/>
  <c r="G498" i="1"/>
  <c r="G472" i="1"/>
  <c r="G482" i="1"/>
  <c r="G465" i="1"/>
  <c r="G479" i="1"/>
  <c r="G507" i="1"/>
  <c r="G514" i="1"/>
  <c r="G510" i="1"/>
  <c r="G516" i="1"/>
  <c r="G515" i="1"/>
  <c r="G519" i="1"/>
  <c r="G503" i="1"/>
  <c r="G513" i="1"/>
  <c r="G511" i="1"/>
  <c r="G391" i="1"/>
  <c r="E438" i="1"/>
  <c r="G437" i="1"/>
  <c r="G432" i="1"/>
  <c r="G534" i="1" l="1"/>
  <c r="G470" i="1"/>
  <c r="G427" i="1"/>
  <c r="G395" i="1"/>
  <c r="G433" i="1"/>
  <c r="G458" i="1"/>
  <c r="G412" i="1"/>
  <c r="G400" i="1"/>
  <c r="G438" i="1"/>
  <c r="G453" i="1"/>
  <c r="G405" i="1"/>
  <c r="G436" i="1"/>
  <c r="G398" i="1"/>
  <c r="G397" i="1"/>
  <c r="G415" i="1"/>
  <c r="E393" i="1"/>
  <c r="G393" i="1" s="1"/>
  <c r="G414" i="1"/>
  <c r="F401" i="1"/>
  <c r="E401" i="1"/>
  <c r="G442" i="1"/>
  <c r="G409" i="1"/>
  <c r="G429" i="1"/>
  <c r="G423" i="1"/>
  <c r="G441" i="1"/>
  <c r="G402" i="1"/>
  <c r="G435" i="1"/>
  <c r="G396" i="1"/>
  <c r="G456" i="1"/>
  <c r="G448" i="1"/>
  <c r="G457" i="1"/>
  <c r="E404" i="1"/>
  <c r="G404" i="1" s="1"/>
  <c r="G440" i="1"/>
  <c r="E410" i="1"/>
  <c r="G410" i="1" s="1"/>
  <c r="E413" i="1"/>
  <c r="G413" i="1" s="1"/>
  <c r="G461" i="1"/>
  <c r="G420" i="1"/>
  <c r="G419" i="1"/>
  <c r="G418" i="1"/>
  <c r="G384" i="1"/>
  <c r="G421" i="1"/>
  <c r="G451" i="1"/>
  <c r="G407" i="1"/>
  <c r="G390" i="1"/>
  <c r="G446" i="1"/>
  <c r="G417" i="1"/>
  <c r="G460" i="1"/>
  <c r="G425" i="1"/>
  <c r="G454" i="1"/>
  <c r="G411" i="1"/>
  <c r="G408" i="1"/>
  <c r="G424" i="1"/>
  <c r="G455" i="1"/>
  <c r="G403" i="1"/>
  <c r="G459" i="1"/>
  <c r="G447" i="1"/>
  <c r="G450" i="1"/>
  <c r="G452" i="1"/>
  <c r="G394" i="1"/>
  <c r="G416" i="1"/>
  <c r="G439" i="1"/>
  <c r="G434" i="1"/>
  <c r="G430" i="1"/>
  <c r="G399" i="1"/>
  <c r="G422" i="1"/>
  <c r="G449" i="1"/>
  <c r="G406" i="1"/>
  <c r="G445" i="1"/>
  <c r="G428" i="1"/>
  <c r="G443" i="1"/>
  <c r="G426" i="1"/>
  <c r="G431" i="1"/>
  <c r="G401" i="1" l="1"/>
  <c r="G382" i="1"/>
  <c r="G381" i="1"/>
  <c r="G380" i="1"/>
  <c r="G373" i="1" l="1"/>
  <c r="G360" i="1"/>
  <c r="G348" i="1"/>
  <c r="G347" i="1"/>
  <c r="G363" i="1"/>
  <c r="G345" i="1"/>
  <c r="G343" i="1"/>
  <c r="G342" i="1"/>
  <c r="G383" i="1"/>
  <c r="G371" i="1"/>
  <c r="G385" i="1"/>
  <c r="G359" i="1"/>
  <c r="G341" i="1"/>
  <c r="G355" i="1"/>
  <c r="G378" i="1"/>
  <c r="G389" i="1"/>
  <c r="G366" i="1"/>
  <c r="G374" i="1"/>
  <c r="G367" i="1"/>
  <c r="G350" i="1"/>
  <c r="G351" i="1"/>
  <c r="G375" i="1"/>
  <c r="G354" i="1"/>
  <c r="G372" i="1"/>
  <c r="G357" i="1"/>
  <c r="G368" i="1"/>
  <c r="G344" i="1"/>
  <c r="G387" i="1"/>
  <c r="G353" i="1"/>
  <c r="G376" i="1"/>
  <c r="G352" i="1"/>
  <c r="G358" i="1"/>
  <c r="G379" i="1"/>
  <c r="G361" i="1"/>
  <c r="G386" i="1"/>
  <c r="G346" i="1"/>
  <c r="G370" i="1"/>
  <c r="G349" i="1"/>
  <c r="G388" i="1"/>
  <c r="G377" i="1"/>
  <c r="G369" i="1"/>
  <c r="G365" i="1"/>
  <c r="G356" i="1"/>
  <c r="G364" i="1"/>
  <c r="G362" i="1"/>
  <c r="G338" i="1"/>
  <c r="G303" i="1"/>
  <c r="G289" i="1"/>
  <c r="G310" i="1"/>
  <c r="G291" i="1"/>
  <c r="G317" i="1"/>
  <c r="E304" i="1"/>
  <c r="G304" i="1" s="1"/>
  <c r="E300" i="1"/>
  <c r="G300" i="1" s="1"/>
  <c r="E299" i="1"/>
  <c r="G299" i="1" s="1"/>
  <c r="G306" i="1"/>
  <c r="G327" i="1"/>
  <c r="G339" i="1"/>
  <c r="G311" i="1"/>
  <c r="G326" i="1"/>
  <c r="G318" i="1"/>
  <c r="G286" i="1"/>
  <c r="G336" i="1"/>
  <c r="G321" i="1"/>
  <c r="G284" i="1"/>
  <c r="G328" i="1"/>
  <c r="G329" i="1"/>
  <c r="G309" i="1"/>
  <c r="G323" i="1"/>
  <c r="G290" i="1"/>
  <c r="G298" i="1"/>
  <c r="G333" i="1"/>
  <c r="G330" i="1"/>
  <c r="G283" i="1"/>
  <c r="G340" i="1"/>
  <c r="G296" i="1"/>
  <c r="G312" i="1"/>
  <c r="G324" i="1"/>
  <c r="G322" i="1"/>
  <c r="G331" i="1"/>
  <c r="G292" i="1"/>
  <c r="G302" i="1"/>
  <c r="G332" i="1"/>
  <c r="G285" i="1"/>
  <c r="G313" i="1"/>
  <c r="G314" i="1"/>
  <c r="E301" i="1"/>
  <c r="G301" i="1" s="1"/>
  <c r="E293" i="1"/>
  <c r="G293" i="1" s="1"/>
  <c r="G337" i="1"/>
  <c r="G320" i="1"/>
  <c r="G319" i="1"/>
  <c r="G297" i="1"/>
  <c r="G315" i="1"/>
  <c r="G335" i="1"/>
  <c r="G288" i="1"/>
  <c r="G316" i="1"/>
  <c r="G282" i="1"/>
  <c r="G325" i="1"/>
  <c r="G307" i="1"/>
  <c r="G305" i="1"/>
  <c r="G287" i="1"/>
  <c r="G334" i="1"/>
  <c r="G308" i="1"/>
  <c r="G295" i="1"/>
  <c r="G294" i="1"/>
  <c r="G273" i="1"/>
  <c r="G268" i="1"/>
  <c r="G279" i="1"/>
  <c r="G272" i="1"/>
  <c r="G274" i="1"/>
  <c r="G278" i="1"/>
  <c r="G269" i="1"/>
  <c r="G270" i="1"/>
  <c r="G271" i="1"/>
  <c r="G276" i="1"/>
  <c r="G277" i="1"/>
  <c r="G281" i="1"/>
  <c r="G280" i="1"/>
  <c r="G275" i="1"/>
  <c r="G262" i="1"/>
  <c r="G259" i="1"/>
  <c r="G249" i="1"/>
  <c r="G257" i="1"/>
  <c r="G266" i="1"/>
  <c r="G248" i="1"/>
  <c r="G260" i="1"/>
  <c r="G261" i="1"/>
  <c r="G247" i="1"/>
  <c r="G265" i="1" l="1"/>
  <c r="G255" i="1"/>
  <c r="G256" i="1"/>
  <c r="G253" i="1"/>
  <c r="G258" i="1"/>
  <c r="G252" i="1"/>
  <c r="G264" i="1"/>
  <c r="G251" i="1"/>
  <c r="G241" i="1"/>
  <c r="G229" i="1"/>
  <c r="G227" i="1"/>
  <c r="G217" i="1"/>
  <c r="G216" i="1"/>
  <c r="G205" i="1"/>
  <c r="G203" i="1"/>
  <c r="G202" i="1"/>
  <c r="G200" i="1"/>
  <c r="G243" i="1"/>
  <c r="G230" i="1"/>
  <c r="G211" i="1"/>
  <c r="G206" i="1"/>
  <c r="G221" i="1"/>
  <c r="G204" i="1"/>
  <c r="G85" i="1"/>
  <c r="G108" i="1"/>
  <c r="G86" i="1"/>
  <c r="G124" i="1"/>
  <c r="G71" i="1"/>
  <c r="G83" i="1"/>
  <c r="G87" i="1"/>
  <c r="G89" i="1"/>
  <c r="G75" i="1"/>
  <c r="G76" i="1"/>
  <c r="G125" i="1"/>
  <c r="G122" i="1"/>
  <c r="G80" i="1"/>
  <c r="G90" i="1"/>
  <c r="G104" i="1"/>
  <c r="G94" i="1"/>
  <c r="G121" i="1"/>
  <c r="G91" i="1"/>
  <c r="G105" i="1"/>
  <c r="G106" i="1"/>
  <c r="G78" i="1"/>
  <c r="G79" i="1"/>
  <c r="G107" i="1"/>
  <c r="G101" i="1"/>
  <c r="G73" i="1"/>
  <c r="G99" i="1"/>
  <c r="G109" i="1"/>
  <c r="G110" i="1"/>
  <c r="G111" i="1"/>
  <c r="G112" i="1"/>
  <c r="G250" i="1"/>
  <c r="G254" i="1"/>
  <c r="G263" i="1"/>
  <c r="G246" i="1"/>
  <c r="G267" i="1"/>
  <c r="G127" i="1"/>
  <c r="G240" i="1"/>
  <c r="G197" i="1"/>
  <c r="G196" i="1"/>
  <c r="G225" i="1"/>
  <c r="G220" i="1"/>
  <c r="G228" i="1"/>
  <c r="G224" i="1"/>
  <c r="G201" i="1"/>
  <c r="G207" i="1"/>
  <c r="G234" i="1"/>
  <c r="G226" i="1"/>
  <c r="G212" i="1"/>
  <c r="G218" i="1"/>
  <c r="G192" i="1"/>
  <c r="G232" i="1"/>
  <c r="G195" i="1"/>
  <c r="G233" i="1"/>
  <c r="G245" i="1"/>
  <c r="G239" i="1"/>
  <c r="G223" i="1"/>
  <c r="G191" i="1"/>
  <c r="G237" i="1"/>
  <c r="G238" i="1"/>
  <c r="G219" i="1"/>
  <c r="G208" i="1"/>
  <c r="G194" i="1"/>
  <c r="G235" i="1"/>
  <c r="G214" i="1"/>
  <c r="G213" i="1"/>
  <c r="G222" i="1"/>
  <c r="G231" i="1"/>
  <c r="G193" i="1"/>
  <c r="G215" i="1"/>
  <c r="G198" i="1"/>
  <c r="G199" i="1"/>
  <c r="G209" i="1"/>
  <c r="G210" i="1"/>
  <c r="G236" i="1"/>
  <c r="G242" i="1"/>
  <c r="G244" i="1"/>
  <c r="G147" i="1"/>
  <c r="G160" i="1"/>
  <c r="G166" i="1"/>
  <c r="G168" i="1"/>
  <c r="G146" i="1"/>
  <c r="G133" i="1"/>
  <c r="G132" i="1"/>
  <c r="G131" i="1"/>
  <c r="G130" i="1"/>
  <c r="G170" i="1"/>
  <c r="G149" i="1"/>
  <c r="G145" i="1"/>
  <c r="G136" i="1"/>
  <c r="G140" i="1"/>
  <c r="G159" i="1"/>
  <c r="G167" i="1"/>
  <c r="G139" i="1"/>
  <c r="G163" i="1"/>
  <c r="G165" i="1"/>
  <c r="G134" i="1"/>
  <c r="G158" i="1"/>
  <c r="G129" i="1"/>
  <c r="G151" i="1"/>
  <c r="G141" i="1"/>
  <c r="G150" i="1"/>
  <c r="G148" i="1"/>
  <c r="G161" i="1"/>
  <c r="G154" i="1"/>
  <c r="G142" i="1"/>
  <c r="G156" i="1"/>
  <c r="G152" i="1"/>
  <c r="G144" i="1"/>
  <c r="G138" i="1"/>
  <c r="G143" i="1"/>
  <c r="G128" i="1"/>
  <c r="G153" i="1"/>
  <c r="G135" i="1"/>
  <c r="G155" i="1"/>
  <c r="G169" i="1"/>
  <c r="G126" i="1"/>
  <c r="G157" i="1"/>
  <c r="G183" i="1"/>
  <c r="G174" i="1"/>
  <c r="G184" i="1"/>
  <c r="G172" i="1"/>
  <c r="G178" i="1"/>
  <c r="G190" i="1"/>
  <c r="G173" i="1"/>
  <c r="G187" i="1"/>
  <c r="G186" i="1"/>
  <c r="G162" i="1"/>
  <c r="G137" i="1"/>
  <c r="G164" i="1"/>
  <c r="G2" i="1" l="1"/>
  <c r="G3" i="1"/>
  <c r="G4" i="1"/>
  <c r="G5" i="1"/>
  <c r="G6" i="1"/>
  <c r="G7" i="1"/>
  <c r="G14" i="1"/>
  <c r="G15" i="1"/>
  <c r="G22" i="1"/>
  <c r="G32" i="1"/>
  <c r="G39" i="1"/>
  <c r="G40" i="1"/>
  <c r="G41" i="1"/>
  <c r="G42" i="1"/>
  <c r="G43" i="1"/>
  <c r="G46" i="1"/>
  <c r="G60" i="1"/>
  <c r="G51" i="1"/>
  <c r="G50" i="1"/>
  <c r="G52" i="1"/>
  <c r="G56" i="1"/>
  <c r="G61" i="1"/>
  <c r="G63" i="1"/>
  <c r="G64" i="1"/>
  <c r="G65" i="1"/>
  <c r="G67" i="1"/>
  <c r="G8" i="1"/>
  <c r="G21" i="1"/>
  <c r="G16" i="1" l="1"/>
  <c r="G54" i="1"/>
  <c r="G53" i="1"/>
  <c r="G62" i="1"/>
  <c r="G57" i="1"/>
  <c r="G38" i="1"/>
  <c r="G48" i="1"/>
  <c r="G47" i="1"/>
  <c r="G37" i="1"/>
  <c r="G12" i="1"/>
  <c r="G30" i="1"/>
  <c r="G29" i="1"/>
  <c r="G28" i="1"/>
  <c r="G45" i="1"/>
  <c r="G44" i="1"/>
  <c r="G27" i="1"/>
  <c r="G10" i="1"/>
  <c r="G9" i="1"/>
  <c r="G36" i="1"/>
  <c r="G35" i="1"/>
  <c r="G20" i="1"/>
  <c r="G19" i="1"/>
  <c r="G49" i="1"/>
  <c r="G13" i="1"/>
  <c r="G11" i="1"/>
  <c r="G26" i="1"/>
  <c r="G25" i="1"/>
  <c r="G34" i="1"/>
  <c r="G55" i="1"/>
  <c r="G66" i="1"/>
  <c r="G24" i="1"/>
  <c r="G23" i="1"/>
  <c r="G33" i="1"/>
  <c r="G31" i="1"/>
  <c r="G18" i="1"/>
  <c r="G17" i="1"/>
  <c r="G59" i="1"/>
  <c r="G58" i="1"/>
</calcChain>
</file>

<file path=xl/sharedStrings.xml><?xml version="1.0" encoding="utf-8"?>
<sst xmlns="http://schemas.openxmlformats.org/spreadsheetml/2006/main" count="2105" uniqueCount="275">
  <si>
    <t>Lucro</t>
  </si>
  <si>
    <t>Situação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</si>
  <si>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</si>
  <si>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</si>
  <si>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</si>
  <si>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</si>
  <si>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</si>
  <si>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</si>
  <si>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</si>
  <si>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</si>
  <si>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</si>
  <si>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</si>
  <si>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</si>
  <si>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</si>
  <si>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Nome</t>
  </si>
  <si>
    <t>Produto</t>
  </si>
  <si>
    <t>refletor solar</t>
  </si>
  <si>
    <t>Capinha iphone 11</t>
  </si>
  <si>
    <t>teclado</t>
  </si>
  <si>
    <t>pilha</t>
  </si>
  <si>
    <t>caixa de som redonda</t>
  </si>
  <si>
    <t>maleta de ferramentas</t>
  </si>
  <si>
    <t>cabo tipo c</t>
  </si>
  <si>
    <t>led lua</t>
  </si>
  <si>
    <t>luz negra</t>
  </si>
  <si>
    <t>pufericador</t>
  </si>
  <si>
    <t>100 % Surpresa Pacotes De Presentes Da Sorte Para Produtos</t>
  </si>
  <si>
    <t>Alta Qualidade 3 Em 1 Caneta Laser Mini Lanterna Chaveiro</t>
  </si>
  <si>
    <t>Caixinha Som MH-38BT Caixa Potente Alta Bluetooth Usb FM</t>
  </si>
  <si>
    <t>Capa De Braço Suporte Braçadeira De Celular Corrida Academia</t>
  </si>
  <si>
    <t>Jogo Chave Torx Com Furo Torque Tork Curta 9 Pecas T10 -t50</t>
  </si>
  <si>
    <t>Kit Costura Agulha Linha</t>
  </si>
  <si>
    <t>Kit Poker Profissional Luxo Em Lata Com 100 Fichas</t>
  </si>
  <si>
    <t>Luminária de Led RGB c/ Caixa de Som (via Bluetooth)</t>
  </si>
  <si>
    <t>Máquina De Tosa Pet Clipper Cães Bivolt - Nanzhong</t>
  </si>
  <si>
    <t>Mouse Multilaser Classic Box Optico</t>
  </si>
  <si>
    <t>Pinças Em Aço 4 Formatos Diferentes</t>
  </si>
  <si>
    <t>Relógio Digital Silicone Prova D'água 50 metros</t>
  </si>
  <si>
    <t>Super Maçarico 150 mm Maçarico Portátil Simples Regulável</t>
  </si>
  <si>
    <t>Suporte Para Notebook E Tablet Plástico Regulável</t>
  </si>
  <si>
    <t>Transmissor modulador FM para carro Bluetooth X8 Plus 2USB</t>
  </si>
  <si>
    <t>vassoura magica</t>
  </si>
  <si>
    <t>antena corta linha</t>
  </si>
  <si>
    <t>fit flex academia</t>
  </si>
  <si>
    <t>Bleybleid</t>
  </si>
  <si>
    <t>viatura da policia</t>
  </si>
  <si>
    <t>Teclado simples</t>
  </si>
  <si>
    <t>caixa de som grande</t>
  </si>
  <si>
    <t>Fone airdots3</t>
  </si>
  <si>
    <t>jogo de pneus</t>
  </si>
  <si>
    <t>tablet criança</t>
  </si>
  <si>
    <t>radio transmissor</t>
  </si>
  <si>
    <t>Super Maçarico 150 mm Maçarico Portátil Simples Regulável bico</t>
  </si>
  <si>
    <t>cabo p2 para rca</t>
  </si>
  <si>
    <t>venda maquina</t>
  </si>
  <si>
    <t>calotas</t>
  </si>
  <si>
    <t>ralador in 12</t>
  </si>
  <si>
    <t>jogo chave de roda</t>
  </si>
  <si>
    <t>Fone Jbl950 Pro ( Super Qualidade Grave muito bom !!! ) 😱</t>
  </si>
  <si>
    <t>Dominó Profissional de Pvc - Azul</t>
  </si>
  <si>
    <t>Maçarico Portátil Profissional Encaixe 1,300°c Ignição Automática, Soldas</t>
  </si>
  <si>
    <t>Farol Traseira Bike Bicicleta Recarregável Lanterna Frontal com Led Vermelho e Azul</t>
  </si>
  <si>
    <t>Kit Arco De Serra Mágica 7 Peças Corta Tudo Multifuncional</t>
  </si>
  <si>
    <t>Kit Reparo Remendo Borracheiro Pneu Sem Câmara Carro Moto</t>
  </si>
  <si>
    <t>Unha Postiça Kits (contendo 20 unhas + cola ) Professional Instant Nail Tips</t>
  </si>
  <si>
    <t>Magalu</t>
  </si>
  <si>
    <t>Numero</t>
  </si>
  <si>
    <t>Telefone</t>
  </si>
  <si>
    <t>Rifa 01 Caixa de som</t>
  </si>
  <si>
    <t>Rifa 01 - Caixa de som - R$5,00</t>
  </si>
  <si>
    <t>Vendida</t>
  </si>
  <si>
    <t>Disponivel</t>
  </si>
  <si>
    <t>Realização do sorteio quando vender mais de 85% dos números 
Ganhador retirar produto</t>
  </si>
  <si>
    <t>Rifa 02 Smartwatch</t>
  </si>
  <si>
    <t>tela mosquiteiro</t>
  </si>
  <si>
    <t>Maquina de costura</t>
  </si>
  <si>
    <t>Kit ferramenta</t>
  </si>
  <si>
    <t>Jogo De Chave De Vela 6 Peças Monalisa</t>
  </si>
  <si>
    <t>Lenço de cabeça bluetooth música bluetooth chamável faixa esportiva corrida yoga música lenço na cabeça</t>
  </si>
  <si>
    <t>lanterna pilha simples</t>
  </si>
  <si>
    <t>papagaio</t>
  </si>
  <si>
    <t>micro sd</t>
  </si>
  <si>
    <t>mini charge</t>
  </si>
  <si>
    <t>triturado de carne</t>
  </si>
  <si>
    <t>pistola de ar</t>
  </si>
  <si>
    <t>ralador grande</t>
  </si>
  <si>
    <t>kit faca colorida</t>
  </si>
  <si>
    <t>Bateria A23 12v 1unidade Ótima Qualidade</t>
  </si>
  <si>
    <t>Brinquedo Juvenil Infantil Jogo de Cartas Uno 108 Cartas</t>
  </si>
  <si>
    <t>Cabo Adaptador Carrega Fone  P2 iPhone 7 8 X 11pro Max</t>
  </si>
  <si>
    <t>Calculadora Cientifica BK-82MS 240 Funções Capa Protetora</t>
  </si>
  <si>
    <t>Cali  Beyblade Burst B-127 De Metal Lançador Super Z Valkyrie Com/Brinquedo Para Crianças/Presente</t>
  </si>
  <si>
    <t>Case 2.5 Hd Externo Sim Notebook Ssd Ultra Sata Usb 3.0 Pc</t>
  </si>
  <si>
    <t>Fita Durex Rolinho 35 M - 1un</t>
  </si>
  <si>
    <t>Graxa para Uso Geral Marrom 90Grs - Dimec</t>
  </si>
  <si>
    <t>Kit de costura maleta completa 12cm de plástico</t>
  </si>
  <si>
    <t>Pilha Power UP AAA Tubo 4 unid. SEG5 - Segma</t>
  </si>
  <si>
    <t>Relógio De Parede Redondo Preto E Branco Nativo Analógico 23cm</t>
  </si>
  <si>
    <t>Solda Estanho Tubinho 63x37 1,0mm Azul 22g</t>
  </si>
  <si>
    <t>Super Cola Instantânea Metal Madeira e Plástico</t>
  </si>
  <si>
    <t>Gatilho simples</t>
  </si>
  <si>
    <t xml:space="preserve">Cabo v8 </t>
  </si>
  <si>
    <t>Carregador simples</t>
  </si>
  <si>
    <t>Lanterna cabeça</t>
  </si>
  <si>
    <t>luvinha</t>
  </si>
  <si>
    <t>cabo kingo tipoC</t>
  </si>
  <si>
    <t>fone de ouvido m32</t>
  </si>
  <si>
    <t>game boy 10k</t>
  </si>
  <si>
    <t>Cadeira camp</t>
  </si>
  <si>
    <t>cortador de linha pipa</t>
  </si>
  <si>
    <t>Trena laise</t>
  </si>
  <si>
    <t>BSB</t>
  </si>
  <si>
    <t xml:space="preserve">Creme passar na mão </t>
  </si>
  <si>
    <t>luz giratória</t>
  </si>
  <si>
    <t>garrafa térmica</t>
  </si>
  <si>
    <t>película 3d</t>
  </si>
  <si>
    <t>Alicate Para Descascar Desencapado De Fios 7 / 0,2 A 6mm</t>
  </si>
  <si>
    <t>Bolas LOL Surprese + 1 Boneca + 4 Cards Para Meninas</t>
  </si>
  <si>
    <t>Descascador Ralador Fatiado Frutas e Legumes 5 em 1</t>
  </si>
  <si>
    <t>Kit Acessórios Para Bomba De Ar Bicos Encher Bola 7 Pçs</t>
  </si>
  <si>
    <t>formatação / serviços</t>
  </si>
  <si>
    <t>Powebank</t>
  </si>
  <si>
    <t>mini fogão</t>
  </si>
  <si>
    <t>Smartwatch i8</t>
  </si>
  <si>
    <t>bomba d'agua elétrica</t>
  </si>
  <si>
    <t>Pássaros De Enfeite Mesa Canta Mexe Periquitos Robô Aves | Nanyju Brinquedos e Presentes</t>
  </si>
  <si>
    <t>lâmpada bluet</t>
  </si>
  <si>
    <t>lanterna ima</t>
  </si>
  <si>
    <t>Ebulidor Aquecedor Agua Portátil Quente 500w Mergulhão 220v</t>
  </si>
  <si>
    <t>kit dia das mães</t>
  </si>
  <si>
    <t>bomba d'água</t>
  </si>
  <si>
    <t>Marcador para Quadro Branco 6 peças - Yins Papers</t>
  </si>
  <si>
    <t>lousa magia 12pol</t>
  </si>
  <si>
    <t>lampião</t>
  </si>
  <si>
    <t>Kit Stanley caneca</t>
  </si>
  <si>
    <t>chave catraca</t>
  </si>
  <si>
    <t>Capa Cnh</t>
  </si>
  <si>
    <t>ADAPTADOR DVI P/ HDMI LE-5509 /GO</t>
  </si>
  <si>
    <t>Cabo hdmi vga</t>
  </si>
  <si>
    <t xml:space="preserve">Marmita </t>
  </si>
  <si>
    <t>cubo magico</t>
  </si>
  <si>
    <t>Cortador de legumes</t>
  </si>
  <si>
    <t>Copo Stanley</t>
  </si>
  <si>
    <t>Borboleta adesivo</t>
  </si>
  <si>
    <t>ssd 256gb</t>
  </si>
  <si>
    <t>Boombox</t>
  </si>
  <si>
    <t>meliuz</t>
  </si>
  <si>
    <t>TV box</t>
  </si>
  <si>
    <t>Fone de ouvido simples headset</t>
  </si>
  <si>
    <t>COLA BONDE SIMPLES</t>
  </si>
  <si>
    <t>bateria 9v</t>
  </si>
  <si>
    <t>microfone lapela 01</t>
  </si>
  <si>
    <t>microfone lapela 02</t>
  </si>
  <si>
    <t>fogao 1b</t>
  </si>
  <si>
    <t>kit pintura</t>
  </si>
  <si>
    <t>Papa bolinha</t>
  </si>
  <si>
    <t>Umidificador</t>
  </si>
  <si>
    <t>cavalo pula pula</t>
  </si>
  <si>
    <t>Parceria</t>
  </si>
  <si>
    <t>Aparelho de som</t>
  </si>
  <si>
    <t>tripe simples</t>
  </si>
  <si>
    <t>Chaves de vela</t>
  </si>
  <si>
    <t>Cadeado alarme</t>
  </si>
  <si>
    <t>Escova de dente eletrica</t>
  </si>
  <si>
    <t>kit bomba</t>
  </si>
  <si>
    <t>Umidificador lareira</t>
  </si>
  <si>
    <t>bateria 2026</t>
  </si>
  <si>
    <t>SWITH HDMI</t>
  </si>
  <si>
    <t>Bastao de selfie retratil</t>
  </si>
  <si>
    <t>ar condicionado</t>
  </si>
  <si>
    <t>sensor de porta</t>
  </si>
  <si>
    <t>suporte celular</t>
  </si>
  <si>
    <t>Puxadora Para Amassado</t>
  </si>
  <si>
    <t xml:space="preserve">Uno </t>
  </si>
  <si>
    <t>pau de self</t>
  </si>
  <si>
    <t>globo de luz galaxia</t>
  </si>
  <si>
    <t>cabo auxilia</t>
  </si>
  <si>
    <t>Kit Tesouras Reta</t>
  </si>
  <si>
    <t>Tv box</t>
  </si>
  <si>
    <t>Pula corda</t>
  </si>
  <si>
    <t>Capa RG</t>
  </si>
  <si>
    <t>Pelicula privacidade</t>
  </si>
  <si>
    <t>Carregador veicular</t>
  </si>
  <si>
    <t>Controle TV box</t>
  </si>
  <si>
    <t>SSD 420gb</t>
  </si>
  <si>
    <t xml:space="preserve">cortador de legumes </t>
  </si>
  <si>
    <t xml:space="preserve">Para gopro hero/capacete </t>
  </si>
  <si>
    <t>CELULAR INFANTIL MUSICAL</t>
  </si>
  <si>
    <t>Airdrop</t>
  </si>
  <si>
    <t>Cordinha crachar</t>
  </si>
  <si>
    <t>Pilhas Aparelho Auditivo A10</t>
  </si>
  <si>
    <t>CHAVE Mandril 3/8"</t>
  </si>
  <si>
    <t>Tela Mosquiteiro</t>
  </si>
  <si>
    <t>Mini lanterna lase</t>
  </si>
  <si>
    <t xml:space="preserve">Passaros De Enfeite </t>
  </si>
  <si>
    <t>climatizador</t>
  </si>
  <si>
    <t xml:space="preserve">Kit Adesivos Decorativos </t>
  </si>
  <si>
    <t>Ferramenta Puxadora</t>
  </si>
  <si>
    <t>Shopee CNPJ</t>
  </si>
  <si>
    <t>Shopee CPF</t>
  </si>
  <si>
    <t>Mini lanterna</t>
  </si>
  <si>
    <t>case hd</t>
  </si>
  <si>
    <t>Chave Para Mandril 4</t>
  </si>
  <si>
    <t>Gel Para Massagem</t>
  </si>
  <si>
    <t>Cheirinho para Carro Harts by Hungria</t>
  </si>
  <si>
    <t xml:space="preserve">Suporte De Tablet Para Carros </t>
  </si>
  <si>
    <t>Memory Card 8mb</t>
  </si>
  <si>
    <t xml:space="preserve">Barra Rítmica </t>
  </si>
  <si>
    <t>Suporte de Crachá</t>
  </si>
  <si>
    <t>Kit Mini Fusível</t>
  </si>
  <si>
    <t>Funko Pop Naruto Kakashi</t>
  </si>
  <si>
    <t xml:space="preserve">Lanterna x-900 </t>
  </si>
  <si>
    <t>Fone Jbl950 Pro</t>
  </si>
  <si>
    <t>Caixa de som jbl</t>
  </si>
  <si>
    <t>Kit Adesivos Decorativos</t>
  </si>
  <si>
    <t>Caminhão brinquedo controle</t>
  </si>
  <si>
    <t xml:space="preserve">Pelicula 3d </t>
  </si>
  <si>
    <t>Astronalta</t>
  </si>
  <si>
    <t>Led</t>
  </si>
  <si>
    <t>Barbeador</t>
  </si>
  <si>
    <t>Cabo Adaptador Y P3 P2</t>
  </si>
  <si>
    <t>Caixa de som</t>
  </si>
  <si>
    <t>Pendrive</t>
  </si>
  <si>
    <t>lapela</t>
  </si>
  <si>
    <t>mini lanterna</t>
  </si>
  <si>
    <t>Pelicula relogio</t>
  </si>
  <si>
    <t>pulseira relocio</t>
  </si>
  <si>
    <t>Suporte gopro</t>
  </si>
  <si>
    <t>cabo iphone</t>
  </si>
  <si>
    <t>venditlador 19c</t>
  </si>
  <si>
    <t>jogo de chaves</t>
  </si>
  <si>
    <t>Ralador de comida</t>
  </si>
  <si>
    <t>Kit De Chaves Precisão 31 Peças Torx Alen Philips Fenda</t>
  </si>
  <si>
    <t>Limpa Tela e Lentes 60ml + Flanela</t>
  </si>
  <si>
    <t>Mini Massageador Elétrico Portátil Cervical EMS Alivia Dores Corpo Pescoço</t>
  </si>
  <si>
    <t>Chapéu Palha Cerveja - Time</t>
  </si>
  <si>
    <t>Passaros De Enfeite Mesa Canta Mexe Periquitos Robo Aves | Nanyju Brinquedos e Presentes</t>
  </si>
  <si>
    <t>Globo Bola Maluca Luzes de Festa com Canhão de LED</t>
  </si>
  <si>
    <t>Shopee cpf</t>
  </si>
  <si>
    <t>Bolsa Sacola</t>
  </si>
  <si>
    <t>Cachorro de brinquedo</t>
  </si>
  <si>
    <t>SHOPEE CNPJ</t>
  </si>
  <si>
    <t>SHOPEE CPF</t>
  </si>
  <si>
    <t>Mes</t>
  </si>
  <si>
    <t>Plataforma</t>
  </si>
  <si>
    <t>Valor 
gasto</t>
  </si>
  <si>
    <t>Valor
Vendido</t>
  </si>
  <si>
    <t>Adaptador bluetooth</t>
  </si>
  <si>
    <t>Amolador de faca</t>
  </si>
  <si>
    <t>Alicate</t>
  </si>
  <si>
    <t>Aspirador de Pó e Líquido Automotivo Portátil 12V</t>
  </si>
  <si>
    <t>Blocos De Montar War Power Warfighter</t>
  </si>
  <si>
    <t>Purrificado</t>
  </si>
  <si>
    <t>Carregador</t>
  </si>
  <si>
    <t xml:space="preserve">Cachorro de brinquedo </t>
  </si>
  <si>
    <t>Controle Remoto Elétrico Dinossauro</t>
  </si>
  <si>
    <t>Corrente bike</t>
  </si>
  <si>
    <t>Fone de ouvido</t>
  </si>
  <si>
    <t>Fone de ouvido simples</t>
  </si>
  <si>
    <t>Gamepad com Gatilho Controle - MBTech</t>
  </si>
  <si>
    <t>Globo de luz de discoteca rotativo</t>
  </si>
  <si>
    <t>Refletor solar</t>
  </si>
  <si>
    <t>Massageador p</t>
  </si>
  <si>
    <t>Excluido</t>
  </si>
  <si>
    <t>Suporte Segurador Slim Anti</t>
  </si>
  <si>
    <t xml:space="preserve">Relógio Digital </t>
  </si>
  <si>
    <t>Mini Massageador Elétrico</t>
  </si>
  <si>
    <t>Capa De Braço Suporte</t>
  </si>
  <si>
    <t>pilha recarregavel</t>
  </si>
  <si>
    <t>chapeu camp</t>
  </si>
  <si>
    <t>carregador tipo c</t>
  </si>
  <si>
    <t>joelheira</t>
  </si>
  <si>
    <t>QT. V</t>
  </si>
  <si>
    <t>Nº</t>
  </si>
  <si>
    <t>TRANSFERIDO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</si>
</sst>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&quot;R$&quot;* #,##0.00_-;\-&quot;R$&quot;* #,##0.00_-;_-&quot;R$&quot;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9"/>
      <color theme="1"/>
      <name val="Calibri"/>
      <family val="2"/>
      <scheme val="minor"/>
    </font>
    <font>
      <u/>
      <sz val="10"/>
      <color theme="1"/>
      <name val="Arial"/>
      <family val="2"/>
    </font>
    <font>
      <sz val="9"/>
      <color theme="1"/>
      <name val="Arial"/>
      <family val="2"/>
    </font>
    <font>
      <b/>
      <sz val="8"/>
      <color theme="0"/>
      <name val="Arial"/>
      <family val="2"/>
    </font>
    <font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164" fontId="5" fillId="0" borderId="1" xfId="1" applyFont="1" applyBorder="1"/>
    <xf numFmtId="0" fontId="7" fillId="0" borderId="0" xfId="0" applyFont="1"/>
    <xf numFmtId="164" fontId="7" fillId="0" borderId="0" xfId="1" applyFont="1"/>
    <xf numFmtId="164" fontId="7" fillId="0" borderId="0" xfId="1" applyFont="1" applyAlignment="1">
      <alignment horizontal="center" vertical="center"/>
    </xf>
    <xf numFmtId="164" fontId="7" fillId="0" borderId="1" xfId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/>
    </xf>
    <xf numFmtId="0" fontId="7" fillId="0" borderId="1" xfId="0" applyFont="1" applyBorder="1"/>
    <xf numFmtId="0" fontId="8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/>
    </xf>
    <xf numFmtId="164" fontId="5" fillId="0" borderId="1" xfId="1" applyFont="1" applyBorder="1" applyAlignment="1">
      <alignment horizontal="center"/>
    </xf>
    <xf numFmtId="9" fontId="7" fillId="0" borderId="1" xfId="2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64" fontId="7" fillId="0" borderId="1" xfId="1" applyFont="1" applyBorder="1"/>
    <xf numFmtId="0" fontId="7" fillId="0" borderId="1" xfId="0" applyFont="1" applyBorder="1" applyAlignment="1">
      <alignment vertical="center"/>
    </xf>
    <xf numFmtId="0" fontId="9" fillId="0" borderId="1" xfId="0" applyFont="1" applyBorder="1"/>
    <xf numFmtId="164" fontId="7" fillId="0" borderId="1" xfId="1" applyFont="1" applyBorder="1" applyAlignment="1">
      <alignment vertical="center"/>
    </xf>
    <xf numFmtId="164" fontId="7" fillId="0" borderId="0" xfId="1" applyFont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0" fillId="4" borderId="1" xfId="0" applyFill="1" applyBorder="1"/>
    <xf numFmtId="0" fontId="4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164" fontId="5" fillId="0" borderId="1" xfId="1" quotePrefix="1" applyFont="1" applyBorder="1" applyAlignment="1">
      <alignment horizontal="center"/>
    </xf>
    <xf numFmtId="44" fontId="7" fillId="0" borderId="0" xfId="0" applyNumberFormat="1" applyFont="1"/>
    <xf numFmtId="44" fontId="5" fillId="0" borderId="1" xfId="0" applyNumberFormat="1" applyFont="1" applyBorder="1"/>
    <xf numFmtId="0" fontId="9" fillId="0" borderId="1" xfId="0" applyFont="1" applyBorder="1" applyAlignment="1">
      <alignment wrapText="1"/>
    </xf>
    <xf numFmtId="0" fontId="1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6" fillId="2" borderId="1" xfId="0" applyFont="1" applyFill="1" applyBorder="1" applyAlignment="1">
      <alignment horizontal="center" vertical="center" wrapText="1"/>
    </xf>
    <xf numFmtId="164" fontId="6" fillId="2" borderId="1" xfId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9" fillId="0" borderId="0" xfId="0" applyFont="1" applyBorder="1"/>
    <xf numFmtId="0" fontId="11" fillId="0" borderId="3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34">
    <dxf>
      <font>
        <b/>
        <i/>
        <color theme="0"/>
      </font>
      <fill>
        <patternFill>
          <bgColor rgb="FFFF3300"/>
        </patternFill>
      </fill>
    </dxf>
    <dxf>
      <font>
        <b/>
        <i/>
        <color theme="0"/>
      </font>
      <fill>
        <patternFill>
          <bgColor rgb="FF7030A0"/>
        </patternFill>
      </fill>
    </dxf>
    <dxf>
      <font>
        <b/>
        <i/>
        <color theme="0"/>
      </font>
      <fill>
        <patternFill>
          <bgColor rgb="FF00B0F0"/>
        </patternFill>
      </fill>
    </dxf>
    <dxf>
      <font>
        <b/>
        <i/>
        <color theme="0"/>
      </font>
      <fill>
        <patternFill>
          <bgColor rgb="FF00206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>
          <bgColor rgb="FF00B050"/>
        </patternFill>
      </fill>
    </dxf>
    <dxf>
      <font>
        <b/>
        <i/>
        <color theme="0"/>
      </font>
      <fill>
        <patternFill>
          <bgColor rgb="FF00B0F0"/>
        </patternFill>
      </fill>
    </dxf>
    <dxf>
      <font>
        <b/>
        <i/>
        <color rgb="FF00B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00B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00B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</dxfs>
  <tableStyles count="0" defaultTableStyle="TableStyleMedium2" defaultPivotStyle="PivotStyleLight16"/>
  <colors>
    <mruColors>
      <color rgb="FFFF3300"/>
      <color rgb="FF00602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F75C00F-1AF6-4C0A-85CA-0E750C4BD581}">
  <we:reference id="wa200005281" version="1.0.0.0" store="pt-BR" storeType="OMEX"/>
  <we:alternateReferences>
    <we:reference id="wa200005281" version="1.0.0.0" store="pt-BR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_xldudf_NUM_AI</we:customFunctionIds>
        <we:customFunctionIds>_xldudf_NUM_WRITE</we:customFunctionIds>
        <we:customFunctionIds>_xldudf_NUM_INFER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M553"/>
  <sheetViews>
    <sheetView tabSelected="1" zoomScaleNormal="100" workbookViewId="0">
      <selection activeCell="E9" sqref="E9"/>
    </sheetView>
  </sheetViews>
  <sheetFormatPr defaultColWidth="9.140625" defaultRowHeight="12.75" x14ac:dyDescent="0.2"/>
  <cols>
    <col min="1" max="1" width="4.7109375" style="42" customWidth="1"/>
    <col min="2" max="2" width="10.7109375" style="37" bestFit="1" customWidth="1"/>
    <col min="3" max="3" width="42.5703125" style="22" customWidth="1"/>
    <col min="4" max="4" width="10.5703125" style="8" bestFit="1" customWidth="1"/>
    <col min="5" max="5" width="11" style="8" bestFit="1" customWidth="1"/>
    <col min="6" max="6" width="13.140625" style="8" bestFit="1" customWidth="1"/>
    <col min="7" max="7" width="11.5703125" style="7" bestFit="1" customWidth="1"/>
    <col min="8" max="8" width="13.5703125" style="17" bestFit="1" customWidth="1"/>
    <col min="9" max="9" width="15.5703125" style="17" bestFit="1" customWidth="1"/>
    <col min="10" max="10" width="9.5703125" style="6" bestFit="1" customWidth="1"/>
    <col min="11" max="11" width="9.42578125" style="6" bestFit="1" customWidth="1"/>
    <col min="12" max="12" width="13" style="6" bestFit="1" customWidth="1"/>
    <col min="13" max="13" width="15.140625" style="6" bestFit="1" customWidth="1"/>
    <col min="14" max="18" width="9.140625" style="6"/>
    <col min="19" max="19" width="17.140625" style="6" bestFit="1" customWidth="1"/>
    <col min="20" max="20" width="12.85546875" style="6" bestFit="1" customWidth="1"/>
    <col min="21" max="21" width="9.28515625" style="6" bestFit="1" customWidth="1"/>
    <col min="22" max="22" width="14.140625" style="6" bestFit="1" customWidth="1"/>
    <col min="23" max="16384" width="9.140625" style="6"/>
  </cols>
  <sheetData>
    <row r="1" spans="1:13" s="39" customFormat="1" ht="36" customHeight="1" x14ac:dyDescent="0.25">
      <c r="A1" s="40" t="s">
        <v>273</v>
      </c>
      <c r="B1" s="34" t="s">
        <v>243</v>
      </c>
      <c r="C1" s="34" t="s">
        <v>15</v>
      </c>
      <c r="D1" s="34" t="s">
        <v>272</v>
      </c>
      <c r="E1" s="35" t="s">
        <v>245</v>
      </c>
      <c r="F1" s="35" t="s">
        <v>246</v>
      </c>
      <c r="G1" s="35" t="s">
        <v>0</v>
      </c>
      <c r="H1" s="34" t="s">
        <v>1</v>
      </c>
      <c r="I1" s="34" t="s">
        <v>244</v>
      </c>
      <c r="J1" s="38"/>
      <c r="K1" s="38"/>
      <c r="L1" s="38"/>
      <c r="M1" s="38"/>
    </row>
    <row r="2" spans="1:13" ht="12.75" customHeight="1" x14ac:dyDescent="0.2">
      <c r="A2" s="41">
        <v>1</v>
      </c>
      <c r="B2" s="36" t="s">
        <v>2</v>
      </c>
      <c r="C2" s="20" t="s">
        <v>26</v>
      </c>
      <c r="D2" s="4">
        <v>3</v>
      </c>
      <c r="E2" s="5">
        <v>150</v>
      </c>
      <c r="F2" s="5">
        <v>326.68</v>
      </c>
      <c r="G2" s="5">
        <f>F2-E2</f>
        <v>176.68</v>
      </c>
      <c r="H2" s="10" t="s">
        <v>274</v>
      </c>
      <c r="I2" s="32" t="s">
        <v>241</v>
      </c>
    </row>
    <row r="3" spans="1:13" ht="12.75" customHeight="1" x14ac:dyDescent="0.2">
      <c r="A3" s="41">
        <v>1</v>
      </c>
      <c r="B3" s="36" t="s">
        <v>2</v>
      </c>
      <c r="C3" s="20" t="s">
        <v>116</v>
      </c>
      <c r="D3" s="4">
        <v>1</v>
      </c>
      <c r="E3" s="5">
        <v>14</v>
      </c>
      <c r="F3" s="5">
        <v>30.03</v>
      </c>
      <c r="G3" s="5">
        <f>F3-E3</f>
        <v>16.03</v>
      </c>
      <c r="H3" s="10" t="s">
        <v>274</v>
      </c>
      <c r="I3" s="32" t="s">
        <v>241</v>
      </c>
    </row>
    <row r="4" spans="1:13" ht="12.75" customHeight="1" x14ac:dyDescent="0.2">
      <c r="A4" s="41">
        <v>1</v>
      </c>
      <c r="B4" s="36" t="s">
        <v>2</v>
      </c>
      <c r="C4" s="20" t="s">
        <v>27</v>
      </c>
      <c r="D4" s="4">
        <v>1</v>
      </c>
      <c r="E4" s="5">
        <v>5</v>
      </c>
      <c r="F4" s="5">
        <v>21.28</v>
      </c>
      <c r="G4" s="5">
        <f>F4-E4</f>
        <v>16.28</v>
      </c>
      <c r="H4" s="10" t="s">
        <v>274</v>
      </c>
      <c r="I4" s="32" t="s">
        <v>241</v>
      </c>
    </row>
    <row r="5" spans="1:13" ht="12.75" customHeight="1" x14ac:dyDescent="0.2">
      <c r="A5" s="41">
        <v>1</v>
      </c>
      <c r="B5" s="36" t="s">
        <v>2</v>
      </c>
      <c r="C5" s="20" t="s">
        <v>250</v>
      </c>
      <c r="D5" s="4">
        <v>1</v>
      </c>
      <c r="E5" s="5">
        <v>40</v>
      </c>
      <c r="F5" s="5">
        <v>99.55</v>
      </c>
      <c r="G5" s="5">
        <f>F5-E5</f>
        <v>59.55</v>
      </c>
      <c r="H5" s="10" t="s">
        <v>274</v>
      </c>
      <c r="I5" s="32" t="s">
        <v>241</v>
      </c>
    </row>
    <row r="6" spans="1:13" ht="12.75" customHeight="1" x14ac:dyDescent="0.2">
      <c r="A6" s="41">
        <v>1</v>
      </c>
      <c r="B6" s="36" t="s">
        <v>2</v>
      </c>
      <c r="C6" s="20" t="s">
        <v>150</v>
      </c>
      <c r="D6" s="4">
        <v>2</v>
      </c>
      <c r="E6" s="5">
        <v>6</v>
      </c>
      <c r="F6" s="5">
        <v>24.1</v>
      </c>
      <c r="G6" s="5">
        <f>F6-E6</f>
        <v>18.100000000000001</v>
      </c>
      <c r="H6" s="10" t="s">
        <v>274</v>
      </c>
      <c r="I6" s="32" t="s">
        <v>241</v>
      </c>
    </row>
    <row r="7" spans="1:13" ht="12.75" customHeight="1" x14ac:dyDescent="0.2">
      <c r="A7" s="41">
        <v>1</v>
      </c>
      <c r="B7" s="36" t="s">
        <v>2</v>
      </c>
      <c r="C7" s="20" t="s">
        <v>117</v>
      </c>
      <c r="D7" s="4">
        <v>3</v>
      </c>
      <c r="E7" s="5">
        <v>15</v>
      </c>
      <c r="F7" s="5">
        <v>64.11</v>
      </c>
      <c r="G7" s="5">
        <f>F7-E7</f>
        <v>49.11</v>
      </c>
      <c r="H7" s="10" t="s">
        <v>274</v>
      </c>
      <c r="I7" s="32" t="s">
        <v>241</v>
      </c>
    </row>
    <row r="8" spans="1:13" ht="12.75" customHeight="1" x14ac:dyDescent="0.2">
      <c r="A8" s="41">
        <v>1</v>
      </c>
      <c r="B8" s="36" t="s">
        <v>2</v>
      </c>
      <c r="C8" s="20" t="s">
        <v>105</v>
      </c>
      <c r="D8" s="4">
        <v>1</v>
      </c>
      <c r="E8" s="15">
        <v>7</v>
      </c>
      <c r="F8" s="5">
        <v>15</v>
      </c>
      <c r="G8" s="5">
        <f>F8-E8</f>
        <v>8</v>
      </c>
      <c r="H8" s="10" t="s">
        <v>274</v>
      </c>
      <c r="I8" s="14" t="s">
        <v>111</v>
      </c>
    </row>
    <row r="9" spans="1:13" ht="12.75" customHeight="1" x14ac:dyDescent="0.2">
      <c r="A9" s="41">
        <v>1</v>
      </c>
      <c r="B9" s="36" t="s">
        <v>2</v>
      </c>
      <c r="C9" s="20" t="s">
        <v>22</v>
      </c>
      <c r="D9" s="4">
        <v>1</v>
      </c>
      <c r="E9" s="15">
        <v>5.5</v>
      </c>
      <c r="F9" s="15">
        <v>10</v>
      </c>
      <c r="G9" s="5">
        <f>F9-E9</f>
        <v>4.5</v>
      </c>
      <c r="H9" s="10" t="s">
        <v>274</v>
      </c>
      <c r="I9" s="11" t="s">
        <v>111</v>
      </c>
    </row>
    <row r="10" spans="1:13" ht="12.75" customHeight="1" x14ac:dyDescent="0.2">
      <c r="A10" s="41">
        <v>1</v>
      </c>
      <c r="B10" s="36" t="s">
        <v>2</v>
      </c>
      <c r="C10" s="20" t="s">
        <v>101</v>
      </c>
      <c r="D10" s="4">
        <v>1</v>
      </c>
      <c r="E10" s="15">
        <v>5.5</v>
      </c>
      <c r="F10" s="15">
        <v>10</v>
      </c>
      <c r="G10" s="5">
        <f>F10-E10</f>
        <v>4.5</v>
      </c>
      <c r="H10" s="10" t="s">
        <v>274</v>
      </c>
      <c r="I10" s="11" t="s">
        <v>111</v>
      </c>
    </row>
    <row r="11" spans="1:13" ht="12.75" customHeight="1" x14ac:dyDescent="0.2">
      <c r="A11" s="41">
        <v>1</v>
      </c>
      <c r="B11" s="36" t="s">
        <v>2</v>
      </c>
      <c r="C11" s="20" t="s">
        <v>162</v>
      </c>
      <c r="D11" s="4">
        <v>1</v>
      </c>
      <c r="E11" s="9">
        <v>38</v>
      </c>
      <c r="F11" s="9">
        <v>60</v>
      </c>
      <c r="G11" s="9">
        <f>F11-E11</f>
        <v>22</v>
      </c>
      <c r="H11" s="10" t="s">
        <v>274</v>
      </c>
      <c r="I11" s="11" t="s">
        <v>111</v>
      </c>
    </row>
    <row r="12" spans="1:13" ht="12.75" customHeight="1" x14ac:dyDescent="0.2">
      <c r="A12" s="41">
        <v>1</v>
      </c>
      <c r="B12" s="36" t="s">
        <v>2</v>
      </c>
      <c r="C12" s="20" t="s">
        <v>162</v>
      </c>
      <c r="D12" s="4">
        <v>1</v>
      </c>
      <c r="E12" s="15">
        <v>38</v>
      </c>
      <c r="F12" s="15">
        <v>60</v>
      </c>
      <c r="G12" s="5">
        <f>F12-E12</f>
        <v>22</v>
      </c>
      <c r="H12" s="10" t="s">
        <v>274</v>
      </c>
      <c r="I12" s="11" t="s">
        <v>111</v>
      </c>
    </row>
    <row r="13" spans="1:13" ht="12.75" customHeight="1" x14ac:dyDescent="0.2">
      <c r="A13" s="41">
        <v>1</v>
      </c>
      <c r="B13" s="36" t="s">
        <v>2</v>
      </c>
      <c r="C13" s="12" t="s">
        <v>20</v>
      </c>
      <c r="D13" s="4">
        <v>1</v>
      </c>
      <c r="E13" s="9">
        <v>55</v>
      </c>
      <c r="F13" s="9">
        <v>100</v>
      </c>
      <c r="G13" s="9">
        <f>F13-E13</f>
        <v>45</v>
      </c>
      <c r="H13" s="10" t="s">
        <v>274</v>
      </c>
      <c r="I13" s="11" t="s">
        <v>111</v>
      </c>
    </row>
    <row r="14" spans="1:13" ht="12.75" customHeight="1" x14ac:dyDescent="0.2">
      <c r="A14" s="41">
        <v>1</v>
      </c>
      <c r="B14" s="36" t="s">
        <v>2</v>
      </c>
      <c r="C14" s="20" t="s">
        <v>28</v>
      </c>
      <c r="D14" s="4">
        <v>4</v>
      </c>
      <c r="E14" s="5">
        <v>200</v>
      </c>
      <c r="F14" s="5">
        <v>380.89</v>
      </c>
      <c r="G14" s="5">
        <f>F14-E14</f>
        <v>180.89</v>
      </c>
      <c r="H14" s="10" t="s">
        <v>274</v>
      </c>
      <c r="I14" s="32" t="s">
        <v>241</v>
      </c>
    </row>
    <row r="15" spans="1:13" ht="12.75" customHeight="1" x14ac:dyDescent="0.2">
      <c r="A15" s="41">
        <v>1</v>
      </c>
      <c r="B15" s="36" t="s">
        <v>2</v>
      </c>
      <c r="C15" s="20" t="s">
        <v>29</v>
      </c>
      <c r="D15" s="4">
        <v>1</v>
      </c>
      <c r="E15" s="5">
        <v>7</v>
      </c>
      <c r="F15" s="5">
        <v>14.99</v>
      </c>
      <c r="G15" s="5">
        <f>F15-E15</f>
        <v>7.99</v>
      </c>
      <c r="H15" s="10" t="s">
        <v>274</v>
      </c>
      <c r="I15" s="32" t="s">
        <v>241</v>
      </c>
    </row>
    <row r="16" spans="1:13" ht="12.75" customHeight="1" x14ac:dyDescent="0.2">
      <c r="A16" s="41">
        <v>1</v>
      </c>
      <c r="B16" s="36" t="s">
        <v>2</v>
      </c>
      <c r="C16" s="19" t="s">
        <v>17</v>
      </c>
      <c r="D16" s="4">
        <v>1</v>
      </c>
      <c r="E16" s="15">
        <v>7</v>
      </c>
      <c r="F16" s="15">
        <v>15</v>
      </c>
      <c r="G16" s="5">
        <f>F16-E16</f>
        <v>8</v>
      </c>
      <c r="H16" s="10" t="s">
        <v>274</v>
      </c>
      <c r="I16" s="14" t="s">
        <v>111</v>
      </c>
    </row>
    <row r="17" spans="1:9" ht="12.75" customHeight="1" x14ac:dyDescent="0.2">
      <c r="A17" s="41">
        <v>1</v>
      </c>
      <c r="B17" s="36" t="s">
        <v>2</v>
      </c>
      <c r="C17" s="19" t="s">
        <v>17</v>
      </c>
      <c r="D17" s="4">
        <v>1</v>
      </c>
      <c r="E17" s="9">
        <v>7.5</v>
      </c>
      <c r="F17" s="9">
        <v>15</v>
      </c>
      <c r="G17" s="9">
        <f>F17-E17</f>
        <v>7.5</v>
      </c>
      <c r="H17" s="10" t="s">
        <v>274</v>
      </c>
      <c r="I17" s="11" t="s">
        <v>111</v>
      </c>
    </row>
    <row r="18" spans="1:9" ht="12.75" customHeight="1" x14ac:dyDescent="0.2">
      <c r="A18" s="41">
        <v>1</v>
      </c>
      <c r="B18" s="36" t="s">
        <v>2</v>
      </c>
      <c r="C18" s="19" t="s">
        <v>17</v>
      </c>
      <c r="D18" s="4">
        <v>1</v>
      </c>
      <c r="E18" s="9">
        <v>7.5</v>
      </c>
      <c r="F18" s="9">
        <v>15</v>
      </c>
      <c r="G18" s="9">
        <f>F18-E18</f>
        <v>7.5</v>
      </c>
      <c r="H18" s="10" t="s">
        <v>274</v>
      </c>
      <c r="I18" s="11" t="s">
        <v>111</v>
      </c>
    </row>
    <row r="19" spans="1:9" ht="12.75" customHeight="1" x14ac:dyDescent="0.2">
      <c r="A19" s="41">
        <v>1</v>
      </c>
      <c r="B19" s="36" t="s">
        <v>2</v>
      </c>
      <c r="C19" s="20" t="s">
        <v>253</v>
      </c>
      <c r="D19" s="4">
        <v>1</v>
      </c>
      <c r="E19" s="9">
        <v>22</v>
      </c>
      <c r="F19" s="9">
        <v>35</v>
      </c>
      <c r="G19" s="9">
        <f>F19-E19</f>
        <v>13</v>
      </c>
      <c r="H19" s="10" t="s">
        <v>274</v>
      </c>
      <c r="I19" s="11" t="s">
        <v>111</v>
      </c>
    </row>
    <row r="20" spans="1:9" ht="12.75" customHeight="1" x14ac:dyDescent="0.2">
      <c r="A20" s="41">
        <v>1</v>
      </c>
      <c r="B20" s="36" t="s">
        <v>2</v>
      </c>
      <c r="C20" s="20" t="s">
        <v>253</v>
      </c>
      <c r="D20" s="4">
        <v>1</v>
      </c>
      <c r="E20" s="9">
        <v>22</v>
      </c>
      <c r="F20" s="9">
        <v>35</v>
      </c>
      <c r="G20" s="9">
        <f>F20-E20</f>
        <v>13</v>
      </c>
      <c r="H20" s="10" t="s">
        <v>274</v>
      </c>
      <c r="I20" s="11" t="s">
        <v>111</v>
      </c>
    </row>
    <row r="21" spans="1:9" ht="12.75" customHeight="1" x14ac:dyDescent="0.2">
      <c r="A21" s="41">
        <v>1</v>
      </c>
      <c r="B21" s="36" t="s">
        <v>2</v>
      </c>
      <c r="C21" s="20" t="s">
        <v>253</v>
      </c>
      <c r="D21" s="4">
        <v>1</v>
      </c>
      <c r="E21" s="15">
        <v>15</v>
      </c>
      <c r="F21" s="15">
        <v>30</v>
      </c>
      <c r="G21" s="5">
        <f>F21-E21</f>
        <v>15</v>
      </c>
      <c r="H21" s="10" t="s">
        <v>274</v>
      </c>
      <c r="I21" s="14" t="s">
        <v>111</v>
      </c>
    </row>
    <row r="22" spans="1:9" ht="12.75" customHeight="1" x14ac:dyDescent="0.2">
      <c r="A22" s="41">
        <v>1</v>
      </c>
      <c r="B22" s="36" t="s">
        <v>2</v>
      </c>
      <c r="C22" s="20" t="s">
        <v>191</v>
      </c>
      <c r="D22" s="4">
        <v>4</v>
      </c>
      <c r="E22" s="5">
        <v>11.2</v>
      </c>
      <c r="F22" s="5">
        <v>46.11</v>
      </c>
      <c r="G22" s="5">
        <f>F22-E22</f>
        <v>34.909999999999997</v>
      </c>
      <c r="H22" s="10" t="s">
        <v>274</v>
      </c>
      <c r="I22" s="32" t="s">
        <v>241</v>
      </c>
    </row>
    <row r="23" spans="1:9" ht="12.75" customHeight="1" x14ac:dyDescent="0.2">
      <c r="A23" s="41">
        <v>1</v>
      </c>
      <c r="B23" s="36" t="s">
        <v>2</v>
      </c>
      <c r="C23" s="20" t="s">
        <v>142</v>
      </c>
      <c r="D23" s="4">
        <v>1</v>
      </c>
      <c r="E23" s="9">
        <v>40</v>
      </c>
      <c r="F23" s="9">
        <v>60</v>
      </c>
      <c r="G23" s="9">
        <f>F23-E23</f>
        <v>20</v>
      </c>
      <c r="H23" s="10" t="s">
        <v>274</v>
      </c>
      <c r="I23" s="11" t="s">
        <v>111</v>
      </c>
    </row>
    <row r="24" spans="1:9" ht="12.75" customHeight="1" x14ac:dyDescent="0.2">
      <c r="A24" s="41">
        <v>1</v>
      </c>
      <c r="B24" s="36" t="s">
        <v>2</v>
      </c>
      <c r="C24" s="20" t="s">
        <v>142</v>
      </c>
      <c r="D24" s="4">
        <v>1</v>
      </c>
      <c r="E24" s="9">
        <v>40</v>
      </c>
      <c r="F24" s="9">
        <v>60</v>
      </c>
      <c r="G24" s="9">
        <f>F24-E24</f>
        <v>20</v>
      </c>
      <c r="H24" s="10" t="s">
        <v>274</v>
      </c>
      <c r="I24" s="11" t="s">
        <v>111</v>
      </c>
    </row>
    <row r="25" spans="1:9" ht="12.75" customHeight="1" x14ac:dyDescent="0.2">
      <c r="A25" s="41">
        <v>1</v>
      </c>
      <c r="B25" s="36" t="s">
        <v>2</v>
      </c>
      <c r="C25" s="20" t="s">
        <v>142</v>
      </c>
      <c r="D25" s="4">
        <v>1</v>
      </c>
      <c r="E25" s="9">
        <v>42</v>
      </c>
      <c r="F25" s="9">
        <v>60</v>
      </c>
      <c r="G25" s="9">
        <f>F25-E25</f>
        <v>18</v>
      </c>
      <c r="H25" s="10" t="s">
        <v>274</v>
      </c>
      <c r="I25" s="11" t="s">
        <v>111</v>
      </c>
    </row>
    <row r="26" spans="1:9" ht="12.75" customHeight="1" x14ac:dyDescent="0.2">
      <c r="A26" s="41">
        <v>1</v>
      </c>
      <c r="B26" s="36" t="s">
        <v>2</v>
      </c>
      <c r="C26" s="20" t="s">
        <v>142</v>
      </c>
      <c r="D26" s="4">
        <v>1</v>
      </c>
      <c r="E26" s="9">
        <v>42</v>
      </c>
      <c r="F26" s="9">
        <v>60</v>
      </c>
      <c r="G26" s="9">
        <f>F26-E26</f>
        <v>18</v>
      </c>
      <c r="H26" s="10" t="s">
        <v>274</v>
      </c>
      <c r="I26" s="11" t="s">
        <v>111</v>
      </c>
    </row>
    <row r="27" spans="1:9" ht="12.75" customHeight="1" x14ac:dyDescent="0.2">
      <c r="A27" s="41">
        <v>1</v>
      </c>
      <c r="B27" s="36" t="s">
        <v>2</v>
      </c>
      <c r="C27" s="20" t="s">
        <v>256</v>
      </c>
      <c r="D27" s="4">
        <v>1</v>
      </c>
      <c r="E27" s="15">
        <v>25</v>
      </c>
      <c r="F27" s="15">
        <v>50</v>
      </c>
      <c r="G27" s="5">
        <f>F27-E27</f>
        <v>25</v>
      </c>
      <c r="H27" s="10" t="s">
        <v>274</v>
      </c>
      <c r="I27" s="14" t="s">
        <v>111</v>
      </c>
    </row>
    <row r="28" spans="1:9" ht="12.75" customHeight="1" x14ac:dyDescent="0.2">
      <c r="A28" s="41">
        <v>1</v>
      </c>
      <c r="B28" s="36" t="s">
        <v>2</v>
      </c>
      <c r="C28" s="20" t="s">
        <v>256</v>
      </c>
      <c r="D28" s="4">
        <v>1</v>
      </c>
      <c r="E28" s="15">
        <v>25</v>
      </c>
      <c r="F28" s="15">
        <v>45</v>
      </c>
      <c r="G28" s="5">
        <f>F28-E28</f>
        <v>20</v>
      </c>
      <c r="H28" s="10" t="s">
        <v>274</v>
      </c>
      <c r="I28" s="11" t="s">
        <v>111</v>
      </c>
    </row>
    <row r="29" spans="1:9" ht="12.75" customHeight="1" x14ac:dyDescent="0.2">
      <c r="A29" s="41">
        <v>1</v>
      </c>
      <c r="B29" s="36" t="s">
        <v>2</v>
      </c>
      <c r="C29" s="20" t="s">
        <v>256</v>
      </c>
      <c r="D29" s="4">
        <v>1</v>
      </c>
      <c r="E29" s="15">
        <v>25</v>
      </c>
      <c r="F29" s="15">
        <v>45</v>
      </c>
      <c r="G29" s="5">
        <f>F29-E29</f>
        <v>20</v>
      </c>
      <c r="H29" s="10" t="s">
        <v>274</v>
      </c>
      <c r="I29" s="11" t="s">
        <v>111</v>
      </c>
    </row>
    <row r="30" spans="1:9" ht="12.75" customHeight="1" x14ac:dyDescent="0.2">
      <c r="A30" s="41">
        <v>1</v>
      </c>
      <c r="B30" s="36" t="s">
        <v>2</v>
      </c>
      <c r="C30" s="20" t="s">
        <v>256</v>
      </c>
      <c r="D30" s="4">
        <v>1</v>
      </c>
      <c r="E30" s="15">
        <v>25</v>
      </c>
      <c r="F30" s="15">
        <v>50</v>
      </c>
      <c r="G30" s="5">
        <f>F30-E30</f>
        <v>25</v>
      </c>
      <c r="H30" s="10" t="s">
        <v>274</v>
      </c>
      <c r="I30" s="11" t="s">
        <v>111</v>
      </c>
    </row>
    <row r="31" spans="1:9" ht="12.75" customHeight="1" x14ac:dyDescent="0.2">
      <c r="A31" s="41">
        <v>1</v>
      </c>
      <c r="B31" s="36" t="s">
        <v>2</v>
      </c>
      <c r="C31" s="12" t="s">
        <v>112</v>
      </c>
      <c r="D31" s="4">
        <v>1</v>
      </c>
      <c r="E31" s="9">
        <v>0</v>
      </c>
      <c r="F31" s="9">
        <v>50</v>
      </c>
      <c r="G31" s="9">
        <f>F31-E31</f>
        <v>50</v>
      </c>
      <c r="H31" s="10" t="s">
        <v>274</v>
      </c>
      <c r="I31" s="11" t="s">
        <v>111</v>
      </c>
    </row>
    <row r="32" spans="1:9" ht="12.75" customHeight="1" x14ac:dyDescent="0.2">
      <c r="A32" s="41">
        <v>1</v>
      </c>
      <c r="B32" s="36" t="s">
        <v>2</v>
      </c>
      <c r="C32" s="20" t="s">
        <v>118</v>
      </c>
      <c r="D32" s="4">
        <v>1</v>
      </c>
      <c r="E32" s="5">
        <v>2</v>
      </c>
      <c r="F32" s="5">
        <v>12.77</v>
      </c>
      <c r="G32" s="5">
        <f>F32-E32</f>
        <v>10.77</v>
      </c>
      <c r="H32" s="10" t="s">
        <v>274</v>
      </c>
      <c r="I32" s="32" t="s">
        <v>241</v>
      </c>
    </row>
    <row r="33" spans="1:9" ht="12.75" customHeight="1" x14ac:dyDescent="0.2">
      <c r="A33" s="41">
        <v>1</v>
      </c>
      <c r="B33" s="36" t="s">
        <v>2</v>
      </c>
      <c r="C33" s="13" t="s">
        <v>257</v>
      </c>
      <c r="D33" s="4">
        <v>1</v>
      </c>
      <c r="E33" s="9">
        <v>5</v>
      </c>
      <c r="F33" s="9">
        <v>10</v>
      </c>
      <c r="G33" s="9">
        <f>F33-E33</f>
        <v>5</v>
      </c>
      <c r="H33" s="10" t="s">
        <v>274</v>
      </c>
      <c r="I33" s="14" t="s">
        <v>111</v>
      </c>
    </row>
    <row r="34" spans="1:9" ht="12.75" customHeight="1" x14ac:dyDescent="0.2">
      <c r="A34" s="41">
        <v>1</v>
      </c>
      <c r="B34" s="36" t="s">
        <v>2</v>
      </c>
      <c r="C34" s="13" t="s">
        <v>257</v>
      </c>
      <c r="D34" s="4">
        <v>1</v>
      </c>
      <c r="E34" s="9">
        <v>5</v>
      </c>
      <c r="F34" s="9">
        <v>10</v>
      </c>
      <c r="G34" s="9">
        <f>F34-E34</f>
        <v>5</v>
      </c>
      <c r="H34" s="10" t="s">
        <v>274</v>
      </c>
      <c r="I34" s="14" t="s">
        <v>111</v>
      </c>
    </row>
    <row r="35" spans="1:9" ht="12.75" customHeight="1" x14ac:dyDescent="0.2">
      <c r="A35" s="41">
        <v>1</v>
      </c>
      <c r="B35" s="36" t="s">
        <v>2</v>
      </c>
      <c r="C35" s="13" t="s">
        <v>257</v>
      </c>
      <c r="D35" s="4">
        <v>1</v>
      </c>
      <c r="E35" s="15">
        <v>5</v>
      </c>
      <c r="F35" s="15">
        <v>10</v>
      </c>
      <c r="G35" s="5">
        <f>F35-E35</f>
        <v>5</v>
      </c>
      <c r="H35" s="10" t="s">
        <v>274</v>
      </c>
      <c r="I35" s="14" t="s">
        <v>111</v>
      </c>
    </row>
    <row r="36" spans="1:9" ht="12.75" customHeight="1" x14ac:dyDescent="0.2">
      <c r="A36" s="41">
        <v>1</v>
      </c>
      <c r="B36" s="36" t="s">
        <v>2</v>
      </c>
      <c r="C36" s="13" t="s">
        <v>257</v>
      </c>
      <c r="D36" s="4">
        <v>1</v>
      </c>
      <c r="E36" s="15">
        <v>5</v>
      </c>
      <c r="F36" s="15">
        <v>10</v>
      </c>
      <c r="G36" s="5">
        <f>F36-E36</f>
        <v>5</v>
      </c>
      <c r="H36" s="10" t="s">
        <v>274</v>
      </c>
      <c r="I36" s="14" t="s">
        <v>111</v>
      </c>
    </row>
    <row r="37" spans="1:9" ht="12.75" customHeight="1" x14ac:dyDescent="0.2">
      <c r="A37" s="41">
        <v>1</v>
      </c>
      <c r="B37" s="36" t="s">
        <v>2</v>
      </c>
      <c r="C37" s="13" t="s">
        <v>257</v>
      </c>
      <c r="D37" s="4">
        <v>1</v>
      </c>
      <c r="E37" s="15">
        <v>5</v>
      </c>
      <c r="F37" s="15">
        <v>10</v>
      </c>
      <c r="G37" s="5">
        <f>F37-E37</f>
        <v>5</v>
      </c>
      <c r="H37" s="10" t="s">
        <v>274</v>
      </c>
      <c r="I37" s="14" t="s">
        <v>111</v>
      </c>
    </row>
    <row r="38" spans="1:9" ht="12.75" customHeight="1" x14ac:dyDescent="0.2">
      <c r="A38" s="41">
        <v>1</v>
      </c>
      <c r="B38" s="36" t="s">
        <v>2</v>
      </c>
      <c r="C38" s="20" t="s">
        <v>114</v>
      </c>
      <c r="D38" s="4">
        <v>1</v>
      </c>
      <c r="E38" s="15">
        <v>20</v>
      </c>
      <c r="F38" s="15">
        <v>35</v>
      </c>
      <c r="G38" s="5">
        <f>F38-E38</f>
        <v>15</v>
      </c>
      <c r="H38" s="10" t="s">
        <v>274</v>
      </c>
      <c r="I38" s="11" t="s">
        <v>111</v>
      </c>
    </row>
    <row r="39" spans="1:9" ht="12.75" customHeight="1" x14ac:dyDescent="0.2">
      <c r="A39" s="41">
        <v>1</v>
      </c>
      <c r="B39" s="36" t="s">
        <v>2</v>
      </c>
      <c r="C39" s="20" t="s">
        <v>260</v>
      </c>
      <c r="D39" s="4">
        <v>4</v>
      </c>
      <c r="E39" s="5">
        <v>160</v>
      </c>
      <c r="F39" s="5">
        <v>358.9</v>
      </c>
      <c r="G39" s="5">
        <f>F39-E39</f>
        <v>198.89999999999998</v>
      </c>
      <c r="H39" s="10" t="s">
        <v>274</v>
      </c>
      <c r="I39" s="32" t="s">
        <v>241</v>
      </c>
    </row>
    <row r="40" spans="1:9" ht="12.75" customHeight="1" x14ac:dyDescent="0.2">
      <c r="A40" s="41">
        <v>1</v>
      </c>
      <c r="B40" s="36" t="s">
        <v>2</v>
      </c>
      <c r="C40" s="20" t="s">
        <v>30</v>
      </c>
      <c r="D40" s="4">
        <v>1</v>
      </c>
      <c r="E40" s="5">
        <v>12</v>
      </c>
      <c r="F40" s="5">
        <v>31.5</v>
      </c>
      <c r="G40" s="5">
        <f>F40-E40</f>
        <v>19.5</v>
      </c>
      <c r="H40" s="10" t="s">
        <v>274</v>
      </c>
      <c r="I40" s="32" t="s">
        <v>241</v>
      </c>
    </row>
    <row r="41" spans="1:9" ht="12.75" customHeight="1" x14ac:dyDescent="0.2">
      <c r="A41" s="41">
        <v>1</v>
      </c>
      <c r="B41" s="36" t="s">
        <v>2</v>
      </c>
      <c r="C41" s="20" t="s">
        <v>119</v>
      </c>
      <c r="D41" s="4">
        <v>1</v>
      </c>
      <c r="E41" s="5">
        <v>3</v>
      </c>
      <c r="F41" s="5">
        <v>12.1</v>
      </c>
      <c r="G41" s="5">
        <f>F41-E41</f>
        <v>9.1</v>
      </c>
      <c r="H41" s="10" t="s">
        <v>274</v>
      </c>
      <c r="I41" s="32" t="s">
        <v>241</v>
      </c>
    </row>
    <row r="42" spans="1:9" ht="12.75" customHeight="1" x14ac:dyDescent="0.2">
      <c r="A42" s="41">
        <v>1</v>
      </c>
      <c r="B42" s="36" t="s">
        <v>2</v>
      </c>
      <c r="C42" s="20" t="s">
        <v>31</v>
      </c>
      <c r="D42" s="4">
        <v>1</v>
      </c>
      <c r="E42" s="5">
        <v>2</v>
      </c>
      <c r="F42" s="5">
        <v>8.34</v>
      </c>
      <c r="G42" s="5">
        <f>F42-E42</f>
        <v>6.34</v>
      </c>
      <c r="H42" s="10" t="s">
        <v>274</v>
      </c>
      <c r="I42" s="32" t="s">
        <v>241</v>
      </c>
    </row>
    <row r="43" spans="1:9" ht="12.75" customHeight="1" x14ac:dyDescent="0.2">
      <c r="A43" s="41">
        <v>1</v>
      </c>
      <c r="B43" s="36" t="s">
        <v>2</v>
      </c>
      <c r="C43" s="20" t="s">
        <v>32</v>
      </c>
      <c r="D43" s="4">
        <v>4</v>
      </c>
      <c r="E43" s="5">
        <v>60</v>
      </c>
      <c r="F43" s="5">
        <v>185.12</v>
      </c>
      <c r="G43" s="5">
        <f>F43-E43</f>
        <v>125.12</v>
      </c>
      <c r="H43" s="10" t="s">
        <v>274</v>
      </c>
      <c r="I43" s="32" t="s">
        <v>241</v>
      </c>
    </row>
    <row r="44" spans="1:9" ht="12.75" customHeight="1" x14ac:dyDescent="0.2">
      <c r="A44" s="41">
        <v>1</v>
      </c>
      <c r="B44" s="36" t="s">
        <v>2</v>
      </c>
      <c r="C44" s="20" t="s">
        <v>23</v>
      </c>
      <c r="D44" s="4">
        <v>1</v>
      </c>
      <c r="E44" s="15">
        <v>80</v>
      </c>
      <c r="F44" s="15">
        <v>130</v>
      </c>
      <c r="G44" s="5">
        <f>F44-E44</f>
        <v>50</v>
      </c>
      <c r="H44" s="10" t="s">
        <v>274</v>
      </c>
      <c r="I44" s="11" t="s">
        <v>111</v>
      </c>
    </row>
    <row r="45" spans="1:9" ht="12.75" customHeight="1" x14ac:dyDescent="0.2">
      <c r="A45" s="41">
        <v>1</v>
      </c>
      <c r="B45" s="36" t="s">
        <v>2</v>
      </c>
      <c r="C45" s="20" t="s">
        <v>23</v>
      </c>
      <c r="D45" s="4">
        <v>1</v>
      </c>
      <c r="E45" s="15">
        <v>80</v>
      </c>
      <c r="F45" s="15">
        <v>140</v>
      </c>
      <c r="G45" s="5">
        <f>F45-E45</f>
        <v>60</v>
      </c>
      <c r="H45" s="10" t="s">
        <v>274</v>
      </c>
      <c r="I45" s="11" t="s">
        <v>111</v>
      </c>
    </row>
    <row r="46" spans="1:9" ht="12.75" customHeight="1" x14ac:dyDescent="0.2">
      <c r="A46" s="41">
        <v>1</v>
      </c>
      <c r="B46" s="36" t="s">
        <v>2</v>
      </c>
      <c r="C46" s="20" t="s">
        <v>33</v>
      </c>
      <c r="D46" s="4">
        <v>1</v>
      </c>
      <c r="E46" s="5">
        <v>50</v>
      </c>
      <c r="F46" s="5">
        <v>128.57</v>
      </c>
      <c r="G46" s="5">
        <f>F46-E46</f>
        <v>78.569999999999993</v>
      </c>
      <c r="H46" s="10" t="s">
        <v>274</v>
      </c>
      <c r="I46" s="32" t="s">
        <v>241</v>
      </c>
    </row>
    <row r="47" spans="1:9" ht="12.75" customHeight="1" x14ac:dyDescent="0.2">
      <c r="A47" s="41">
        <v>1</v>
      </c>
      <c r="B47" s="36" t="s">
        <v>2</v>
      </c>
      <c r="C47" s="20" t="s">
        <v>113</v>
      </c>
      <c r="D47" s="4">
        <v>1</v>
      </c>
      <c r="E47" s="15">
        <v>15</v>
      </c>
      <c r="F47" s="15">
        <v>45</v>
      </c>
      <c r="G47" s="5">
        <f>F47-E47</f>
        <v>30</v>
      </c>
      <c r="H47" s="10" t="s">
        <v>274</v>
      </c>
      <c r="I47" s="14" t="s">
        <v>111</v>
      </c>
    </row>
    <row r="48" spans="1:9" ht="12.75" customHeight="1" x14ac:dyDescent="0.2">
      <c r="A48" s="41">
        <v>1</v>
      </c>
      <c r="B48" s="36" t="s">
        <v>2</v>
      </c>
      <c r="C48" s="20" t="s">
        <v>24</v>
      </c>
      <c r="D48" s="4">
        <v>1</v>
      </c>
      <c r="E48" s="15">
        <v>35</v>
      </c>
      <c r="F48" s="5">
        <v>50</v>
      </c>
      <c r="G48" s="5">
        <f>F48-E48</f>
        <v>15</v>
      </c>
      <c r="H48" s="10" t="s">
        <v>274</v>
      </c>
      <c r="I48" s="14" t="s">
        <v>111</v>
      </c>
    </row>
    <row r="49" spans="1:9" ht="12.75" customHeight="1" x14ac:dyDescent="0.2">
      <c r="A49" s="41">
        <v>1</v>
      </c>
      <c r="B49" s="36" t="s">
        <v>2</v>
      </c>
      <c r="C49" s="13" t="s">
        <v>21</v>
      </c>
      <c r="D49" s="4">
        <v>1</v>
      </c>
      <c r="E49" s="9">
        <v>32</v>
      </c>
      <c r="F49" s="9">
        <v>80</v>
      </c>
      <c r="G49" s="9">
        <f>F49-E49</f>
        <v>48</v>
      </c>
      <c r="H49" s="10" t="s">
        <v>274</v>
      </c>
      <c r="I49" s="14" t="s">
        <v>111</v>
      </c>
    </row>
    <row r="50" spans="1:9" ht="12.75" customHeight="1" x14ac:dyDescent="0.2">
      <c r="A50" s="41">
        <v>1</v>
      </c>
      <c r="B50" s="36" t="s">
        <v>2</v>
      </c>
      <c r="C50" s="20" t="s">
        <v>75</v>
      </c>
      <c r="D50" s="4">
        <v>1</v>
      </c>
      <c r="E50" s="5">
        <v>8</v>
      </c>
      <c r="F50" s="5">
        <v>13.99</v>
      </c>
      <c r="G50" s="5">
        <f>F50-E50</f>
        <v>5.99</v>
      </c>
      <c r="H50" s="10" t="s">
        <v>274</v>
      </c>
      <c r="I50" s="32" t="s">
        <v>241</v>
      </c>
    </row>
    <row r="51" spans="1:9" ht="12.75" customHeight="1" x14ac:dyDescent="0.2">
      <c r="A51" s="41">
        <v>1</v>
      </c>
      <c r="B51" s="36" t="s">
        <v>2</v>
      </c>
      <c r="C51" s="20" t="s">
        <v>34</v>
      </c>
      <c r="D51" s="4">
        <v>3</v>
      </c>
      <c r="E51" s="5">
        <v>210</v>
      </c>
      <c r="F51" s="5">
        <v>468.68</v>
      </c>
      <c r="G51" s="5">
        <f>F51-E51</f>
        <v>258.68</v>
      </c>
      <c r="H51" s="10" t="s">
        <v>274</v>
      </c>
      <c r="I51" s="32" t="s">
        <v>241</v>
      </c>
    </row>
    <row r="52" spans="1:9" ht="12.75" customHeight="1" x14ac:dyDescent="0.2">
      <c r="A52" s="41">
        <v>1</v>
      </c>
      <c r="B52" s="36" t="s">
        <v>2</v>
      </c>
      <c r="C52" s="20" t="s">
        <v>35</v>
      </c>
      <c r="D52" s="4">
        <v>1</v>
      </c>
      <c r="E52" s="5">
        <v>8</v>
      </c>
      <c r="F52" s="5">
        <v>17</v>
      </c>
      <c r="G52" s="5">
        <f>F52-E52</f>
        <v>9</v>
      </c>
      <c r="H52" s="10" t="s">
        <v>274</v>
      </c>
      <c r="I52" s="32" t="s">
        <v>241</v>
      </c>
    </row>
    <row r="53" spans="1:9" ht="12.75" customHeight="1" x14ac:dyDescent="0.2">
      <c r="A53" s="41">
        <v>1</v>
      </c>
      <c r="B53" s="36" t="s">
        <v>2</v>
      </c>
      <c r="C53" s="20" t="s">
        <v>115</v>
      </c>
      <c r="D53" s="4">
        <v>1</v>
      </c>
      <c r="E53" s="15">
        <v>3</v>
      </c>
      <c r="F53" s="15">
        <v>15</v>
      </c>
      <c r="G53" s="5">
        <f>F53-E53</f>
        <v>12</v>
      </c>
      <c r="H53" s="10" t="s">
        <v>274</v>
      </c>
      <c r="I53" s="14" t="s">
        <v>111</v>
      </c>
    </row>
    <row r="54" spans="1:9" ht="12.75" customHeight="1" x14ac:dyDescent="0.2">
      <c r="A54" s="41">
        <v>1</v>
      </c>
      <c r="B54" s="36" t="s">
        <v>2</v>
      </c>
      <c r="C54" s="20" t="s">
        <v>115</v>
      </c>
      <c r="D54" s="4">
        <v>1</v>
      </c>
      <c r="E54" s="15">
        <v>3</v>
      </c>
      <c r="F54" s="15">
        <v>15</v>
      </c>
      <c r="G54" s="5">
        <f>F54-E54</f>
        <v>12</v>
      </c>
      <c r="H54" s="10" t="s">
        <v>274</v>
      </c>
      <c r="I54" s="14" t="s">
        <v>111</v>
      </c>
    </row>
    <row r="55" spans="1:9" ht="12.75" customHeight="1" x14ac:dyDescent="0.2">
      <c r="A55" s="41">
        <v>1</v>
      </c>
      <c r="B55" s="36" t="s">
        <v>2</v>
      </c>
      <c r="C55" s="13" t="s">
        <v>19</v>
      </c>
      <c r="D55" s="4">
        <v>1</v>
      </c>
      <c r="E55" s="9">
        <v>5</v>
      </c>
      <c r="F55" s="9">
        <v>10</v>
      </c>
      <c r="G55" s="9">
        <f>F55-E55</f>
        <v>5</v>
      </c>
      <c r="H55" s="10" t="s">
        <v>274</v>
      </c>
      <c r="I55" s="14" t="s">
        <v>111</v>
      </c>
    </row>
    <row r="56" spans="1:9" ht="12.75" customHeight="1" x14ac:dyDescent="0.2">
      <c r="A56" s="41">
        <v>1</v>
      </c>
      <c r="B56" s="36" t="s">
        <v>2</v>
      </c>
      <c r="C56" s="20" t="s">
        <v>36</v>
      </c>
      <c r="D56" s="4">
        <v>1</v>
      </c>
      <c r="E56" s="5">
        <v>1</v>
      </c>
      <c r="F56" s="5">
        <v>11.12</v>
      </c>
      <c r="G56" s="5">
        <f>F56-E56</f>
        <v>10.119999999999999</v>
      </c>
      <c r="H56" s="10" t="s">
        <v>274</v>
      </c>
      <c r="I56" s="32" t="s">
        <v>241</v>
      </c>
    </row>
    <row r="57" spans="1:9" ht="12.75" customHeight="1" x14ac:dyDescent="0.2">
      <c r="A57" s="41">
        <v>1</v>
      </c>
      <c r="B57" s="36" t="s">
        <v>2</v>
      </c>
      <c r="C57" s="20" t="s">
        <v>25</v>
      </c>
      <c r="D57" s="4">
        <v>1</v>
      </c>
      <c r="E57" s="15">
        <v>24</v>
      </c>
      <c r="F57" s="15">
        <v>40</v>
      </c>
      <c r="G57" s="5">
        <f>F57-E57</f>
        <v>16</v>
      </c>
      <c r="H57" s="10" t="s">
        <v>274</v>
      </c>
      <c r="I57" s="14" t="s">
        <v>111</v>
      </c>
    </row>
    <row r="58" spans="1:9" ht="12.75" customHeight="1" x14ac:dyDescent="0.2">
      <c r="A58" s="41">
        <v>1</v>
      </c>
      <c r="B58" s="36" t="s">
        <v>2</v>
      </c>
      <c r="C58" s="19" t="s">
        <v>16</v>
      </c>
      <c r="D58" s="4">
        <v>1</v>
      </c>
      <c r="E58" s="9">
        <v>20</v>
      </c>
      <c r="F58" s="9">
        <v>30</v>
      </c>
      <c r="G58" s="9">
        <f>F58-E58</f>
        <v>10</v>
      </c>
      <c r="H58" s="10" t="s">
        <v>274</v>
      </c>
      <c r="I58" s="11" t="s">
        <v>111</v>
      </c>
    </row>
    <row r="59" spans="1:9" ht="12.75" customHeight="1" x14ac:dyDescent="0.2">
      <c r="A59" s="41">
        <v>1</v>
      </c>
      <c r="B59" s="36" t="s">
        <v>2</v>
      </c>
      <c r="C59" s="19" t="s">
        <v>16</v>
      </c>
      <c r="D59" s="4">
        <v>1</v>
      </c>
      <c r="E59" s="9">
        <v>20</v>
      </c>
      <c r="F59" s="9">
        <v>30</v>
      </c>
      <c r="G59" s="9">
        <f>F59-E59</f>
        <v>10</v>
      </c>
      <c r="H59" s="10" t="s">
        <v>274</v>
      </c>
      <c r="I59" s="11" t="s">
        <v>111</v>
      </c>
    </row>
    <row r="60" spans="1:9" ht="12.75" customHeight="1" x14ac:dyDescent="0.2">
      <c r="A60" s="41">
        <v>1</v>
      </c>
      <c r="B60" s="36" t="s">
        <v>2</v>
      </c>
      <c r="C60" s="20" t="s">
        <v>261</v>
      </c>
      <c r="D60" s="4">
        <v>1</v>
      </c>
      <c r="E60" s="5">
        <v>0</v>
      </c>
      <c r="F60" s="5">
        <v>61.03</v>
      </c>
      <c r="G60" s="5">
        <f>F60-E60</f>
        <v>61.03</v>
      </c>
      <c r="H60" s="10" t="s">
        <v>274</v>
      </c>
      <c r="I60" s="32" t="s">
        <v>241</v>
      </c>
    </row>
    <row r="61" spans="1:9" ht="12.75" customHeight="1" x14ac:dyDescent="0.2">
      <c r="A61" s="41">
        <v>1</v>
      </c>
      <c r="B61" s="36" t="s">
        <v>2</v>
      </c>
      <c r="C61" s="20" t="s">
        <v>37</v>
      </c>
      <c r="D61" s="4">
        <v>1</v>
      </c>
      <c r="E61" s="5">
        <v>5</v>
      </c>
      <c r="F61" s="5">
        <v>12</v>
      </c>
      <c r="G61" s="5">
        <f>F61-E61</f>
        <v>7</v>
      </c>
      <c r="H61" s="10" t="s">
        <v>274</v>
      </c>
      <c r="I61" s="32" t="s">
        <v>241</v>
      </c>
    </row>
    <row r="62" spans="1:9" ht="12.75" customHeight="1" x14ac:dyDescent="0.2">
      <c r="A62" s="41">
        <v>1</v>
      </c>
      <c r="B62" s="36" t="s">
        <v>2</v>
      </c>
      <c r="C62" s="20" t="s">
        <v>144</v>
      </c>
      <c r="D62" s="4">
        <v>1</v>
      </c>
      <c r="E62" s="15">
        <v>100</v>
      </c>
      <c r="F62" s="15">
        <v>200</v>
      </c>
      <c r="G62" s="5">
        <f>F62-E62</f>
        <v>100</v>
      </c>
      <c r="H62" s="10" t="s">
        <v>274</v>
      </c>
      <c r="I62" s="14" t="s">
        <v>111</v>
      </c>
    </row>
    <row r="63" spans="1:9" ht="12.75" customHeight="1" x14ac:dyDescent="0.2">
      <c r="A63" s="41">
        <v>1</v>
      </c>
      <c r="B63" s="36" t="s">
        <v>2</v>
      </c>
      <c r="C63" s="20" t="s">
        <v>38</v>
      </c>
      <c r="D63" s="4">
        <v>3</v>
      </c>
      <c r="E63" s="5">
        <v>120</v>
      </c>
      <c r="F63" s="5">
        <v>179.42</v>
      </c>
      <c r="G63" s="5">
        <f>F63-E63</f>
        <v>59.419999999999987</v>
      </c>
      <c r="H63" s="10" t="s">
        <v>274</v>
      </c>
      <c r="I63" s="32" t="s">
        <v>241</v>
      </c>
    </row>
    <row r="64" spans="1:9" ht="12.75" customHeight="1" x14ac:dyDescent="0.2">
      <c r="A64" s="41">
        <v>1</v>
      </c>
      <c r="B64" s="36" t="s">
        <v>2</v>
      </c>
      <c r="C64" s="20" t="s">
        <v>39</v>
      </c>
      <c r="D64" s="4">
        <v>1</v>
      </c>
      <c r="E64" s="5">
        <v>20</v>
      </c>
      <c r="F64" s="5">
        <v>57.49</v>
      </c>
      <c r="G64" s="5">
        <f>F64-E64</f>
        <v>37.49</v>
      </c>
      <c r="H64" s="10" t="s">
        <v>274</v>
      </c>
      <c r="I64" s="32" t="s">
        <v>241</v>
      </c>
    </row>
    <row r="65" spans="1:9" ht="12.75" customHeight="1" x14ac:dyDescent="0.2">
      <c r="A65" s="41">
        <v>1</v>
      </c>
      <c r="B65" s="36" t="s">
        <v>2</v>
      </c>
      <c r="C65" s="3" t="s">
        <v>264</v>
      </c>
      <c r="D65" s="4">
        <v>9</v>
      </c>
      <c r="E65" s="5">
        <v>9</v>
      </c>
      <c r="F65" s="5">
        <v>125.84</v>
      </c>
      <c r="G65" s="5">
        <f>F65-E65</f>
        <v>116.84</v>
      </c>
      <c r="H65" s="10" t="s">
        <v>274</v>
      </c>
      <c r="I65" s="32" t="s">
        <v>241</v>
      </c>
    </row>
    <row r="66" spans="1:9" ht="12.75" customHeight="1" x14ac:dyDescent="0.2">
      <c r="A66" s="41">
        <v>1</v>
      </c>
      <c r="B66" s="36" t="s">
        <v>2</v>
      </c>
      <c r="C66" s="19" t="s">
        <v>18</v>
      </c>
      <c r="D66" s="4">
        <v>1</v>
      </c>
      <c r="E66" s="9">
        <v>55</v>
      </c>
      <c r="F66" s="9">
        <v>80</v>
      </c>
      <c r="G66" s="9">
        <f>F66-E66</f>
        <v>25</v>
      </c>
      <c r="H66" s="10" t="s">
        <v>274</v>
      </c>
      <c r="I66" s="14" t="s">
        <v>111</v>
      </c>
    </row>
    <row r="67" spans="1:9" ht="12.75" customHeight="1" x14ac:dyDescent="0.2">
      <c r="A67" s="41">
        <v>1</v>
      </c>
      <c r="B67" s="36" t="s">
        <v>2</v>
      </c>
      <c r="C67" s="20" t="s">
        <v>40</v>
      </c>
      <c r="D67" s="4">
        <v>1</v>
      </c>
      <c r="E67" s="5">
        <v>25</v>
      </c>
      <c r="F67" s="5">
        <v>59.99</v>
      </c>
      <c r="G67" s="5">
        <f>F67-E67</f>
        <v>34.99</v>
      </c>
      <c r="H67" s="10" t="s">
        <v>274</v>
      </c>
      <c r="I67" s="32" t="s">
        <v>241</v>
      </c>
    </row>
    <row r="68" spans="1:9" ht="12.75" customHeight="1" x14ac:dyDescent="0.2">
      <c r="A68" s="41">
        <v>2</v>
      </c>
      <c r="B68" s="36" t="s">
        <v>3</v>
      </c>
      <c r="C68" s="3" t="s">
        <v>26</v>
      </c>
      <c r="D68" s="4">
        <v>3</v>
      </c>
      <c r="E68" s="5">
        <v>210</v>
      </c>
      <c r="F68" s="5">
        <v>326.68</v>
      </c>
      <c r="G68" s="5">
        <v>93.344000000000008</v>
      </c>
      <c r="H68" s="10" t="s">
        <v>274</v>
      </c>
      <c r="I68" s="32" t="s">
        <v>241</v>
      </c>
    </row>
    <row r="69" spans="1:9" x14ac:dyDescent="0.2">
      <c r="A69" s="41">
        <v>2</v>
      </c>
      <c r="B69" s="36" t="s">
        <v>3</v>
      </c>
      <c r="C69" s="3" t="s">
        <v>116</v>
      </c>
      <c r="D69" s="4">
        <v>1</v>
      </c>
      <c r="E69" s="5">
        <v>16</v>
      </c>
      <c r="F69" s="5">
        <v>30.03</v>
      </c>
      <c r="G69" s="5">
        <v>11.224</v>
      </c>
      <c r="H69" s="10" t="s">
        <v>274</v>
      </c>
      <c r="I69" s="32" t="s">
        <v>241</v>
      </c>
    </row>
    <row r="70" spans="1:9" x14ac:dyDescent="0.2">
      <c r="A70" s="41">
        <v>2</v>
      </c>
      <c r="B70" s="36" t="s">
        <v>3</v>
      </c>
      <c r="C70" s="3" t="s">
        <v>27</v>
      </c>
      <c r="D70" s="4">
        <v>1</v>
      </c>
      <c r="E70" s="5">
        <v>5</v>
      </c>
      <c r="F70" s="5">
        <v>21.28</v>
      </c>
      <c r="G70" s="5">
        <v>13.024000000000001</v>
      </c>
      <c r="H70" s="10" t="s">
        <v>274</v>
      </c>
      <c r="I70" s="32" t="s">
        <v>241</v>
      </c>
    </row>
    <row r="71" spans="1:9" x14ac:dyDescent="0.2">
      <c r="A71" s="41">
        <v>2</v>
      </c>
      <c r="B71" s="36" t="s">
        <v>3</v>
      </c>
      <c r="C71" s="20" t="s">
        <v>42</v>
      </c>
      <c r="D71" s="4">
        <v>1</v>
      </c>
      <c r="E71" s="15">
        <v>13</v>
      </c>
      <c r="F71" s="15">
        <v>25</v>
      </c>
      <c r="G71" s="5">
        <f>F71-E71</f>
        <v>12</v>
      </c>
      <c r="H71" s="10" t="s">
        <v>274</v>
      </c>
      <c r="I71" s="14" t="s">
        <v>111</v>
      </c>
    </row>
    <row r="72" spans="1:9" x14ac:dyDescent="0.2">
      <c r="A72" s="41">
        <v>2</v>
      </c>
      <c r="B72" s="36" t="s">
        <v>3</v>
      </c>
      <c r="C72" s="20" t="s">
        <v>250</v>
      </c>
      <c r="D72" s="4">
        <v>1</v>
      </c>
      <c r="E72" s="5">
        <v>40</v>
      </c>
      <c r="F72" s="5">
        <v>99.55</v>
      </c>
      <c r="G72" s="5">
        <v>47.64</v>
      </c>
      <c r="H72" s="10" t="s">
        <v>274</v>
      </c>
      <c r="I72" s="32" t="s">
        <v>241</v>
      </c>
    </row>
    <row r="73" spans="1:9" x14ac:dyDescent="0.2">
      <c r="A73" s="41">
        <v>2</v>
      </c>
      <c r="B73" s="36" t="s">
        <v>3</v>
      </c>
      <c r="C73" s="12" t="s">
        <v>219</v>
      </c>
      <c r="D73" s="4">
        <v>1</v>
      </c>
      <c r="E73" s="9">
        <v>30</v>
      </c>
      <c r="F73" s="9">
        <v>60</v>
      </c>
      <c r="G73" s="9">
        <f>F73-E73</f>
        <v>30</v>
      </c>
      <c r="H73" s="10" t="s">
        <v>274</v>
      </c>
      <c r="I73" s="16" t="s">
        <v>111</v>
      </c>
    </row>
    <row r="74" spans="1:9" x14ac:dyDescent="0.2">
      <c r="A74" s="41">
        <v>2</v>
      </c>
      <c r="B74" s="36" t="s">
        <v>3</v>
      </c>
      <c r="C74" s="20" t="s">
        <v>150</v>
      </c>
      <c r="D74" s="4">
        <v>2</v>
      </c>
      <c r="E74" s="5">
        <v>7</v>
      </c>
      <c r="F74" s="5">
        <v>24.1</v>
      </c>
      <c r="G74" s="5">
        <v>13.680000000000001</v>
      </c>
      <c r="H74" s="10" t="s">
        <v>274</v>
      </c>
      <c r="I74" s="32" t="s">
        <v>241</v>
      </c>
    </row>
    <row r="75" spans="1:9" x14ac:dyDescent="0.2">
      <c r="A75" s="41">
        <v>2</v>
      </c>
      <c r="B75" s="36" t="s">
        <v>3</v>
      </c>
      <c r="C75" s="20" t="s">
        <v>44</v>
      </c>
      <c r="D75" s="4">
        <v>1</v>
      </c>
      <c r="E75" s="15">
        <v>10</v>
      </c>
      <c r="F75" s="15">
        <v>20</v>
      </c>
      <c r="G75" s="5">
        <f>F75-E75</f>
        <v>10</v>
      </c>
      <c r="H75" s="10" t="s">
        <v>274</v>
      </c>
      <c r="I75" s="14" t="s">
        <v>111</v>
      </c>
    </row>
    <row r="76" spans="1:9" x14ac:dyDescent="0.2">
      <c r="A76" s="41">
        <v>2</v>
      </c>
      <c r="B76" s="36" t="s">
        <v>3</v>
      </c>
      <c r="C76" s="20" t="s">
        <v>44</v>
      </c>
      <c r="D76" s="4">
        <v>1</v>
      </c>
      <c r="E76" s="15">
        <v>10</v>
      </c>
      <c r="F76" s="15">
        <v>20</v>
      </c>
      <c r="G76" s="5">
        <f>F76-E76</f>
        <v>10</v>
      </c>
      <c r="H76" s="10" t="s">
        <v>274</v>
      </c>
      <c r="I76" s="14" t="s">
        <v>111</v>
      </c>
    </row>
    <row r="77" spans="1:9" x14ac:dyDescent="0.2">
      <c r="A77" s="41">
        <v>2</v>
      </c>
      <c r="B77" s="36" t="s">
        <v>3</v>
      </c>
      <c r="C77" s="3" t="s">
        <v>117</v>
      </c>
      <c r="D77" s="4">
        <v>3</v>
      </c>
      <c r="E77" s="5">
        <v>15</v>
      </c>
      <c r="F77" s="5">
        <v>64.11</v>
      </c>
      <c r="G77" s="5">
        <v>39.287999999999997</v>
      </c>
      <c r="H77" s="10" t="s">
        <v>274</v>
      </c>
      <c r="I77" s="32" t="s">
        <v>241</v>
      </c>
    </row>
    <row r="78" spans="1:9" x14ac:dyDescent="0.2">
      <c r="A78" s="41">
        <v>2</v>
      </c>
      <c r="B78" s="36" t="s">
        <v>3</v>
      </c>
      <c r="C78" s="20" t="s">
        <v>108</v>
      </c>
      <c r="D78" s="4">
        <v>1</v>
      </c>
      <c r="E78" s="9">
        <v>100</v>
      </c>
      <c r="F78" s="9">
        <v>140</v>
      </c>
      <c r="G78" s="9">
        <f>F78-E78</f>
        <v>40</v>
      </c>
      <c r="H78" s="10" t="s">
        <v>274</v>
      </c>
      <c r="I78" s="16" t="s">
        <v>111</v>
      </c>
    </row>
    <row r="79" spans="1:9" x14ac:dyDescent="0.2">
      <c r="A79" s="41">
        <v>2</v>
      </c>
      <c r="B79" s="36" t="s">
        <v>3</v>
      </c>
      <c r="C79" s="20" t="s">
        <v>108</v>
      </c>
      <c r="D79" s="4">
        <v>1</v>
      </c>
      <c r="E79" s="9">
        <v>100</v>
      </c>
      <c r="F79" s="9">
        <v>140</v>
      </c>
      <c r="G79" s="9">
        <f>F79-E79</f>
        <v>40</v>
      </c>
      <c r="H79" s="10" t="s">
        <v>274</v>
      </c>
      <c r="I79" s="16" t="s">
        <v>111</v>
      </c>
    </row>
    <row r="80" spans="1:9" x14ac:dyDescent="0.2">
      <c r="A80" s="41">
        <v>2</v>
      </c>
      <c r="B80" s="36" t="s">
        <v>3</v>
      </c>
      <c r="C80" s="20" t="s">
        <v>47</v>
      </c>
      <c r="D80" s="4">
        <v>1</v>
      </c>
      <c r="E80" s="15">
        <v>110</v>
      </c>
      <c r="F80" s="15">
        <v>170</v>
      </c>
      <c r="G80" s="5">
        <f>F80-E80</f>
        <v>60</v>
      </c>
      <c r="H80" s="10" t="s">
        <v>274</v>
      </c>
      <c r="I80" s="14" t="s">
        <v>111</v>
      </c>
    </row>
    <row r="81" spans="1:9" x14ac:dyDescent="0.2">
      <c r="A81" s="41">
        <v>2</v>
      </c>
      <c r="B81" s="36" t="s">
        <v>3</v>
      </c>
      <c r="C81" s="3" t="s">
        <v>28</v>
      </c>
      <c r="D81" s="4">
        <v>4</v>
      </c>
      <c r="E81" s="5">
        <v>200</v>
      </c>
      <c r="F81" s="5">
        <v>380.89</v>
      </c>
      <c r="G81" s="5">
        <v>144.71199999999999</v>
      </c>
      <c r="H81" s="10" t="s">
        <v>274</v>
      </c>
      <c r="I81" s="32" t="s">
        <v>241</v>
      </c>
    </row>
    <row r="82" spans="1:9" x14ac:dyDescent="0.2">
      <c r="A82" s="41">
        <v>2</v>
      </c>
      <c r="B82" s="36" t="s">
        <v>3</v>
      </c>
      <c r="C82" s="3" t="s">
        <v>29</v>
      </c>
      <c r="D82" s="4">
        <v>1</v>
      </c>
      <c r="E82" s="5">
        <v>7</v>
      </c>
      <c r="F82" s="5">
        <v>14.99</v>
      </c>
      <c r="G82" s="5">
        <v>6.3920000000000003</v>
      </c>
      <c r="H82" s="10" t="s">
        <v>274</v>
      </c>
      <c r="I82" s="32" t="s">
        <v>241</v>
      </c>
    </row>
    <row r="83" spans="1:9" x14ac:dyDescent="0.2">
      <c r="A83" s="41">
        <v>2</v>
      </c>
      <c r="B83" s="36" t="s">
        <v>3</v>
      </c>
      <c r="C83" s="20" t="s">
        <v>253</v>
      </c>
      <c r="D83" s="4">
        <v>1</v>
      </c>
      <c r="E83" s="15">
        <v>55</v>
      </c>
      <c r="F83" s="15">
        <v>100</v>
      </c>
      <c r="G83" s="5">
        <f>F83-E83</f>
        <v>45</v>
      </c>
      <c r="H83" s="10" t="s">
        <v>274</v>
      </c>
      <c r="I83" s="14" t="s">
        <v>111</v>
      </c>
    </row>
    <row r="84" spans="1:9" x14ac:dyDescent="0.2">
      <c r="A84" s="41">
        <v>2</v>
      </c>
      <c r="B84" s="36" t="s">
        <v>3</v>
      </c>
      <c r="C84" s="20" t="s">
        <v>191</v>
      </c>
      <c r="D84" s="4">
        <v>4</v>
      </c>
      <c r="E84" s="5">
        <v>11.2</v>
      </c>
      <c r="F84" s="5">
        <v>46.11</v>
      </c>
      <c r="G84" s="5">
        <v>27.927999999999997</v>
      </c>
      <c r="H84" s="10" t="s">
        <v>274</v>
      </c>
      <c r="I84" s="32" t="s">
        <v>241</v>
      </c>
    </row>
    <row r="85" spans="1:9" x14ac:dyDescent="0.2">
      <c r="A85" s="41">
        <v>2</v>
      </c>
      <c r="B85" s="36" t="s">
        <v>3</v>
      </c>
      <c r="C85" s="20" t="s">
        <v>142</v>
      </c>
      <c r="D85" s="4">
        <v>1</v>
      </c>
      <c r="E85" s="15">
        <v>42</v>
      </c>
      <c r="F85" s="15">
        <v>75</v>
      </c>
      <c r="G85" s="5">
        <f>F85-E85</f>
        <v>33</v>
      </c>
      <c r="H85" s="10" t="s">
        <v>274</v>
      </c>
      <c r="I85" s="14" t="s">
        <v>111</v>
      </c>
    </row>
    <row r="86" spans="1:9" x14ac:dyDescent="0.2">
      <c r="A86" s="41">
        <v>2</v>
      </c>
      <c r="B86" s="36" t="s">
        <v>3</v>
      </c>
      <c r="C86" s="20" t="s">
        <v>142</v>
      </c>
      <c r="D86" s="4">
        <v>1</v>
      </c>
      <c r="E86" s="15">
        <v>55</v>
      </c>
      <c r="F86" s="15">
        <v>80</v>
      </c>
      <c r="G86" s="5">
        <f>F86-E86</f>
        <v>25</v>
      </c>
      <c r="H86" s="10" t="s">
        <v>274</v>
      </c>
      <c r="I86" s="14" t="s">
        <v>111</v>
      </c>
    </row>
    <row r="87" spans="1:9" x14ac:dyDescent="0.2">
      <c r="A87" s="41">
        <v>2</v>
      </c>
      <c r="B87" s="36" t="s">
        <v>3</v>
      </c>
      <c r="C87" s="20" t="s">
        <v>256</v>
      </c>
      <c r="D87" s="4">
        <v>1</v>
      </c>
      <c r="E87" s="15">
        <v>30</v>
      </c>
      <c r="F87" s="15">
        <v>60</v>
      </c>
      <c r="G87" s="5">
        <f>F87-E87</f>
        <v>30</v>
      </c>
      <c r="H87" s="10" t="s">
        <v>274</v>
      </c>
      <c r="I87" s="14" t="s">
        <v>111</v>
      </c>
    </row>
    <row r="88" spans="1:9" x14ac:dyDescent="0.2">
      <c r="A88" s="41">
        <v>2</v>
      </c>
      <c r="B88" s="36" t="s">
        <v>3</v>
      </c>
      <c r="C88" s="3" t="s">
        <v>118</v>
      </c>
      <c r="D88" s="4">
        <v>1</v>
      </c>
      <c r="E88" s="5">
        <v>2.5</v>
      </c>
      <c r="F88" s="5">
        <v>12.77</v>
      </c>
      <c r="G88" s="5">
        <v>8.2159999999999993</v>
      </c>
      <c r="H88" s="10" t="s">
        <v>274</v>
      </c>
      <c r="I88" s="32" t="s">
        <v>241</v>
      </c>
    </row>
    <row r="89" spans="1:9" x14ac:dyDescent="0.2">
      <c r="A89" s="41">
        <v>2</v>
      </c>
      <c r="B89" s="36" t="s">
        <v>3</v>
      </c>
      <c r="C89" s="20" t="s">
        <v>43</v>
      </c>
      <c r="D89" s="4">
        <v>1</v>
      </c>
      <c r="E89" s="15">
        <v>28</v>
      </c>
      <c r="F89" s="15">
        <v>50</v>
      </c>
      <c r="G89" s="5">
        <f>F89-E89</f>
        <v>22</v>
      </c>
      <c r="H89" s="10" t="s">
        <v>274</v>
      </c>
      <c r="I89" s="14" t="s">
        <v>111</v>
      </c>
    </row>
    <row r="90" spans="1:9" x14ac:dyDescent="0.2">
      <c r="A90" s="41">
        <v>2</v>
      </c>
      <c r="B90" s="36" t="s">
        <v>3</v>
      </c>
      <c r="C90" s="20" t="s">
        <v>48</v>
      </c>
      <c r="D90" s="4">
        <v>1</v>
      </c>
      <c r="E90" s="15">
        <v>35</v>
      </c>
      <c r="F90" s="15">
        <v>70</v>
      </c>
      <c r="G90" s="5">
        <f>F90-E90</f>
        <v>35</v>
      </c>
      <c r="H90" s="10" t="s">
        <v>274</v>
      </c>
      <c r="I90" s="14" t="s">
        <v>111</v>
      </c>
    </row>
    <row r="91" spans="1:9" x14ac:dyDescent="0.2">
      <c r="A91" s="41">
        <v>2</v>
      </c>
      <c r="B91" s="36" t="s">
        <v>3</v>
      </c>
      <c r="C91" s="12" t="s">
        <v>120</v>
      </c>
      <c r="D91" s="4">
        <v>1</v>
      </c>
      <c r="E91" s="9">
        <v>0</v>
      </c>
      <c r="F91" s="9">
        <v>100</v>
      </c>
      <c r="G91" s="9">
        <f>F91-E91</f>
        <v>100</v>
      </c>
      <c r="H91" s="10" t="s">
        <v>274</v>
      </c>
      <c r="I91" s="16" t="s">
        <v>111</v>
      </c>
    </row>
    <row r="92" spans="1:9" x14ac:dyDescent="0.2">
      <c r="A92" s="41">
        <v>2</v>
      </c>
      <c r="B92" s="36" t="s">
        <v>3</v>
      </c>
      <c r="C92" s="20" t="s">
        <v>260</v>
      </c>
      <c r="D92" s="4">
        <v>4</v>
      </c>
      <c r="E92" s="5">
        <v>160</v>
      </c>
      <c r="F92" s="5">
        <v>358.9</v>
      </c>
      <c r="G92" s="5">
        <v>159.11999999999998</v>
      </c>
      <c r="H92" s="10" t="s">
        <v>274</v>
      </c>
      <c r="I92" s="32" t="s">
        <v>241</v>
      </c>
    </row>
    <row r="93" spans="1:9" x14ac:dyDescent="0.2">
      <c r="A93" s="41">
        <v>2</v>
      </c>
      <c r="B93" s="36" t="s">
        <v>3</v>
      </c>
      <c r="C93" s="3" t="s">
        <v>30</v>
      </c>
      <c r="D93" s="4">
        <v>1</v>
      </c>
      <c r="E93" s="5">
        <v>5</v>
      </c>
      <c r="F93" s="5">
        <v>31.5</v>
      </c>
      <c r="G93" s="5">
        <v>21.2</v>
      </c>
      <c r="H93" s="10" t="s">
        <v>274</v>
      </c>
      <c r="I93" s="32" t="s">
        <v>241</v>
      </c>
    </row>
    <row r="94" spans="1:9" x14ac:dyDescent="0.2">
      <c r="A94" s="41">
        <v>2</v>
      </c>
      <c r="B94" s="36" t="s">
        <v>3</v>
      </c>
      <c r="C94" s="12" t="s">
        <v>49</v>
      </c>
      <c r="D94" s="4">
        <v>1</v>
      </c>
      <c r="E94" s="9">
        <v>0</v>
      </c>
      <c r="F94" s="9">
        <v>600</v>
      </c>
      <c r="G94" s="9">
        <f>F94-E94</f>
        <v>600</v>
      </c>
      <c r="H94" s="10" t="s">
        <v>274</v>
      </c>
      <c r="I94" s="16" t="s">
        <v>111</v>
      </c>
    </row>
    <row r="95" spans="1:9" x14ac:dyDescent="0.2">
      <c r="A95" s="41">
        <v>2</v>
      </c>
      <c r="B95" s="36" t="s">
        <v>3</v>
      </c>
      <c r="C95" s="3" t="s">
        <v>119</v>
      </c>
      <c r="D95" s="4">
        <v>1</v>
      </c>
      <c r="E95" s="5">
        <v>3.5</v>
      </c>
      <c r="F95" s="5">
        <v>12.1</v>
      </c>
      <c r="G95" s="5">
        <v>6.88</v>
      </c>
      <c r="H95" s="10" t="s">
        <v>274</v>
      </c>
      <c r="I95" s="32" t="s">
        <v>241</v>
      </c>
    </row>
    <row r="96" spans="1:9" x14ac:dyDescent="0.2">
      <c r="A96" s="41">
        <v>2</v>
      </c>
      <c r="B96" s="36" t="s">
        <v>3</v>
      </c>
      <c r="C96" s="3" t="s">
        <v>31</v>
      </c>
      <c r="D96" s="4">
        <v>1</v>
      </c>
      <c r="E96" s="5">
        <v>2</v>
      </c>
      <c r="F96" s="5">
        <v>8.34</v>
      </c>
      <c r="G96" s="5">
        <v>5.0720000000000001</v>
      </c>
      <c r="H96" s="10" t="s">
        <v>274</v>
      </c>
      <c r="I96" s="32" t="s">
        <v>241</v>
      </c>
    </row>
    <row r="97" spans="1:9" x14ac:dyDescent="0.2">
      <c r="A97" s="41">
        <v>2</v>
      </c>
      <c r="B97" s="36" t="s">
        <v>3</v>
      </c>
      <c r="C97" s="3" t="s">
        <v>32</v>
      </c>
      <c r="D97" s="4">
        <v>4</v>
      </c>
      <c r="E97" s="5">
        <v>60</v>
      </c>
      <c r="F97" s="5">
        <v>185.12</v>
      </c>
      <c r="G97" s="5">
        <v>100.096</v>
      </c>
      <c r="H97" s="10" t="s">
        <v>274</v>
      </c>
      <c r="I97" s="32" t="s">
        <v>241</v>
      </c>
    </row>
    <row r="98" spans="1:9" x14ac:dyDescent="0.2">
      <c r="A98" s="41">
        <v>2</v>
      </c>
      <c r="B98" s="36" t="s">
        <v>3</v>
      </c>
      <c r="C98" s="3" t="s">
        <v>33</v>
      </c>
      <c r="D98" s="4">
        <v>1</v>
      </c>
      <c r="E98" s="5">
        <v>50</v>
      </c>
      <c r="F98" s="5">
        <v>128.57</v>
      </c>
      <c r="G98" s="5">
        <v>62.855999999999995</v>
      </c>
      <c r="H98" s="10" t="s">
        <v>274</v>
      </c>
      <c r="I98" s="32" t="s">
        <v>241</v>
      </c>
    </row>
    <row r="99" spans="1:9" x14ac:dyDescent="0.2">
      <c r="A99" s="41">
        <v>2</v>
      </c>
      <c r="B99" s="36" t="s">
        <v>3</v>
      </c>
      <c r="C99" s="12" t="s">
        <v>21</v>
      </c>
      <c r="D99" s="4">
        <v>1</v>
      </c>
      <c r="E99" s="9">
        <v>32</v>
      </c>
      <c r="F99" s="9">
        <v>60</v>
      </c>
      <c r="G99" s="9">
        <f>F99-E99</f>
        <v>28</v>
      </c>
      <c r="H99" s="10" t="s">
        <v>274</v>
      </c>
      <c r="I99" s="16" t="s">
        <v>111</v>
      </c>
    </row>
    <row r="100" spans="1:9" x14ac:dyDescent="0.2">
      <c r="A100" s="41">
        <v>2</v>
      </c>
      <c r="B100" s="36" t="s">
        <v>3</v>
      </c>
      <c r="C100" s="20" t="s">
        <v>75</v>
      </c>
      <c r="D100" s="4">
        <v>1</v>
      </c>
      <c r="E100" s="5">
        <v>7.5</v>
      </c>
      <c r="F100" s="5">
        <v>13.99</v>
      </c>
      <c r="G100" s="5">
        <v>5.1920000000000002</v>
      </c>
      <c r="H100" s="10" t="s">
        <v>274</v>
      </c>
      <c r="I100" s="32" t="s">
        <v>241</v>
      </c>
    </row>
    <row r="101" spans="1:9" x14ac:dyDescent="0.2">
      <c r="A101" s="41">
        <v>2</v>
      </c>
      <c r="B101" s="36" t="s">
        <v>3</v>
      </c>
      <c r="C101" s="20" t="s">
        <v>34</v>
      </c>
      <c r="D101" s="4">
        <v>1</v>
      </c>
      <c r="E101" s="9">
        <v>67</v>
      </c>
      <c r="F101" s="9">
        <v>138</v>
      </c>
      <c r="G101" s="9">
        <f>F101-E101</f>
        <v>71</v>
      </c>
      <c r="H101" s="10" t="s">
        <v>274</v>
      </c>
      <c r="I101" s="16" t="s">
        <v>111</v>
      </c>
    </row>
    <row r="102" spans="1:9" x14ac:dyDescent="0.2">
      <c r="A102" s="41">
        <v>2</v>
      </c>
      <c r="B102" s="36" t="s">
        <v>3</v>
      </c>
      <c r="C102" s="3" t="s">
        <v>34</v>
      </c>
      <c r="D102" s="4">
        <v>3</v>
      </c>
      <c r="E102" s="5">
        <v>225</v>
      </c>
      <c r="F102" s="5">
        <v>468.68</v>
      </c>
      <c r="G102" s="5">
        <v>194.94400000000002</v>
      </c>
      <c r="H102" s="10" t="s">
        <v>274</v>
      </c>
      <c r="I102" s="32" t="s">
        <v>241</v>
      </c>
    </row>
    <row r="103" spans="1:9" x14ac:dyDescent="0.2">
      <c r="A103" s="41">
        <v>2</v>
      </c>
      <c r="B103" s="36" t="s">
        <v>3</v>
      </c>
      <c r="C103" s="3" t="s">
        <v>35</v>
      </c>
      <c r="D103" s="4">
        <v>1</v>
      </c>
      <c r="E103" s="5">
        <v>8</v>
      </c>
      <c r="F103" s="5">
        <v>17</v>
      </c>
      <c r="G103" s="5">
        <v>7.2</v>
      </c>
      <c r="H103" s="10" t="s">
        <v>274</v>
      </c>
      <c r="I103" s="32" t="s">
        <v>241</v>
      </c>
    </row>
    <row r="104" spans="1:9" x14ac:dyDescent="0.2">
      <c r="A104" s="41">
        <v>2</v>
      </c>
      <c r="B104" s="36" t="s">
        <v>3</v>
      </c>
      <c r="C104" s="20" t="s">
        <v>115</v>
      </c>
      <c r="D104" s="4">
        <v>1</v>
      </c>
      <c r="E104" s="15">
        <v>3.5</v>
      </c>
      <c r="F104" s="15">
        <v>10</v>
      </c>
      <c r="G104" s="5">
        <f>F104-E104</f>
        <v>6.5</v>
      </c>
      <c r="H104" s="10" t="s">
        <v>274</v>
      </c>
      <c r="I104" s="14" t="s">
        <v>111</v>
      </c>
    </row>
    <row r="105" spans="1:9" x14ac:dyDescent="0.2">
      <c r="A105" s="41">
        <v>2</v>
      </c>
      <c r="B105" s="36" t="s">
        <v>3</v>
      </c>
      <c r="C105" s="12" t="s">
        <v>115</v>
      </c>
      <c r="D105" s="4">
        <v>1</v>
      </c>
      <c r="E105" s="9">
        <v>3.5</v>
      </c>
      <c r="F105" s="9">
        <v>10</v>
      </c>
      <c r="G105" s="9">
        <f>F105-E105</f>
        <v>6.5</v>
      </c>
      <c r="H105" s="10" t="s">
        <v>274</v>
      </c>
      <c r="I105" s="16" t="s">
        <v>111</v>
      </c>
    </row>
    <row r="106" spans="1:9" x14ac:dyDescent="0.2">
      <c r="A106" s="41">
        <v>2</v>
      </c>
      <c r="B106" s="36" t="s">
        <v>3</v>
      </c>
      <c r="C106" s="12" t="s">
        <v>115</v>
      </c>
      <c r="D106" s="4">
        <v>1</v>
      </c>
      <c r="E106" s="9">
        <v>3.5</v>
      </c>
      <c r="F106" s="9">
        <v>10</v>
      </c>
      <c r="G106" s="9">
        <f>F106-E106</f>
        <v>6.5</v>
      </c>
      <c r="H106" s="10" t="s">
        <v>274</v>
      </c>
      <c r="I106" s="16" t="s">
        <v>111</v>
      </c>
    </row>
    <row r="107" spans="1:9" x14ac:dyDescent="0.2">
      <c r="A107" s="41">
        <v>2</v>
      </c>
      <c r="B107" s="36" t="s">
        <v>3</v>
      </c>
      <c r="C107" s="12" t="s">
        <v>121</v>
      </c>
      <c r="D107" s="4">
        <v>1</v>
      </c>
      <c r="E107" s="9">
        <v>95</v>
      </c>
      <c r="F107" s="9">
        <v>150</v>
      </c>
      <c r="G107" s="9">
        <f>F107-E107</f>
        <v>55</v>
      </c>
      <c r="H107" s="10" t="s">
        <v>274</v>
      </c>
      <c r="I107" s="16" t="s">
        <v>111</v>
      </c>
    </row>
    <row r="108" spans="1:9" x14ac:dyDescent="0.2">
      <c r="A108" s="41">
        <v>2</v>
      </c>
      <c r="B108" s="36" t="s">
        <v>3</v>
      </c>
      <c r="C108" s="20" t="s">
        <v>252</v>
      </c>
      <c r="D108" s="4">
        <v>1</v>
      </c>
      <c r="E108" s="15">
        <v>22</v>
      </c>
      <c r="F108" s="15">
        <v>40</v>
      </c>
      <c r="G108" s="5">
        <f>F108-E108</f>
        <v>18</v>
      </c>
      <c r="H108" s="10" t="s">
        <v>274</v>
      </c>
      <c r="I108" s="14" t="s">
        <v>111</v>
      </c>
    </row>
    <row r="109" spans="1:9" x14ac:dyDescent="0.2">
      <c r="A109" s="41">
        <v>2</v>
      </c>
      <c r="B109" s="36" t="s">
        <v>3</v>
      </c>
      <c r="C109" s="12" t="s">
        <v>51</v>
      </c>
      <c r="D109" s="4">
        <v>1</v>
      </c>
      <c r="E109" s="9">
        <v>0</v>
      </c>
      <c r="F109" s="9">
        <v>120</v>
      </c>
      <c r="G109" s="9">
        <f>F109-E109</f>
        <v>120</v>
      </c>
      <c r="H109" s="10" t="s">
        <v>274</v>
      </c>
      <c r="I109" s="16" t="s">
        <v>111</v>
      </c>
    </row>
    <row r="110" spans="1:9" x14ac:dyDescent="0.2">
      <c r="A110" s="41">
        <v>2</v>
      </c>
      <c r="B110" s="36" t="s">
        <v>3</v>
      </c>
      <c r="C110" s="12" t="s">
        <v>16</v>
      </c>
      <c r="D110" s="4">
        <v>1</v>
      </c>
      <c r="E110" s="9">
        <v>20</v>
      </c>
      <c r="F110" s="9">
        <v>30</v>
      </c>
      <c r="G110" s="9">
        <f>F110-E110</f>
        <v>10</v>
      </c>
      <c r="H110" s="10" t="s">
        <v>274</v>
      </c>
      <c r="I110" s="16" t="s">
        <v>111</v>
      </c>
    </row>
    <row r="111" spans="1:9" x14ac:dyDescent="0.2">
      <c r="A111" s="41">
        <v>2</v>
      </c>
      <c r="B111" s="36" t="s">
        <v>3</v>
      </c>
      <c r="C111" s="12" t="s">
        <v>16</v>
      </c>
      <c r="D111" s="4">
        <v>1</v>
      </c>
      <c r="E111" s="9">
        <v>20</v>
      </c>
      <c r="F111" s="9">
        <v>30</v>
      </c>
      <c r="G111" s="9">
        <f>F111-E111</f>
        <v>10</v>
      </c>
      <c r="H111" s="10" t="s">
        <v>274</v>
      </c>
      <c r="I111" s="16" t="s">
        <v>111</v>
      </c>
    </row>
    <row r="112" spans="1:9" x14ac:dyDescent="0.2">
      <c r="A112" s="41">
        <v>2</v>
      </c>
      <c r="B112" s="36" t="s">
        <v>3</v>
      </c>
      <c r="C112" s="12" t="s">
        <v>16</v>
      </c>
      <c r="D112" s="4">
        <v>1</v>
      </c>
      <c r="E112" s="9">
        <v>20</v>
      </c>
      <c r="F112" s="9">
        <v>30</v>
      </c>
      <c r="G112" s="9">
        <f>F112-E112</f>
        <v>10</v>
      </c>
      <c r="H112" s="10" t="s">
        <v>274</v>
      </c>
      <c r="I112" s="16" t="s">
        <v>111</v>
      </c>
    </row>
    <row r="113" spans="1:9" x14ac:dyDescent="0.2">
      <c r="A113" s="41">
        <v>2</v>
      </c>
      <c r="B113" s="36" t="s">
        <v>3</v>
      </c>
      <c r="C113" s="20" t="s">
        <v>261</v>
      </c>
      <c r="D113" s="4">
        <v>1</v>
      </c>
      <c r="E113" s="5">
        <v>0</v>
      </c>
      <c r="F113" s="5">
        <v>61.03</v>
      </c>
      <c r="G113" s="5">
        <v>48.823999999999998</v>
      </c>
      <c r="H113" s="10" t="s">
        <v>274</v>
      </c>
      <c r="I113" s="32" t="s">
        <v>241</v>
      </c>
    </row>
    <row r="114" spans="1:9" x14ac:dyDescent="0.2">
      <c r="A114" s="41">
        <v>2</v>
      </c>
      <c r="B114" s="36" t="s">
        <v>3</v>
      </c>
      <c r="C114" s="3" t="s">
        <v>37</v>
      </c>
      <c r="D114" s="4">
        <v>1</v>
      </c>
      <c r="E114" s="5">
        <v>5</v>
      </c>
      <c r="F114" s="5">
        <v>12</v>
      </c>
      <c r="G114" s="5">
        <v>5.6</v>
      </c>
      <c r="H114" s="10" t="s">
        <v>274</v>
      </c>
      <c r="I114" s="32" t="s">
        <v>241</v>
      </c>
    </row>
    <row r="115" spans="1:9" x14ac:dyDescent="0.2">
      <c r="A115" s="41">
        <v>2</v>
      </c>
      <c r="B115" s="36" t="s">
        <v>3</v>
      </c>
      <c r="C115" s="3" t="s">
        <v>38</v>
      </c>
      <c r="D115" s="4">
        <v>1</v>
      </c>
      <c r="E115" s="5">
        <v>24</v>
      </c>
      <c r="F115" s="5">
        <v>47.1</v>
      </c>
      <c r="G115" s="5">
        <v>18.48</v>
      </c>
      <c r="H115" s="10" t="s">
        <v>274</v>
      </c>
      <c r="I115" s="32" t="s">
        <v>241</v>
      </c>
    </row>
    <row r="116" spans="1:9" x14ac:dyDescent="0.2">
      <c r="A116" s="41">
        <v>2</v>
      </c>
      <c r="B116" s="36" t="s">
        <v>3</v>
      </c>
      <c r="C116" s="3" t="s">
        <v>38</v>
      </c>
      <c r="D116" s="4">
        <v>1</v>
      </c>
      <c r="E116" s="5">
        <v>39</v>
      </c>
      <c r="F116" s="5">
        <v>83.21</v>
      </c>
      <c r="G116" s="5">
        <v>35.367999999999995</v>
      </c>
      <c r="H116" s="10" t="s">
        <v>274</v>
      </c>
      <c r="I116" s="32" t="s">
        <v>241</v>
      </c>
    </row>
    <row r="117" spans="1:9" x14ac:dyDescent="0.2">
      <c r="A117" s="41">
        <v>2</v>
      </c>
      <c r="B117" s="36" t="s">
        <v>3</v>
      </c>
      <c r="C117" s="3" t="s">
        <v>52</v>
      </c>
      <c r="D117" s="4">
        <v>1</v>
      </c>
      <c r="E117" s="5">
        <v>24</v>
      </c>
      <c r="F117" s="5">
        <v>49.11</v>
      </c>
      <c r="G117" s="5">
        <v>20.088000000000001</v>
      </c>
      <c r="H117" s="10" t="s">
        <v>274</v>
      </c>
      <c r="I117" s="32" t="s">
        <v>241</v>
      </c>
    </row>
    <row r="118" spans="1:9" x14ac:dyDescent="0.2">
      <c r="A118" s="41">
        <v>2</v>
      </c>
      <c r="B118" s="36" t="s">
        <v>3</v>
      </c>
      <c r="C118" s="3" t="s">
        <v>39</v>
      </c>
      <c r="D118" s="4">
        <v>1</v>
      </c>
      <c r="E118" s="5">
        <v>25</v>
      </c>
      <c r="F118" s="5">
        <v>57.49</v>
      </c>
      <c r="G118" s="5">
        <v>25.992000000000001</v>
      </c>
      <c r="H118" s="10" t="s">
        <v>274</v>
      </c>
      <c r="I118" s="32" t="s">
        <v>241</v>
      </c>
    </row>
    <row r="119" spans="1:9" x14ac:dyDescent="0.2">
      <c r="A119" s="41">
        <v>2</v>
      </c>
      <c r="B119" s="36" t="s">
        <v>3</v>
      </c>
      <c r="C119" s="3" t="s">
        <v>264</v>
      </c>
      <c r="D119" s="4">
        <v>4</v>
      </c>
      <c r="E119" s="5">
        <v>4</v>
      </c>
      <c r="F119" s="5">
        <v>80.63</v>
      </c>
      <c r="G119" s="5">
        <v>61.303999999999995</v>
      </c>
      <c r="H119" s="10" t="s">
        <v>274</v>
      </c>
      <c r="I119" s="32" t="s">
        <v>241</v>
      </c>
    </row>
    <row r="120" spans="1:9" x14ac:dyDescent="0.2">
      <c r="A120" s="41">
        <v>2</v>
      </c>
      <c r="B120" s="36" t="s">
        <v>3</v>
      </c>
      <c r="C120" s="3" t="s">
        <v>264</v>
      </c>
      <c r="D120" s="4">
        <v>5</v>
      </c>
      <c r="E120" s="5">
        <v>5</v>
      </c>
      <c r="F120" s="5">
        <v>45.21</v>
      </c>
      <c r="G120" s="5">
        <v>32.167999999999999</v>
      </c>
      <c r="H120" s="10" t="s">
        <v>274</v>
      </c>
      <c r="I120" s="32" t="s">
        <v>241</v>
      </c>
    </row>
    <row r="121" spans="1:9" x14ac:dyDescent="0.2">
      <c r="A121" s="41">
        <v>2</v>
      </c>
      <c r="B121" s="36" t="s">
        <v>3</v>
      </c>
      <c r="C121" s="12" t="s">
        <v>50</v>
      </c>
      <c r="D121" s="4">
        <v>1</v>
      </c>
      <c r="E121" s="9">
        <v>25</v>
      </c>
      <c r="F121" s="9">
        <v>45</v>
      </c>
      <c r="G121" s="9">
        <f>F121-E121</f>
        <v>20</v>
      </c>
      <c r="H121" s="10" t="s">
        <v>274</v>
      </c>
      <c r="I121" s="16" t="s">
        <v>111</v>
      </c>
    </row>
    <row r="122" spans="1:9" x14ac:dyDescent="0.2">
      <c r="A122" s="41">
        <v>2</v>
      </c>
      <c r="B122" s="36" t="s">
        <v>3</v>
      </c>
      <c r="C122" s="20" t="s">
        <v>46</v>
      </c>
      <c r="D122" s="4">
        <v>1</v>
      </c>
      <c r="E122" s="15">
        <v>20</v>
      </c>
      <c r="F122" s="15">
        <v>40</v>
      </c>
      <c r="G122" s="5">
        <f>F122-E122</f>
        <v>20</v>
      </c>
      <c r="H122" s="10" t="s">
        <v>274</v>
      </c>
      <c r="I122" s="14" t="s">
        <v>111</v>
      </c>
    </row>
    <row r="123" spans="1:9" x14ac:dyDescent="0.2">
      <c r="A123" s="41">
        <v>2</v>
      </c>
      <c r="B123" s="36" t="s">
        <v>3</v>
      </c>
      <c r="C123" s="3" t="s">
        <v>40</v>
      </c>
      <c r="D123" s="4">
        <v>1</v>
      </c>
      <c r="E123" s="5">
        <v>25</v>
      </c>
      <c r="F123" s="5">
        <v>59.99</v>
      </c>
      <c r="G123" s="5">
        <v>27.992000000000001</v>
      </c>
      <c r="H123" s="10" t="s">
        <v>274</v>
      </c>
      <c r="I123" s="32" t="s">
        <v>241</v>
      </c>
    </row>
    <row r="124" spans="1:9" x14ac:dyDescent="0.2">
      <c r="A124" s="41">
        <v>2</v>
      </c>
      <c r="B124" s="36" t="s">
        <v>3</v>
      </c>
      <c r="C124" s="20" t="s">
        <v>41</v>
      </c>
      <c r="D124" s="4">
        <v>1</v>
      </c>
      <c r="E124" s="15">
        <v>30</v>
      </c>
      <c r="F124" s="15">
        <v>75</v>
      </c>
      <c r="G124" s="5">
        <f>F124-E124</f>
        <v>45</v>
      </c>
      <c r="H124" s="10" t="s">
        <v>274</v>
      </c>
      <c r="I124" s="14" t="s">
        <v>111</v>
      </c>
    </row>
    <row r="125" spans="1:9" x14ac:dyDescent="0.2">
      <c r="A125" s="41">
        <v>2</v>
      </c>
      <c r="B125" s="36" t="s">
        <v>3</v>
      </c>
      <c r="C125" s="20" t="s">
        <v>45</v>
      </c>
      <c r="D125" s="4">
        <v>1</v>
      </c>
      <c r="E125" s="15">
        <v>8.5</v>
      </c>
      <c r="F125" s="15">
        <v>20</v>
      </c>
      <c r="G125" s="5">
        <f>F125-E125</f>
        <v>11.5</v>
      </c>
      <c r="H125" s="10" t="s">
        <v>274</v>
      </c>
      <c r="I125" s="14" t="s">
        <v>111</v>
      </c>
    </row>
    <row r="126" spans="1:9" x14ac:dyDescent="0.2">
      <c r="A126" s="41">
        <v>3</v>
      </c>
      <c r="B126" s="36" t="s">
        <v>4</v>
      </c>
      <c r="C126" s="20" t="s">
        <v>250</v>
      </c>
      <c r="D126" s="4">
        <v>1</v>
      </c>
      <c r="E126" s="15">
        <v>40</v>
      </c>
      <c r="F126" s="15">
        <v>88.41</v>
      </c>
      <c r="G126" s="18">
        <f>F126-E126</f>
        <v>48.41</v>
      </c>
      <c r="H126" s="10" t="s">
        <v>274</v>
      </c>
      <c r="I126" s="32" t="s">
        <v>241</v>
      </c>
    </row>
    <row r="127" spans="1:9" x14ac:dyDescent="0.2">
      <c r="A127" s="41">
        <v>3</v>
      </c>
      <c r="B127" s="36" t="s">
        <v>4</v>
      </c>
      <c r="C127" s="20" t="s">
        <v>219</v>
      </c>
      <c r="D127" s="4">
        <v>1</v>
      </c>
      <c r="E127" s="9">
        <v>30</v>
      </c>
      <c r="F127" s="9">
        <v>80</v>
      </c>
      <c r="G127" s="18">
        <f>F127-E127</f>
        <v>50</v>
      </c>
      <c r="H127" s="10" t="s">
        <v>274</v>
      </c>
      <c r="I127" s="14" t="s">
        <v>111</v>
      </c>
    </row>
    <row r="128" spans="1:9" x14ac:dyDescent="0.2">
      <c r="A128" s="41">
        <v>3</v>
      </c>
      <c r="B128" s="36" t="s">
        <v>4</v>
      </c>
      <c r="C128" s="20" t="s">
        <v>251</v>
      </c>
      <c r="D128" s="4">
        <v>1</v>
      </c>
      <c r="E128" s="15">
        <v>10</v>
      </c>
      <c r="F128" s="15">
        <v>25.85</v>
      </c>
      <c r="G128" s="18">
        <f>F128-E128</f>
        <v>15.850000000000001</v>
      </c>
      <c r="H128" s="10" t="s">
        <v>274</v>
      </c>
      <c r="I128" s="32" t="s">
        <v>241</v>
      </c>
    </row>
    <row r="129" spans="1:9" x14ac:dyDescent="0.2">
      <c r="A129" s="41">
        <v>3</v>
      </c>
      <c r="B129" s="36" t="s">
        <v>4</v>
      </c>
      <c r="C129" s="20" t="s">
        <v>124</v>
      </c>
      <c r="D129" s="4">
        <v>1</v>
      </c>
      <c r="E129" s="15">
        <v>20</v>
      </c>
      <c r="F129" s="15">
        <v>40</v>
      </c>
      <c r="G129" s="18">
        <f>F129-E129</f>
        <v>20</v>
      </c>
      <c r="H129" s="10" t="s">
        <v>274</v>
      </c>
      <c r="I129" s="14" t="s">
        <v>111</v>
      </c>
    </row>
    <row r="130" spans="1:9" x14ac:dyDescent="0.2">
      <c r="A130" s="41">
        <v>3</v>
      </c>
      <c r="B130" s="36" t="s">
        <v>4</v>
      </c>
      <c r="C130" s="21" t="s">
        <v>53</v>
      </c>
      <c r="D130" s="4">
        <v>1</v>
      </c>
      <c r="E130" s="9">
        <v>5</v>
      </c>
      <c r="F130" s="9">
        <v>10</v>
      </c>
      <c r="G130" s="18">
        <f>F130-E130</f>
        <v>5</v>
      </c>
      <c r="H130" s="10" t="s">
        <v>274</v>
      </c>
      <c r="I130" s="14" t="s">
        <v>111</v>
      </c>
    </row>
    <row r="131" spans="1:9" x14ac:dyDescent="0.2">
      <c r="A131" s="41">
        <v>3</v>
      </c>
      <c r="B131" s="36" t="s">
        <v>4</v>
      </c>
      <c r="C131" s="21" t="s">
        <v>53</v>
      </c>
      <c r="D131" s="4">
        <v>1</v>
      </c>
      <c r="E131" s="9">
        <v>5</v>
      </c>
      <c r="F131" s="9">
        <v>10</v>
      </c>
      <c r="G131" s="18">
        <f>F131-E131</f>
        <v>5</v>
      </c>
      <c r="H131" s="10" t="s">
        <v>274</v>
      </c>
      <c r="I131" s="14" t="s">
        <v>111</v>
      </c>
    </row>
    <row r="132" spans="1:9" x14ac:dyDescent="0.2">
      <c r="A132" s="41">
        <v>3</v>
      </c>
      <c r="B132" s="36" t="s">
        <v>4</v>
      </c>
      <c r="C132" s="21" t="s">
        <v>53</v>
      </c>
      <c r="D132" s="4">
        <v>1</v>
      </c>
      <c r="E132" s="9">
        <v>5</v>
      </c>
      <c r="F132" s="9">
        <v>10</v>
      </c>
      <c r="G132" s="18">
        <f>F132-E132</f>
        <v>5</v>
      </c>
      <c r="H132" s="10" t="s">
        <v>274</v>
      </c>
      <c r="I132" s="14" t="s">
        <v>111</v>
      </c>
    </row>
    <row r="133" spans="1:9" x14ac:dyDescent="0.2">
      <c r="A133" s="41">
        <v>3</v>
      </c>
      <c r="B133" s="36" t="s">
        <v>4</v>
      </c>
      <c r="C133" s="21" t="s">
        <v>53</v>
      </c>
      <c r="D133" s="4">
        <v>1</v>
      </c>
      <c r="E133" s="9">
        <v>5</v>
      </c>
      <c r="F133" s="9">
        <v>10</v>
      </c>
      <c r="G133" s="18">
        <f>F133-E133</f>
        <v>5</v>
      </c>
      <c r="H133" s="10" t="s">
        <v>274</v>
      </c>
      <c r="I133" s="14" t="s">
        <v>111</v>
      </c>
    </row>
    <row r="134" spans="1:9" x14ac:dyDescent="0.2">
      <c r="A134" s="41">
        <v>3</v>
      </c>
      <c r="B134" s="36" t="s">
        <v>4</v>
      </c>
      <c r="C134" s="20" t="s">
        <v>101</v>
      </c>
      <c r="D134" s="4">
        <v>1</v>
      </c>
      <c r="E134" s="15">
        <v>5</v>
      </c>
      <c r="F134" s="15">
        <v>10</v>
      </c>
      <c r="G134" s="18">
        <f>F134-E134</f>
        <v>5</v>
      </c>
      <c r="H134" s="10" t="s">
        <v>274</v>
      </c>
      <c r="I134" s="14" t="s">
        <v>111</v>
      </c>
    </row>
    <row r="135" spans="1:9" x14ac:dyDescent="0.2">
      <c r="A135" s="41">
        <v>3</v>
      </c>
      <c r="B135" s="36" t="s">
        <v>4</v>
      </c>
      <c r="C135" s="20" t="s">
        <v>28</v>
      </c>
      <c r="D135" s="4">
        <v>1</v>
      </c>
      <c r="E135" s="15">
        <v>50</v>
      </c>
      <c r="F135" s="15">
        <v>111.73</v>
      </c>
      <c r="G135" s="18">
        <f>F135-E135</f>
        <v>61.730000000000004</v>
      </c>
      <c r="H135" s="10" t="s">
        <v>274</v>
      </c>
      <c r="I135" s="32" t="s">
        <v>241</v>
      </c>
    </row>
    <row r="136" spans="1:9" x14ac:dyDescent="0.2">
      <c r="A136" s="41">
        <v>3</v>
      </c>
      <c r="B136" s="36" t="s">
        <v>4</v>
      </c>
      <c r="C136" s="21" t="s">
        <v>55</v>
      </c>
      <c r="D136" s="4">
        <v>1</v>
      </c>
      <c r="E136" s="9">
        <v>0</v>
      </c>
      <c r="F136" s="9">
        <v>70</v>
      </c>
      <c r="G136" s="18">
        <f>F136-E136</f>
        <v>70</v>
      </c>
      <c r="H136" s="10" t="s">
        <v>274</v>
      </c>
      <c r="I136" s="14" t="s">
        <v>111</v>
      </c>
    </row>
    <row r="137" spans="1:9" x14ac:dyDescent="0.2">
      <c r="A137" s="41">
        <v>3</v>
      </c>
      <c r="B137" s="36" t="s">
        <v>4</v>
      </c>
      <c r="C137" s="20" t="s">
        <v>253</v>
      </c>
      <c r="D137" s="4">
        <v>1</v>
      </c>
      <c r="E137" s="9">
        <v>45</v>
      </c>
      <c r="F137" s="9">
        <v>100</v>
      </c>
      <c r="G137" s="18">
        <f>F137-E137</f>
        <v>55</v>
      </c>
      <c r="H137" s="10" t="s">
        <v>274</v>
      </c>
      <c r="I137" s="14" t="s">
        <v>111</v>
      </c>
    </row>
    <row r="138" spans="1:9" x14ac:dyDescent="0.2">
      <c r="A138" s="41">
        <v>3</v>
      </c>
      <c r="B138" s="36" t="s">
        <v>4</v>
      </c>
      <c r="C138" s="20" t="s">
        <v>253</v>
      </c>
      <c r="D138" s="4">
        <v>1</v>
      </c>
      <c r="E138" s="15">
        <v>30</v>
      </c>
      <c r="F138" s="15">
        <v>68.48</v>
      </c>
      <c r="G138" s="18">
        <f>F138-E138</f>
        <v>38.480000000000004</v>
      </c>
      <c r="H138" s="10" t="s">
        <v>274</v>
      </c>
      <c r="I138" s="32" t="s">
        <v>241</v>
      </c>
    </row>
    <row r="139" spans="1:9" x14ac:dyDescent="0.2">
      <c r="A139" s="41">
        <v>3</v>
      </c>
      <c r="B139" s="36" t="s">
        <v>4</v>
      </c>
      <c r="C139" s="20" t="s">
        <v>182</v>
      </c>
      <c r="D139" s="4">
        <v>1</v>
      </c>
      <c r="E139" s="15">
        <v>12</v>
      </c>
      <c r="F139" s="15">
        <v>22</v>
      </c>
      <c r="G139" s="18">
        <f>F139-E139</f>
        <v>10</v>
      </c>
      <c r="H139" s="10" t="s">
        <v>274</v>
      </c>
      <c r="I139" s="14" t="s">
        <v>111</v>
      </c>
    </row>
    <row r="140" spans="1:9" x14ac:dyDescent="0.2">
      <c r="A140" s="41">
        <v>3</v>
      </c>
      <c r="B140" s="36" t="s">
        <v>4</v>
      </c>
      <c r="C140" s="20" t="s">
        <v>183</v>
      </c>
      <c r="D140" s="4">
        <v>1</v>
      </c>
      <c r="E140" s="9">
        <v>7</v>
      </c>
      <c r="F140" s="9">
        <v>20</v>
      </c>
      <c r="G140" s="18">
        <f>F140-E140</f>
        <v>13</v>
      </c>
      <c r="H140" s="10" t="s">
        <v>274</v>
      </c>
      <c r="I140" s="14" t="s">
        <v>111</v>
      </c>
    </row>
    <row r="141" spans="1:9" x14ac:dyDescent="0.2">
      <c r="A141" s="41">
        <v>3</v>
      </c>
      <c r="B141" s="36" t="s">
        <v>4</v>
      </c>
      <c r="C141" s="20" t="s">
        <v>256</v>
      </c>
      <c r="D141" s="4">
        <v>1</v>
      </c>
      <c r="E141" s="15">
        <v>25</v>
      </c>
      <c r="F141" s="15">
        <v>40</v>
      </c>
      <c r="G141" s="18">
        <f>F141-E141</f>
        <v>15</v>
      </c>
      <c r="H141" s="10" t="s">
        <v>274</v>
      </c>
      <c r="I141" s="14" t="s">
        <v>111</v>
      </c>
    </row>
    <row r="142" spans="1:9" x14ac:dyDescent="0.2">
      <c r="A142" s="41">
        <v>3</v>
      </c>
      <c r="B142" s="36" t="s">
        <v>4</v>
      </c>
      <c r="C142" s="20" t="s">
        <v>59</v>
      </c>
      <c r="D142" s="4">
        <v>1</v>
      </c>
      <c r="E142" s="15">
        <v>95</v>
      </c>
      <c r="F142" s="15">
        <v>193.1</v>
      </c>
      <c r="G142" s="18">
        <f>F142-E142</f>
        <v>98.1</v>
      </c>
      <c r="H142" s="10" t="s">
        <v>274</v>
      </c>
      <c r="I142" s="32" t="s">
        <v>241</v>
      </c>
    </row>
    <row r="143" spans="1:9" x14ac:dyDescent="0.2">
      <c r="A143" s="41">
        <v>3</v>
      </c>
      <c r="B143" s="36" t="s">
        <v>4</v>
      </c>
      <c r="C143" s="20" t="s">
        <v>263</v>
      </c>
      <c r="D143" s="4">
        <v>1</v>
      </c>
      <c r="E143" s="15">
        <v>25</v>
      </c>
      <c r="F143" s="15">
        <v>55.65</v>
      </c>
      <c r="G143" s="18">
        <f>F143-E143</f>
        <v>30.65</v>
      </c>
      <c r="H143" s="10" t="s">
        <v>274</v>
      </c>
      <c r="I143" s="32" t="s">
        <v>241</v>
      </c>
    </row>
    <row r="144" spans="1:9" x14ac:dyDescent="0.2">
      <c r="A144" s="41">
        <v>3</v>
      </c>
      <c r="B144" s="36" t="s">
        <v>4</v>
      </c>
      <c r="C144" s="20" t="s">
        <v>61</v>
      </c>
      <c r="D144" s="4">
        <v>1</v>
      </c>
      <c r="E144" s="15">
        <v>10</v>
      </c>
      <c r="F144" s="15">
        <v>34.58</v>
      </c>
      <c r="G144" s="18">
        <f>F144-E144</f>
        <v>24.58</v>
      </c>
      <c r="H144" s="10" t="s">
        <v>274</v>
      </c>
      <c r="I144" s="32" t="s">
        <v>241</v>
      </c>
    </row>
    <row r="145" spans="1:9" x14ac:dyDescent="0.2">
      <c r="A145" s="41">
        <v>3</v>
      </c>
      <c r="B145" s="36" t="s">
        <v>4</v>
      </c>
      <c r="C145" s="20" t="s">
        <v>258</v>
      </c>
      <c r="D145" s="4">
        <v>1</v>
      </c>
      <c r="E145" s="9">
        <v>5</v>
      </c>
      <c r="F145" s="9">
        <v>10</v>
      </c>
      <c r="G145" s="18">
        <f>F145-E145</f>
        <v>5</v>
      </c>
      <c r="H145" s="10" t="s">
        <v>274</v>
      </c>
      <c r="I145" s="14" t="s">
        <v>111</v>
      </c>
    </row>
    <row r="146" spans="1:9" x14ac:dyDescent="0.2">
      <c r="A146" s="41">
        <v>3</v>
      </c>
      <c r="B146" s="36" t="s">
        <v>4</v>
      </c>
      <c r="C146" s="20" t="s">
        <v>258</v>
      </c>
      <c r="D146" s="4">
        <v>1</v>
      </c>
      <c r="E146" s="9">
        <v>5</v>
      </c>
      <c r="F146" s="9">
        <v>10</v>
      </c>
      <c r="G146" s="18">
        <f>F146-E146</f>
        <v>5</v>
      </c>
      <c r="H146" s="10" t="s">
        <v>274</v>
      </c>
      <c r="I146" s="14" t="s">
        <v>111</v>
      </c>
    </row>
    <row r="147" spans="1:9" x14ac:dyDescent="0.2">
      <c r="A147" s="41">
        <v>3</v>
      </c>
      <c r="B147" s="36" t="s">
        <v>4</v>
      </c>
      <c r="C147" s="20" t="s">
        <v>258</v>
      </c>
      <c r="D147" s="4">
        <v>1</v>
      </c>
      <c r="E147" s="9">
        <v>5</v>
      </c>
      <c r="F147" s="9">
        <v>10</v>
      </c>
      <c r="G147" s="18">
        <f>F147-E147</f>
        <v>5</v>
      </c>
      <c r="H147" s="10" t="s">
        <v>274</v>
      </c>
      <c r="I147" s="14" t="s">
        <v>111</v>
      </c>
    </row>
    <row r="148" spans="1:9" x14ac:dyDescent="0.2">
      <c r="A148" s="41">
        <v>3</v>
      </c>
      <c r="B148" s="36" t="s">
        <v>4</v>
      </c>
      <c r="C148" s="20" t="s">
        <v>58</v>
      </c>
      <c r="D148" s="4">
        <v>3</v>
      </c>
      <c r="E148" s="15">
        <v>150</v>
      </c>
      <c r="F148" s="15">
        <v>341.995</v>
      </c>
      <c r="G148" s="18">
        <f>F148-E148</f>
        <v>191.995</v>
      </c>
      <c r="H148" s="10" t="s">
        <v>274</v>
      </c>
      <c r="I148" s="32" t="s">
        <v>241</v>
      </c>
    </row>
    <row r="149" spans="1:9" x14ac:dyDescent="0.2">
      <c r="A149" s="41">
        <v>3</v>
      </c>
      <c r="B149" s="36" t="s">
        <v>4</v>
      </c>
      <c r="C149" s="20" t="s">
        <v>100</v>
      </c>
      <c r="D149" s="4">
        <v>1</v>
      </c>
      <c r="E149" s="9">
        <v>14</v>
      </c>
      <c r="F149" s="9">
        <v>30</v>
      </c>
      <c r="G149" s="18">
        <f>F149-E149</f>
        <v>16</v>
      </c>
      <c r="H149" s="10" t="s">
        <v>274</v>
      </c>
      <c r="I149" s="14" t="s">
        <v>111</v>
      </c>
    </row>
    <row r="150" spans="1:9" x14ac:dyDescent="0.2">
      <c r="A150" s="41">
        <v>3</v>
      </c>
      <c r="B150" s="36" t="s">
        <v>4</v>
      </c>
      <c r="C150" s="20" t="s">
        <v>260</v>
      </c>
      <c r="D150" s="4">
        <v>4</v>
      </c>
      <c r="E150" s="15">
        <v>160</v>
      </c>
      <c r="F150" s="15">
        <v>310.55</v>
      </c>
      <c r="G150" s="18">
        <f>F150-E150</f>
        <v>150.55000000000001</v>
      </c>
      <c r="H150" s="10" t="s">
        <v>274</v>
      </c>
      <c r="I150" s="32" t="s">
        <v>241</v>
      </c>
    </row>
    <row r="151" spans="1:9" x14ac:dyDescent="0.2">
      <c r="A151" s="41">
        <v>3</v>
      </c>
      <c r="B151" s="36" t="s">
        <v>4</v>
      </c>
      <c r="C151" s="20" t="s">
        <v>57</v>
      </c>
      <c r="D151" s="4">
        <v>1</v>
      </c>
      <c r="E151" s="15">
        <v>38</v>
      </c>
      <c r="F151" s="15">
        <v>60</v>
      </c>
      <c r="G151" s="18">
        <f>F151-E151</f>
        <v>22</v>
      </c>
      <c r="H151" s="10" t="s">
        <v>274</v>
      </c>
      <c r="I151" s="14" t="s">
        <v>111</v>
      </c>
    </row>
    <row r="152" spans="1:9" x14ac:dyDescent="0.2">
      <c r="A152" s="41">
        <v>3</v>
      </c>
      <c r="B152" s="36" t="s">
        <v>4</v>
      </c>
      <c r="C152" s="20" t="s">
        <v>119</v>
      </c>
      <c r="D152" s="4">
        <v>1</v>
      </c>
      <c r="E152" s="15">
        <v>3</v>
      </c>
      <c r="F152" s="15">
        <v>9.18</v>
      </c>
      <c r="G152" s="18">
        <f>F152-E152</f>
        <v>6.18</v>
      </c>
      <c r="H152" s="10" t="s">
        <v>274</v>
      </c>
      <c r="I152" s="32" t="s">
        <v>241</v>
      </c>
    </row>
    <row r="153" spans="1:9" x14ac:dyDescent="0.2">
      <c r="A153" s="41">
        <v>3</v>
      </c>
      <c r="B153" s="36" t="s">
        <v>4</v>
      </c>
      <c r="C153" s="20" t="s">
        <v>62</v>
      </c>
      <c r="D153" s="4">
        <v>1</v>
      </c>
      <c r="E153" s="15">
        <v>20</v>
      </c>
      <c r="F153" s="15">
        <v>76.95</v>
      </c>
      <c r="G153" s="18">
        <f>F153-E153</f>
        <v>56.95</v>
      </c>
      <c r="H153" s="10" t="s">
        <v>274</v>
      </c>
      <c r="I153" s="32" t="s">
        <v>241</v>
      </c>
    </row>
    <row r="154" spans="1:9" x14ac:dyDescent="0.2">
      <c r="A154" s="41">
        <v>3</v>
      </c>
      <c r="B154" s="36" t="s">
        <v>4</v>
      </c>
      <c r="C154" s="20" t="s">
        <v>32</v>
      </c>
      <c r="D154" s="4">
        <v>2</v>
      </c>
      <c r="E154" s="15">
        <v>30</v>
      </c>
      <c r="F154" s="15">
        <v>120.31</v>
      </c>
      <c r="G154" s="18">
        <f>F154-E154</f>
        <v>90.31</v>
      </c>
      <c r="H154" s="10" t="s">
        <v>274</v>
      </c>
      <c r="I154" s="32" t="s">
        <v>241</v>
      </c>
    </row>
    <row r="155" spans="1:9" x14ac:dyDescent="0.2">
      <c r="A155" s="41">
        <v>3</v>
      </c>
      <c r="B155" s="36" t="s">
        <v>4</v>
      </c>
      <c r="C155" s="20" t="s">
        <v>63</v>
      </c>
      <c r="D155" s="4">
        <v>3</v>
      </c>
      <c r="E155" s="15">
        <v>22.5</v>
      </c>
      <c r="F155" s="15">
        <v>54</v>
      </c>
      <c r="G155" s="18">
        <f>F155-E155</f>
        <v>31.5</v>
      </c>
      <c r="H155" s="10" t="s">
        <v>274</v>
      </c>
      <c r="I155" s="32" t="s">
        <v>241</v>
      </c>
    </row>
    <row r="156" spans="1:9" x14ac:dyDescent="0.2">
      <c r="A156" s="41">
        <v>3</v>
      </c>
      <c r="B156" s="36" t="s">
        <v>4</v>
      </c>
      <c r="C156" s="20" t="s">
        <v>60</v>
      </c>
      <c r="D156" s="4">
        <v>1</v>
      </c>
      <c r="E156" s="15">
        <v>24</v>
      </c>
      <c r="F156" s="15">
        <v>43.8</v>
      </c>
      <c r="G156" s="18">
        <f>F156-E156</f>
        <v>19.799999999999997</v>
      </c>
      <c r="H156" s="10" t="s">
        <v>274</v>
      </c>
      <c r="I156" s="32" t="s">
        <v>241</v>
      </c>
    </row>
    <row r="157" spans="1:9" x14ac:dyDescent="0.2">
      <c r="A157" s="41">
        <v>3</v>
      </c>
      <c r="B157" s="36" t="s">
        <v>4</v>
      </c>
      <c r="C157" s="20" t="s">
        <v>65</v>
      </c>
      <c r="D157" s="4">
        <v>7</v>
      </c>
      <c r="E157" s="15">
        <v>400</v>
      </c>
      <c r="F157" s="15">
        <v>787.78</v>
      </c>
      <c r="G157" s="18">
        <f>F157-E157</f>
        <v>387.78</v>
      </c>
      <c r="H157" s="10" t="s">
        <v>274</v>
      </c>
      <c r="I157" s="32" t="s">
        <v>241</v>
      </c>
    </row>
    <row r="158" spans="1:9" x14ac:dyDescent="0.2">
      <c r="A158" s="41">
        <v>3</v>
      </c>
      <c r="B158" s="36" t="s">
        <v>4</v>
      </c>
      <c r="C158" s="20" t="s">
        <v>75</v>
      </c>
      <c r="D158" s="4">
        <v>1</v>
      </c>
      <c r="E158" s="15">
        <v>7.5</v>
      </c>
      <c r="F158" s="15">
        <v>20</v>
      </c>
      <c r="G158" s="18">
        <f>F158-E158</f>
        <v>12.5</v>
      </c>
      <c r="H158" s="10" t="s">
        <v>274</v>
      </c>
      <c r="I158" s="14" t="s">
        <v>111</v>
      </c>
    </row>
    <row r="159" spans="1:9" x14ac:dyDescent="0.2">
      <c r="A159" s="41">
        <v>3</v>
      </c>
      <c r="B159" s="36" t="s">
        <v>4</v>
      </c>
      <c r="C159" s="20" t="s">
        <v>122</v>
      </c>
      <c r="D159" s="4">
        <v>1</v>
      </c>
      <c r="E159" s="15">
        <v>45</v>
      </c>
      <c r="F159" s="15">
        <v>80</v>
      </c>
      <c r="G159" s="18">
        <f>F159-E159</f>
        <v>35</v>
      </c>
      <c r="H159" s="10" t="s">
        <v>274</v>
      </c>
      <c r="I159" s="14" t="s">
        <v>111</v>
      </c>
    </row>
    <row r="160" spans="1:9" x14ac:dyDescent="0.2">
      <c r="A160" s="41">
        <v>3</v>
      </c>
      <c r="B160" s="36" t="s">
        <v>4</v>
      </c>
      <c r="C160" s="20" t="s">
        <v>122</v>
      </c>
      <c r="D160" s="4">
        <v>1</v>
      </c>
      <c r="E160" s="15">
        <v>45</v>
      </c>
      <c r="F160" s="15">
        <v>80</v>
      </c>
      <c r="G160" s="18">
        <f>F160-E160</f>
        <v>35</v>
      </c>
      <c r="H160" s="10" t="s">
        <v>274</v>
      </c>
      <c r="I160" s="14" t="s">
        <v>111</v>
      </c>
    </row>
    <row r="161" spans="1:9" x14ac:dyDescent="0.2">
      <c r="A161" s="41">
        <v>3</v>
      </c>
      <c r="B161" s="36" t="s">
        <v>4</v>
      </c>
      <c r="C161" s="20" t="s">
        <v>125</v>
      </c>
      <c r="D161" s="4">
        <v>1</v>
      </c>
      <c r="E161" s="15">
        <v>35</v>
      </c>
      <c r="F161" s="15">
        <v>93.31</v>
      </c>
      <c r="G161" s="18">
        <f>F161-E161</f>
        <v>58.31</v>
      </c>
      <c r="H161" s="10" t="s">
        <v>274</v>
      </c>
      <c r="I161" s="32" t="s">
        <v>241</v>
      </c>
    </row>
    <row r="162" spans="1:9" x14ac:dyDescent="0.2">
      <c r="A162" s="41">
        <v>3</v>
      </c>
      <c r="B162" s="36" t="s">
        <v>4</v>
      </c>
      <c r="C162" s="20" t="s">
        <v>181</v>
      </c>
      <c r="D162" s="4">
        <v>1</v>
      </c>
      <c r="E162" s="9">
        <v>7.5</v>
      </c>
      <c r="F162" s="9">
        <v>15</v>
      </c>
      <c r="G162" s="18">
        <f>F162-E162</f>
        <v>7.5</v>
      </c>
      <c r="H162" s="10" t="s">
        <v>274</v>
      </c>
      <c r="I162" s="14" t="s">
        <v>111</v>
      </c>
    </row>
    <row r="163" spans="1:9" x14ac:dyDescent="0.2">
      <c r="A163" s="41">
        <v>3</v>
      </c>
      <c r="B163" s="36" t="s">
        <v>4</v>
      </c>
      <c r="C163" s="20" t="s">
        <v>181</v>
      </c>
      <c r="D163" s="4">
        <v>1</v>
      </c>
      <c r="E163" s="15">
        <v>7.5</v>
      </c>
      <c r="F163" s="15">
        <v>15</v>
      </c>
      <c r="G163" s="18">
        <f>F163-E163</f>
        <v>7.5</v>
      </c>
      <c r="H163" s="10" t="s">
        <v>274</v>
      </c>
      <c r="I163" s="14" t="s">
        <v>111</v>
      </c>
    </row>
    <row r="164" spans="1:9" x14ac:dyDescent="0.2">
      <c r="A164" s="41">
        <v>3</v>
      </c>
      <c r="B164" s="36" t="s">
        <v>4</v>
      </c>
      <c r="C164" s="12" t="s">
        <v>121</v>
      </c>
      <c r="D164" s="4">
        <v>1</v>
      </c>
      <c r="E164" s="9">
        <v>60</v>
      </c>
      <c r="F164" s="9">
        <v>120</v>
      </c>
      <c r="G164" s="18">
        <f>F164-E164</f>
        <v>60</v>
      </c>
      <c r="H164" s="10" t="s">
        <v>274</v>
      </c>
      <c r="I164" s="14" t="s">
        <v>111</v>
      </c>
    </row>
    <row r="165" spans="1:9" x14ac:dyDescent="0.2">
      <c r="A165" s="41">
        <v>3</v>
      </c>
      <c r="B165" s="36" t="s">
        <v>4</v>
      </c>
      <c r="C165" s="20" t="s">
        <v>56</v>
      </c>
      <c r="D165" s="4">
        <v>1</v>
      </c>
      <c r="E165" s="15">
        <v>25</v>
      </c>
      <c r="F165" s="15">
        <v>55</v>
      </c>
      <c r="G165" s="18">
        <f>F165-E165</f>
        <v>30</v>
      </c>
      <c r="H165" s="10" t="s">
        <v>274</v>
      </c>
      <c r="I165" s="14" t="s">
        <v>111</v>
      </c>
    </row>
    <row r="166" spans="1:9" x14ac:dyDescent="0.2">
      <c r="A166" s="41">
        <v>3</v>
      </c>
      <c r="B166" s="36" t="s">
        <v>4</v>
      </c>
      <c r="C166" s="20" t="s">
        <v>56</v>
      </c>
      <c r="D166" s="4">
        <v>1</v>
      </c>
      <c r="E166" s="15">
        <v>25</v>
      </c>
      <c r="F166" s="15">
        <v>55</v>
      </c>
      <c r="G166" s="18">
        <f>F166-E166</f>
        <v>30</v>
      </c>
      <c r="H166" s="10" t="s">
        <v>274</v>
      </c>
      <c r="I166" s="14" t="s">
        <v>111</v>
      </c>
    </row>
    <row r="167" spans="1:9" x14ac:dyDescent="0.2">
      <c r="A167" s="41">
        <v>3</v>
      </c>
      <c r="B167" s="36" t="s">
        <v>4</v>
      </c>
      <c r="C167" s="20" t="s">
        <v>123</v>
      </c>
      <c r="D167" s="4">
        <v>1</v>
      </c>
      <c r="E167" s="15">
        <v>100</v>
      </c>
      <c r="F167" s="15">
        <v>160</v>
      </c>
      <c r="G167" s="18">
        <f>F167-E167</f>
        <v>60</v>
      </c>
      <c r="H167" s="10" t="s">
        <v>274</v>
      </c>
      <c r="I167" s="14" t="s">
        <v>111</v>
      </c>
    </row>
    <row r="168" spans="1:9" x14ac:dyDescent="0.2">
      <c r="A168" s="41">
        <v>3</v>
      </c>
      <c r="B168" s="36" t="s">
        <v>4</v>
      </c>
      <c r="C168" s="20" t="s">
        <v>123</v>
      </c>
      <c r="D168" s="4">
        <v>1</v>
      </c>
      <c r="E168" s="15">
        <v>100</v>
      </c>
      <c r="F168" s="15">
        <v>160</v>
      </c>
      <c r="G168" s="18">
        <f>F168-E168</f>
        <v>60</v>
      </c>
      <c r="H168" s="10" t="s">
        <v>274</v>
      </c>
      <c r="I168" s="14" t="s">
        <v>111</v>
      </c>
    </row>
    <row r="169" spans="1:9" x14ac:dyDescent="0.2">
      <c r="A169" s="41">
        <v>3</v>
      </c>
      <c r="B169" s="36" t="s">
        <v>4</v>
      </c>
      <c r="C169" s="20" t="s">
        <v>64</v>
      </c>
      <c r="D169" s="4">
        <v>1</v>
      </c>
      <c r="E169" s="15">
        <v>1</v>
      </c>
      <c r="F169" s="15">
        <v>34.229999999999997</v>
      </c>
      <c r="G169" s="18">
        <f>F169-E169</f>
        <v>33.229999999999997</v>
      </c>
      <c r="H169" s="10" t="s">
        <v>274</v>
      </c>
      <c r="I169" s="32" t="s">
        <v>241</v>
      </c>
    </row>
    <row r="170" spans="1:9" x14ac:dyDescent="0.2">
      <c r="A170" s="41">
        <v>3</v>
      </c>
      <c r="B170" s="36" t="s">
        <v>4</v>
      </c>
      <c r="C170" s="21" t="s">
        <v>54</v>
      </c>
      <c r="D170" s="4">
        <v>1</v>
      </c>
      <c r="E170" s="9">
        <v>0</v>
      </c>
      <c r="F170" s="9">
        <v>131</v>
      </c>
      <c r="G170" s="18">
        <f>F170-E170</f>
        <v>131</v>
      </c>
      <c r="H170" s="10" t="s">
        <v>274</v>
      </c>
      <c r="I170" s="14" t="s">
        <v>111</v>
      </c>
    </row>
    <row r="171" spans="1:9" x14ac:dyDescent="0.2">
      <c r="A171" s="41">
        <v>4</v>
      </c>
      <c r="B171" s="36" t="s">
        <v>5</v>
      </c>
      <c r="C171" s="20" t="s">
        <v>26</v>
      </c>
      <c r="D171" s="4">
        <v>1</v>
      </c>
      <c r="E171" s="15">
        <v>50</v>
      </c>
      <c r="F171" s="15">
        <v>158.46</v>
      </c>
      <c r="G171" s="18">
        <v>86.768000000000001</v>
      </c>
      <c r="H171" s="10" t="s">
        <v>274</v>
      </c>
      <c r="I171" s="32" t="s">
        <v>241</v>
      </c>
    </row>
    <row r="172" spans="1:9" x14ac:dyDescent="0.2">
      <c r="A172" s="41">
        <v>4</v>
      </c>
      <c r="B172" s="36" t="s">
        <v>5</v>
      </c>
      <c r="C172" s="20" t="s">
        <v>219</v>
      </c>
      <c r="D172" s="4">
        <v>1</v>
      </c>
      <c r="E172" s="15">
        <v>22</v>
      </c>
      <c r="F172" s="15">
        <v>35</v>
      </c>
      <c r="G172" s="18">
        <f>F172-E172</f>
        <v>13</v>
      </c>
      <c r="H172" s="10" t="s">
        <v>274</v>
      </c>
      <c r="I172" s="14" t="s">
        <v>111</v>
      </c>
    </row>
    <row r="173" spans="1:9" x14ac:dyDescent="0.2">
      <c r="A173" s="41">
        <v>4</v>
      </c>
      <c r="B173" s="36" t="s">
        <v>5</v>
      </c>
      <c r="C173" s="20" t="s">
        <v>219</v>
      </c>
      <c r="D173" s="4">
        <v>1</v>
      </c>
      <c r="E173" s="15">
        <v>30</v>
      </c>
      <c r="F173" s="15">
        <v>60</v>
      </c>
      <c r="G173" s="18">
        <f>F173-E173</f>
        <v>30</v>
      </c>
      <c r="H173" s="10" t="s">
        <v>274</v>
      </c>
      <c r="I173" s="14" t="s">
        <v>111</v>
      </c>
    </row>
    <row r="174" spans="1:9" x14ac:dyDescent="0.2">
      <c r="A174" s="41">
        <v>4</v>
      </c>
      <c r="B174" s="36" t="s">
        <v>5</v>
      </c>
      <c r="C174" s="20" t="s">
        <v>130</v>
      </c>
      <c r="D174" s="4">
        <v>1</v>
      </c>
      <c r="E174" s="15">
        <v>10</v>
      </c>
      <c r="F174" s="15">
        <v>20</v>
      </c>
      <c r="G174" s="18">
        <f>F174-E174</f>
        <v>10</v>
      </c>
      <c r="H174" s="10" t="s">
        <v>274</v>
      </c>
      <c r="I174" s="14" t="s">
        <v>111</v>
      </c>
    </row>
    <row r="175" spans="1:9" x14ac:dyDescent="0.2">
      <c r="A175" s="41">
        <v>4</v>
      </c>
      <c r="B175" s="36" t="s">
        <v>5</v>
      </c>
      <c r="C175" s="20" t="s">
        <v>191</v>
      </c>
      <c r="D175" s="4">
        <v>11</v>
      </c>
      <c r="E175" s="15">
        <v>30.799999999999997</v>
      </c>
      <c r="F175" s="15">
        <v>159.06</v>
      </c>
      <c r="G175" s="18">
        <v>102.60799999999999</v>
      </c>
      <c r="H175" s="10" t="s">
        <v>274</v>
      </c>
      <c r="I175" s="32" t="s">
        <v>241</v>
      </c>
    </row>
    <row r="176" spans="1:9" x14ac:dyDescent="0.2">
      <c r="A176" s="41">
        <v>4</v>
      </c>
      <c r="B176" s="36" t="s">
        <v>5</v>
      </c>
      <c r="C176" s="20" t="s">
        <v>142</v>
      </c>
      <c r="D176" s="4">
        <v>1</v>
      </c>
      <c r="E176" s="15">
        <v>20</v>
      </c>
      <c r="F176" s="15">
        <v>136.86000000000001</v>
      </c>
      <c r="G176" s="18">
        <v>93.488000000000014</v>
      </c>
      <c r="H176" s="10" t="s">
        <v>274</v>
      </c>
      <c r="I176" s="32" t="s">
        <v>241</v>
      </c>
    </row>
    <row r="177" spans="1:9" x14ac:dyDescent="0.2">
      <c r="A177" s="41">
        <v>4</v>
      </c>
      <c r="B177" s="36" t="s">
        <v>5</v>
      </c>
      <c r="C177" s="20" t="s">
        <v>128</v>
      </c>
      <c r="D177" s="4">
        <v>2</v>
      </c>
      <c r="E177" s="15">
        <v>28</v>
      </c>
      <c r="F177" s="15">
        <v>85.47</v>
      </c>
      <c r="G177" s="18">
        <v>45.975999999999999</v>
      </c>
      <c r="H177" s="10" t="s">
        <v>274</v>
      </c>
      <c r="I177" s="32" t="s">
        <v>241</v>
      </c>
    </row>
    <row r="178" spans="1:9" x14ac:dyDescent="0.2">
      <c r="A178" s="41">
        <v>4</v>
      </c>
      <c r="B178" s="36" t="s">
        <v>5</v>
      </c>
      <c r="C178" s="20" t="s">
        <v>258</v>
      </c>
      <c r="D178" s="4">
        <v>1</v>
      </c>
      <c r="E178" s="15">
        <v>4</v>
      </c>
      <c r="F178" s="15">
        <v>10</v>
      </c>
      <c r="G178" s="18">
        <f>F178-E178</f>
        <v>6</v>
      </c>
      <c r="H178" s="10" t="s">
        <v>274</v>
      </c>
      <c r="I178" s="14" t="s">
        <v>111</v>
      </c>
    </row>
    <row r="179" spans="1:9" x14ac:dyDescent="0.2">
      <c r="A179" s="41">
        <v>4</v>
      </c>
      <c r="B179" s="36" t="s">
        <v>5</v>
      </c>
      <c r="C179" s="20" t="s">
        <v>259</v>
      </c>
      <c r="D179" s="4">
        <v>2</v>
      </c>
      <c r="E179" s="15">
        <v>30</v>
      </c>
      <c r="F179" s="15">
        <v>73.86</v>
      </c>
      <c r="G179" s="18">
        <v>35.088000000000001</v>
      </c>
      <c r="H179" s="10" t="s">
        <v>274</v>
      </c>
      <c r="I179" s="32" t="s">
        <v>241</v>
      </c>
    </row>
    <row r="180" spans="1:9" x14ac:dyDescent="0.2">
      <c r="A180" s="41">
        <v>4</v>
      </c>
      <c r="B180" s="36" t="s">
        <v>5</v>
      </c>
      <c r="C180" s="20" t="s">
        <v>260</v>
      </c>
      <c r="D180" s="4">
        <v>1</v>
      </c>
      <c r="E180" s="15">
        <v>40</v>
      </c>
      <c r="F180" s="15">
        <v>71.55</v>
      </c>
      <c r="G180" s="18">
        <v>25.24</v>
      </c>
      <c r="H180" s="10" t="s">
        <v>274</v>
      </c>
      <c r="I180" s="32" t="s">
        <v>241</v>
      </c>
    </row>
    <row r="181" spans="1:9" x14ac:dyDescent="0.2">
      <c r="A181" s="41">
        <v>4</v>
      </c>
      <c r="B181" s="36" t="s">
        <v>5</v>
      </c>
      <c r="C181" s="20" t="s">
        <v>77</v>
      </c>
      <c r="D181" s="4">
        <v>2</v>
      </c>
      <c r="E181" s="15">
        <v>34</v>
      </c>
      <c r="F181" s="15">
        <v>105.95</v>
      </c>
      <c r="G181" s="18">
        <v>57.56</v>
      </c>
      <c r="H181" s="10" t="s">
        <v>274</v>
      </c>
      <c r="I181" s="32" t="s">
        <v>241</v>
      </c>
    </row>
    <row r="182" spans="1:9" x14ac:dyDescent="0.2">
      <c r="A182" s="41">
        <v>4</v>
      </c>
      <c r="B182" s="36" t="s">
        <v>5</v>
      </c>
      <c r="C182" s="20" t="s">
        <v>32</v>
      </c>
      <c r="D182" s="4">
        <v>2</v>
      </c>
      <c r="E182" s="15">
        <v>30</v>
      </c>
      <c r="F182" s="15">
        <v>84.66</v>
      </c>
      <c r="G182" s="18">
        <v>43.727999999999994</v>
      </c>
      <c r="H182" s="10" t="s">
        <v>274</v>
      </c>
      <c r="I182" s="32" t="s">
        <v>241</v>
      </c>
    </row>
    <row r="183" spans="1:9" x14ac:dyDescent="0.2">
      <c r="A183" s="41">
        <v>4</v>
      </c>
      <c r="B183" s="36" t="s">
        <v>5</v>
      </c>
      <c r="C183" s="20" t="s">
        <v>126</v>
      </c>
      <c r="D183" s="4">
        <v>1</v>
      </c>
      <c r="E183" s="15">
        <v>25</v>
      </c>
      <c r="F183" s="15">
        <v>50</v>
      </c>
      <c r="G183" s="18">
        <f>F183-E183</f>
        <v>25</v>
      </c>
      <c r="H183" s="10" t="s">
        <v>274</v>
      </c>
      <c r="I183" s="14" t="s">
        <v>111</v>
      </c>
    </row>
    <row r="184" spans="1:9" x14ac:dyDescent="0.2">
      <c r="A184" s="41">
        <v>4</v>
      </c>
      <c r="B184" s="36" t="s">
        <v>5</v>
      </c>
      <c r="C184" s="20" t="s">
        <v>127</v>
      </c>
      <c r="D184" s="4">
        <v>1</v>
      </c>
      <c r="E184" s="15">
        <v>25</v>
      </c>
      <c r="F184" s="15">
        <v>40</v>
      </c>
      <c r="G184" s="18">
        <f>F184-E184</f>
        <v>15</v>
      </c>
      <c r="H184" s="10" t="s">
        <v>274</v>
      </c>
      <c r="I184" s="14" t="s">
        <v>111</v>
      </c>
    </row>
    <row r="185" spans="1:9" x14ac:dyDescent="0.2">
      <c r="A185" s="41">
        <v>4</v>
      </c>
      <c r="B185" s="36" t="s">
        <v>5</v>
      </c>
      <c r="C185" s="20" t="s">
        <v>78</v>
      </c>
      <c r="D185" s="4">
        <v>1</v>
      </c>
      <c r="E185" s="15">
        <v>16</v>
      </c>
      <c r="F185" s="15">
        <v>37.25</v>
      </c>
      <c r="G185" s="18">
        <v>17</v>
      </c>
      <c r="H185" s="10" t="s">
        <v>274</v>
      </c>
      <c r="I185" s="32" t="s">
        <v>241</v>
      </c>
    </row>
    <row r="186" spans="1:9" x14ac:dyDescent="0.2">
      <c r="A186" s="41">
        <v>4</v>
      </c>
      <c r="B186" s="36" t="s">
        <v>5</v>
      </c>
      <c r="C186" s="20" t="s">
        <v>65</v>
      </c>
      <c r="D186" s="4">
        <v>7</v>
      </c>
      <c r="E186" s="15">
        <v>350</v>
      </c>
      <c r="F186" s="15">
        <v>579.28</v>
      </c>
      <c r="G186" s="18">
        <f>F186-E186</f>
        <v>229.27999999999997</v>
      </c>
      <c r="H186" s="10" t="s">
        <v>274</v>
      </c>
      <c r="I186" s="32" t="s">
        <v>241</v>
      </c>
    </row>
    <row r="187" spans="1:9" x14ac:dyDescent="0.2">
      <c r="A187" s="41">
        <v>4</v>
      </c>
      <c r="B187" s="36" t="s">
        <v>5</v>
      </c>
      <c r="C187" s="20" t="s">
        <v>75</v>
      </c>
      <c r="D187" s="4">
        <v>1</v>
      </c>
      <c r="E187" s="15">
        <v>7.5</v>
      </c>
      <c r="F187" s="15">
        <v>20</v>
      </c>
      <c r="G187" s="18">
        <f>F187-E187</f>
        <v>12.5</v>
      </c>
      <c r="H187" s="10" t="s">
        <v>274</v>
      </c>
      <c r="I187" s="14" t="s">
        <v>111</v>
      </c>
    </row>
    <row r="188" spans="1:9" x14ac:dyDescent="0.2">
      <c r="A188" s="41">
        <v>4</v>
      </c>
      <c r="B188" s="36" t="s">
        <v>5</v>
      </c>
      <c r="C188" s="20" t="s">
        <v>34</v>
      </c>
      <c r="D188" s="4">
        <v>1</v>
      </c>
      <c r="E188" s="15">
        <v>75</v>
      </c>
      <c r="F188" s="15">
        <v>161.19999999999999</v>
      </c>
      <c r="G188" s="18">
        <v>68.959999999999994</v>
      </c>
      <c r="H188" s="10" t="s">
        <v>274</v>
      </c>
      <c r="I188" s="32" t="s">
        <v>241</v>
      </c>
    </row>
    <row r="189" spans="1:9" x14ac:dyDescent="0.2">
      <c r="A189" s="41">
        <v>4</v>
      </c>
      <c r="B189" s="36" t="s">
        <v>5</v>
      </c>
      <c r="C189" s="20" t="s">
        <v>125</v>
      </c>
      <c r="D189" s="4">
        <v>1</v>
      </c>
      <c r="E189" s="15">
        <v>40</v>
      </c>
      <c r="F189" s="15">
        <v>116.85</v>
      </c>
      <c r="G189" s="18">
        <v>61.48</v>
      </c>
      <c r="H189" s="10" t="s">
        <v>274</v>
      </c>
      <c r="I189" s="32" t="s">
        <v>241</v>
      </c>
    </row>
    <row r="190" spans="1:9" x14ac:dyDescent="0.2">
      <c r="A190" s="41">
        <v>4</v>
      </c>
      <c r="B190" s="36" t="s">
        <v>5</v>
      </c>
      <c r="C190" s="20" t="s">
        <v>74</v>
      </c>
      <c r="D190" s="4">
        <v>1</v>
      </c>
      <c r="E190" s="15">
        <v>10</v>
      </c>
      <c r="F190" s="15">
        <v>25</v>
      </c>
      <c r="G190" s="18">
        <f>F190-E190</f>
        <v>15</v>
      </c>
      <c r="H190" s="10" t="s">
        <v>274</v>
      </c>
      <c r="I190" s="14" t="s">
        <v>111</v>
      </c>
    </row>
    <row r="191" spans="1:9" x14ac:dyDescent="0.2">
      <c r="A191" s="41">
        <v>5</v>
      </c>
      <c r="B191" s="36" t="s">
        <v>6</v>
      </c>
      <c r="C191" s="20" t="s">
        <v>247</v>
      </c>
      <c r="D191" s="4">
        <v>1</v>
      </c>
      <c r="E191" s="15">
        <v>10</v>
      </c>
      <c r="F191" s="15">
        <v>20</v>
      </c>
      <c r="G191" s="18">
        <f>F191-E191</f>
        <v>10</v>
      </c>
      <c r="H191" s="10" t="s">
        <v>274</v>
      </c>
      <c r="I191" s="14" t="s">
        <v>111</v>
      </c>
    </row>
    <row r="192" spans="1:9" x14ac:dyDescent="0.2">
      <c r="A192" s="41">
        <v>5</v>
      </c>
      <c r="B192" s="36" t="s">
        <v>6</v>
      </c>
      <c r="C192" s="20" t="s">
        <v>249</v>
      </c>
      <c r="D192" s="4">
        <v>1</v>
      </c>
      <c r="E192" s="15">
        <v>44</v>
      </c>
      <c r="F192" s="15">
        <v>60</v>
      </c>
      <c r="G192" s="18">
        <f>F192-E192</f>
        <v>16</v>
      </c>
      <c r="H192" s="10" t="s">
        <v>274</v>
      </c>
      <c r="I192" s="14" t="s">
        <v>111</v>
      </c>
    </row>
    <row r="193" spans="1:9" x14ac:dyDescent="0.2">
      <c r="A193" s="41">
        <v>5</v>
      </c>
      <c r="B193" s="36" t="s">
        <v>6</v>
      </c>
      <c r="C193" s="3" t="s">
        <v>87</v>
      </c>
      <c r="D193" s="4">
        <v>2</v>
      </c>
      <c r="E193" s="5">
        <v>3</v>
      </c>
      <c r="F193" s="3">
        <v>5.12</v>
      </c>
      <c r="G193" s="18">
        <f>F193-E193</f>
        <v>2.12</v>
      </c>
      <c r="H193" s="10" t="s">
        <v>274</v>
      </c>
      <c r="I193" s="32" t="s">
        <v>241</v>
      </c>
    </row>
    <row r="194" spans="1:9" x14ac:dyDescent="0.2">
      <c r="A194" s="41">
        <v>5</v>
      </c>
      <c r="B194" s="36" t="s">
        <v>6</v>
      </c>
      <c r="C194" s="20" t="s">
        <v>130</v>
      </c>
      <c r="D194" s="4">
        <v>1</v>
      </c>
      <c r="E194" s="15">
        <v>10</v>
      </c>
      <c r="F194" s="15">
        <v>20</v>
      </c>
      <c r="G194" s="18">
        <f>F194-E194</f>
        <v>10</v>
      </c>
      <c r="H194" s="10" t="s">
        <v>274</v>
      </c>
      <c r="I194" s="14" t="s">
        <v>111</v>
      </c>
    </row>
    <row r="195" spans="1:9" x14ac:dyDescent="0.2">
      <c r="A195" s="41">
        <v>5</v>
      </c>
      <c r="B195" s="36" t="s">
        <v>6</v>
      </c>
      <c r="C195" s="20" t="s">
        <v>145</v>
      </c>
      <c r="D195" s="4">
        <v>1</v>
      </c>
      <c r="E195" s="15">
        <v>180</v>
      </c>
      <c r="F195" s="15">
        <v>250</v>
      </c>
      <c r="G195" s="18">
        <f>F195-E195</f>
        <v>70</v>
      </c>
      <c r="H195" s="10" t="s">
        <v>274</v>
      </c>
      <c r="I195" s="14" t="s">
        <v>111</v>
      </c>
    </row>
    <row r="196" spans="1:9" x14ac:dyDescent="0.2">
      <c r="A196" s="41">
        <v>5</v>
      </c>
      <c r="B196" s="36" t="s">
        <v>6</v>
      </c>
      <c r="C196" s="20" t="s">
        <v>145</v>
      </c>
      <c r="D196" s="4">
        <v>1</v>
      </c>
      <c r="E196" s="15">
        <v>160</v>
      </c>
      <c r="F196" s="15">
        <v>250</v>
      </c>
      <c r="G196" s="18">
        <f>F196-E196</f>
        <v>90</v>
      </c>
      <c r="H196" s="10" t="s">
        <v>274</v>
      </c>
      <c r="I196" s="14" t="s">
        <v>111</v>
      </c>
    </row>
    <row r="197" spans="1:9" x14ac:dyDescent="0.2">
      <c r="A197" s="41">
        <v>5</v>
      </c>
      <c r="B197" s="36" t="s">
        <v>6</v>
      </c>
      <c r="C197" s="20" t="s">
        <v>145</v>
      </c>
      <c r="D197" s="4">
        <v>1</v>
      </c>
      <c r="E197" s="15">
        <v>160</v>
      </c>
      <c r="F197" s="15">
        <v>240</v>
      </c>
      <c r="G197" s="18">
        <f>F197-E197</f>
        <v>80</v>
      </c>
      <c r="H197" s="10" t="s">
        <v>274</v>
      </c>
      <c r="I197" s="14" t="s">
        <v>111</v>
      </c>
    </row>
    <row r="198" spans="1:9" x14ac:dyDescent="0.2">
      <c r="A198" s="41">
        <v>5</v>
      </c>
      <c r="B198" s="36" t="s">
        <v>6</v>
      </c>
      <c r="C198" s="3" t="s">
        <v>88</v>
      </c>
      <c r="D198" s="4">
        <v>1</v>
      </c>
      <c r="E198" s="5">
        <v>5</v>
      </c>
      <c r="F198" s="3">
        <v>9.3000000000000007</v>
      </c>
      <c r="G198" s="18">
        <f>F198-E198</f>
        <v>4.3000000000000007</v>
      </c>
      <c r="H198" s="10" t="s">
        <v>274</v>
      </c>
      <c r="I198" s="32" t="s">
        <v>241</v>
      </c>
    </row>
    <row r="199" spans="1:9" x14ac:dyDescent="0.2">
      <c r="A199" s="41">
        <v>5</v>
      </c>
      <c r="B199" s="36" t="s">
        <v>6</v>
      </c>
      <c r="C199" s="3" t="s">
        <v>89</v>
      </c>
      <c r="D199" s="4">
        <v>1</v>
      </c>
      <c r="E199" s="5">
        <v>5</v>
      </c>
      <c r="F199" s="3">
        <v>17.579999999999998</v>
      </c>
      <c r="G199" s="18">
        <f>F199-E199</f>
        <v>12.579999999999998</v>
      </c>
      <c r="H199" s="10" t="s">
        <v>274</v>
      </c>
      <c r="I199" s="32" t="s">
        <v>241</v>
      </c>
    </row>
    <row r="200" spans="1:9" x14ac:dyDescent="0.2">
      <c r="A200" s="41">
        <v>5</v>
      </c>
      <c r="B200" s="36" t="s">
        <v>6</v>
      </c>
      <c r="C200" s="20" t="s">
        <v>101</v>
      </c>
      <c r="D200" s="4">
        <v>1</v>
      </c>
      <c r="E200" s="5">
        <v>5</v>
      </c>
      <c r="F200" s="3">
        <v>16.12</v>
      </c>
      <c r="G200" s="18">
        <f>F200-E200</f>
        <v>11.120000000000001</v>
      </c>
      <c r="H200" s="10" t="s">
        <v>274</v>
      </c>
      <c r="I200" s="32" t="s">
        <v>241</v>
      </c>
    </row>
    <row r="201" spans="1:9" x14ac:dyDescent="0.2">
      <c r="A201" s="41">
        <v>5</v>
      </c>
      <c r="B201" s="36" t="s">
        <v>6</v>
      </c>
      <c r="C201" s="20" t="s">
        <v>162</v>
      </c>
      <c r="D201" s="4">
        <v>1</v>
      </c>
      <c r="E201" s="15">
        <v>38</v>
      </c>
      <c r="F201" s="15">
        <v>60</v>
      </c>
      <c r="G201" s="18">
        <f>F201-E201</f>
        <v>22</v>
      </c>
      <c r="H201" s="10" t="s">
        <v>274</v>
      </c>
      <c r="I201" s="14" t="s">
        <v>111</v>
      </c>
    </row>
    <row r="202" spans="1:9" x14ac:dyDescent="0.2">
      <c r="A202" s="41">
        <v>5</v>
      </c>
      <c r="B202" s="36" t="s">
        <v>6</v>
      </c>
      <c r="C202" s="3" t="s">
        <v>90</v>
      </c>
      <c r="D202" s="4">
        <v>1</v>
      </c>
      <c r="E202" s="5">
        <v>10</v>
      </c>
      <c r="F202" s="3">
        <v>19.72</v>
      </c>
      <c r="G202" s="18">
        <f>F202-E202</f>
        <v>9.7199999999999989</v>
      </c>
      <c r="H202" s="10" t="s">
        <v>274</v>
      </c>
      <c r="I202" s="32" t="s">
        <v>241</v>
      </c>
    </row>
    <row r="203" spans="1:9" x14ac:dyDescent="0.2">
      <c r="A203" s="41">
        <v>5</v>
      </c>
      <c r="B203" s="36" t="s">
        <v>6</v>
      </c>
      <c r="C203" s="3" t="s">
        <v>91</v>
      </c>
      <c r="D203" s="4">
        <v>1</v>
      </c>
      <c r="E203" s="5">
        <v>15</v>
      </c>
      <c r="F203" s="3">
        <v>46.77</v>
      </c>
      <c r="G203" s="18">
        <f>F203-E203</f>
        <v>31.770000000000003</v>
      </c>
      <c r="H203" s="10" t="s">
        <v>274</v>
      </c>
      <c r="I203" s="32" t="s">
        <v>241</v>
      </c>
    </row>
    <row r="204" spans="1:9" x14ac:dyDescent="0.2">
      <c r="A204" s="41">
        <v>5</v>
      </c>
      <c r="B204" s="36" t="s">
        <v>6</v>
      </c>
      <c r="C204" s="3" t="s">
        <v>92</v>
      </c>
      <c r="D204" s="4">
        <v>1</v>
      </c>
      <c r="E204" s="5">
        <v>25</v>
      </c>
      <c r="F204" s="3">
        <v>61.15</v>
      </c>
      <c r="G204" s="18">
        <f>F204-E204</f>
        <v>36.15</v>
      </c>
      <c r="H204" s="10" t="s">
        <v>274</v>
      </c>
      <c r="I204" s="32" t="s">
        <v>241</v>
      </c>
    </row>
    <row r="205" spans="1:9" x14ac:dyDescent="0.2">
      <c r="A205" s="41">
        <v>5</v>
      </c>
      <c r="B205" s="36" t="s">
        <v>6</v>
      </c>
      <c r="C205" s="20" t="s">
        <v>187</v>
      </c>
      <c r="D205" s="4">
        <v>1</v>
      </c>
      <c r="E205" s="5">
        <v>5</v>
      </c>
      <c r="F205" s="3">
        <v>13.02</v>
      </c>
      <c r="G205" s="18">
        <f>F205-E205</f>
        <v>8.02</v>
      </c>
      <c r="H205" s="10" t="s">
        <v>274</v>
      </c>
      <c r="I205" s="32" t="s">
        <v>241</v>
      </c>
    </row>
    <row r="206" spans="1:9" x14ac:dyDescent="0.2">
      <c r="A206" s="41">
        <v>5</v>
      </c>
      <c r="B206" s="36" t="s">
        <v>6</v>
      </c>
      <c r="C206" s="20" t="s">
        <v>191</v>
      </c>
      <c r="D206" s="4">
        <v>4</v>
      </c>
      <c r="E206" s="5">
        <v>11.2</v>
      </c>
      <c r="F206" s="3">
        <v>51.69</v>
      </c>
      <c r="G206" s="18">
        <f>F206-E206</f>
        <v>40.489999999999995</v>
      </c>
      <c r="H206" s="10" t="s">
        <v>274</v>
      </c>
      <c r="I206" s="32" t="s">
        <v>241</v>
      </c>
    </row>
    <row r="207" spans="1:9" x14ac:dyDescent="0.2">
      <c r="A207" s="41">
        <v>5</v>
      </c>
      <c r="B207" s="36" t="s">
        <v>6</v>
      </c>
      <c r="C207" s="20" t="s">
        <v>142</v>
      </c>
      <c r="D207" s="4">
        <v>1</v>
      </c>
      <c r="E207" s="15">
        <v>23</v>
      </c>
      <c r="F207" s="15">
        <v>45</v>
      </c>
      <c r="G207" s="18">
        <f>F207-E207</f>
        <v>22</v>
      </c>
      <c r="H207" s="10" t="s">
        <v>274</v>
      </c>
      <c r="I207" s="14" t="s">
        <v>111</v>
      </c>
    </row>
    <row r="208" spans="1:9" x14ac:dyDescent="0.2">
      <c r="A208" s="41">
        <v>5</v>
      </c>
      <c r="B208" s="36" t="s">
        <v>6</v>
      </c>
      <c r="C208" s="20" t="s">
        <v>142</v>
      </c>
      <c r="D208" s="4">
        <v>1</v>
      </c>
      <c r="E208" s="15">
        <v>40</v>
      </c>
      <c r="F208" s="15">
        <v>80</v>
      </c>
      <c r="G208" s="18">
        <f>F208-E208</f>
        <v>40</v>
      </c>
      <c r="H208" s="10" t="s">
        <v>274</v>
      </c>
      <c r="I208" s="14" t="s">
        <v>111</v>
      </c>
    </row>
    <row r="209" spans="1:9" x14ac:dyDescent="0.2">
      <c r="A209" s="41">
        <v>5</v>
      </c>
      <c r="B209" s="36" t="s">
        <v>6</v>
      </c>
      <c r="C209" s="20" t="s">
        <v>263</v>
      </c>
      <c r="D209" s="4">
        <v>1</v>
      </c>
      <c r="E209" s="5">
        <v>0</v>
      </c>
      <c r="F209" s="3">
        <v>10.24</v>
      </c>
      <c r="G209" s="18">
        <f>F209-E209</f>
        <v>10.24</v>
      </c>
      <c r="H209" s="10" t="s">
        <v>274</v>
      </c>
      <c r="I209" s="32" t="s">
        <v>241</v>
      </c>
    </row>
    <row r="210" spans="1:9" x14ac:dyDescent="0.2">
      <c r="A210" s="41">
        <v>5</v>
      </c>
      <c r="B210" s="36" t="s">
        <v>6</v>
      </c>
      <c r="C210" s="20" t="s">
        <v>263</v>
      </c>
      <c r="D210" s="4">
        <v>1</v>
      </c>
      <c r="E210" s="5">
        <v>0</v>
      </c>
      <c r="F210" s="3">
        <v>34.770000000000003</v>
      </c>
      <c r="G210" s="18">
        <f>F210-E210</f>
        <v>34.770000000000003</v>
      </c>
      <c r="H210" s="10" t="s">
        <v>274</v>
      </c>
      <c r="I210" s="32" t="s">
        <v>241</v>
      </c>
    </row>
    <row r="211" spans="1:9" x14ac:dyDescent="0.2">
      <c r="A211" s="41">
        <v>5</v>
      </c>
      <c r="B211" s="36" t="s">
        <v>6</v>
      </c>
      <c r="C211" s="3" t="s">
        <v>93</v>
      </c>
      <c r="D211" s="4">
        <v>3</v>
      </c>
      <c r="E211" s="5">
        <v>3</v>
      </c>
      <c r="F211" s="3">
        <v>5.76</v>
      </c>
      <c r="G211" s="18">
        <f>F211-E211</f>
        <v>2.76</v>
      </c>
      <c r="H211" s="10" t="s">
        <v>274</v>
      </c>
      <c r="I211" s="32" t="s">
        <v>241</v>
      </c>
    </row>
    <row r="212" spans="1:9" x14ac:dyDescent="0.2">
      <c r="A212" s="41">
        <v>5</v>
      </c>
      <c r="B212" s="36" t="s">
        <v>6</v>
      </c>
      <c r="C212" s="20" t="s">
        <v>153</v>
      </c>
      <c r="D212" s="4">
        <v>1</v>
      </c>
      <c r="E212" s="15">
        <v>50</v>
      </c>
      <c r="F212" s="15">
        <v>70</v>
      </c>
      <c r="G212" s="18">
        <f>F212-E212</f>
        <v>20</v>
      </c>
      <c r="H212" s="10" t="s">
        <v>274</v>
      </c>
      <c r="I212" s="14" t="s">
        <v>111</v>
      </c>
    </row>
    <row r="213" spans="1:9" x14ac:dyDescent="0.2">
      <c r="A213" s="41">
        <v>5</v>
      </c>
      <c r="B213" s="36" t="s">
        <v>6</v>
      </c>
      <c r="C213" s="20" t="s">
        <v>258</v>
      </c>
      <c r="D213" s="4">
        <v>1</v>
      </c>
      <c r="E213" s="15">
        <v>5</v>
      </c>
      <c r="F213" s="15">
        <v>10</v>
      </c>
      <c r="G213" s="18">
        <f>F213-E213</f>
        <v>5</v>
      </c>
      <c r="H213" s="10" t="s">
        <v>274</v>
      </c>
      <c r="I213" s="14" t="s">
        <v>111</v>
      </c>
    </row>
    <row r="214" spans="1:9" x14ac:dyDescent="0.2">
      <c r="A214" s="41">
        <v>5</v>
      </c>
      <c r="B214" s="36" t="s">
        <v>6</v>
      </c>
      <c r="C214" s="12" t="s">
        <v>120</v>
      </c>
      <c r="D214" s="4">
        <v>1</v>
      </c>
      <c r="E214" s="15">
        <v>0</v>
      </c>
      <c r="F214" s="15">
        <v>80</v>
      </c>
      <c r="G214" s="18">
        <f>F214-E214</f>
        <v>80</v>
      </c>
      <c r="H214" s="10" t="s">
        <v>274</v>
      </c>
      <c r="I214" s="14" t="s">
        <v>111</v>
      </c>
    </row>
    <row r="215" spans="1:9" x14ac:dyDescent="0.2">
      <c r="A215" s="41">
        <v>5</v>
      </c>
      <c r="B215" s="36" t="s">
        <v>6</v>
      </c>
      <c r="C215" s="20" t="s">
        <v>260</v>
      </c>
      <c r="D215" s="4">
        <v>2</v>
      </c>
      <c r="E215" s="5">
        <v>72</v>
      </c>
      <c r="F215" s="3">
        <v>191.85</v>
      </c>
      <c r="G215" s="18">
        <f>F215-E215</f>
        <v>119.85</v>
      </c>
      <c r="H215" s="10" t="s">
        <v>274</v>
      </c>
      <c r="I215" s="32" t="s">
        <v>241</v>
      </c>
    </row>
    <row r="216" spans="1:9" x14ac:dyDescent="0.2">
      <c r="A216" s="41">
        <v>5</v>
      </c>
      <c r="B216" s="36" t="s">
        <v>6</v>
      </c>
      <c r="C216" s="3" t="s">
        <v>94</v>
      </c>
      <c r="D216" s="4">
        <v>1</v>
      </c>
      <c r="E216" s="5">
        <v>5</v>
      </c>
      <c r="F216" s="3">
        <v>24.42</v>
      </c>
      <c r="G216" s="18">
        <f>F216-E216</f>
        <v>19.420000000000002</v>
      </c>
      <c r="H216" s="10" t="s">
        <v>274</v>
      </c>
      <c r="I216" s="32" t="s">
        <v>241</v>
      </c>
    </row>
    <row r="217" spans="1:9" x14ac:dyDescent="0.2">
      <c r="A217" s="41">
        <v>5</v>
      </c>
      <c r="B217" s="36" t="s">
        <v>6</v>
      </c>
      <c r="C217" s="3" t="s">
        <v>95</v>
      </c>
      <c r="D217" s="4">
        <v>1</v>
      </c>
      <c r="E217" s="5">
        <v>5</v>
      </c>
      <c r="F217" s="3">
        <v>14.47</v>
      </c>
      <c r="G217" s="18">
        <f>F217-E217</f>
        <v>9.4700000000000006</v>
      </c>
      <c r="H217" s="10" t="s">
        <v>274</v>
      </c>
      <c r="I217" s="32" t="s">
        <v>241</v>
      </c>
    </row>
    <row r="218" spans="1:9" x14ac:dyDescent="0.2">
      <c r="A218" s="41">
        <v>5</v>
      </c>
      <c r="B218" s="36" t="s">
        <v>6</v>
      </c>
      <c r="C218" s="20" t="s">
        <v>129</v>
      </c>
      <c r="D218" s="4">
        <v>1</v>
      </c>
      <c r="E218" s="15">
        <v>65</v>
      </c>
      <c r="F218" s="15">
        <v>100</v>
      </c>
      <c r="G218" s="18">
        <f>F218-E218</f>
        <v>35</v>
      </c>
      <c r="H218" s="10" t="s">
        <v>274</v>
      </c>
      <c r="I218" s="14" t="s">
        <v>111</v>
      </c>
    </row>
    <row r="219" spans="1:9" x14ac:dyDescent="0.2">
      <c r="A219" s="41">
        <v>5</v>
      </c>
      <c r="B219" s="36" t="s">
        <v>6</v>
      </c>
      <c r="C219" s="20" t="s">
        <v>86</v>
      </c>
      <c r="D219" s="4">
        <v>1</v>
      </c>
      <c r="E219" s="15">
        <v>20</v>
      </c>
      <c r="F219" s="15">
        <v>30</v>
      </c>
      <c r="G219" s="18">
        <f>F219-E219</f>
        <v>10</v>
      </c>
      <c r="H219" s="10" t="s">
        <v>274</v>
      </c>
      <c r="I219" s="14" t="s">
        <v>111</v>
      </c>
    </row>
    <row r="220" spans="1:9" x14ac:dyDescent="0.2">
      <c r="A220" s="41">
        <v>5</v>
      </c>
      <c r="B220" s="36" t="s">
        <v>6</v>
      </c>
      <c r="C220" s="20" t="s">
        <v>76</v>
      </c>
      <c r="D220" s="4">
        <v>1</v>
      </c>
      <c r="E220" s="15">
        <v>35</v>
      </c>
      <c r="F220" s="15">
        <v>70</v>
      </c>
      <c r="G220" s="18">
        <f>F220-E220</f>
        <v>35</v>
      </c>
      <c r="H220" s="10" t="s">
        <v>274</v>
      </c>
      <c r="I220" s="14" t="s">
        <v>111</v>
      </c>
    </row>
    <row r="221" spans="1:9" x14ac:dyDescent="0.2">
      <c r="A221" s="41">
        <v>5</v>
      </c>
      <c r="B221" s="36" t="s">
        <v>6</v>
      </c>
      <c r="C221" s="20" t="s">
        <v>209</v>
      </c>
      <c r="D221" s="4">
        <v>1</v>
      </c>
      <c r="E221" s="5">
        <v>2.5</v>
      </c>
      <c r="F221" s="3">
        <v>5.12</v>
      </c>
      <c r="G221" s="18">
        <f>F221-E221</f>
        <v>2.62</v>
      </c>
      <c r="H221" s="10" t="s">
        <v>274</v>
      </c>
      <c r="I221" s="32" t="s">
        <v>241</v>
      </c>
    </row>
    <row r="222" spans="1:9" x14ac:dyDescent="0.2">
      <c r="A222" s="41">
        <v>5</v>
      </c>
      <c r="B222" s="36" t="s">
        <v>6</v>
      </c>
      <c r="C222" s="3" t="s">
        <v>32</v>
      </c>
      <c r="D222" s="4">
        <v>12</v>
      </c>
      <c r="E222" s="5">
        <v>180</v>
      </c>
      <c r="F222" s="3">
        <v>458.94</v>
      </c>
      <c r="G222" s="18">
        <f>F222-E222</f>
        <v>278.94</v>
      </c>
      <c r="H222" s="10" t="s">
        <v>274</v>
      </c>
      <c r="I222" s="32" t="s">
        <v>241</v>
      </c>
    </row>
    <row r="223" spans="1:9" x14ac:dyDescent="0.2">
      <c r="A223" s="41">
        <v>5</v>
      </c>
      <c r="B223" s="36" t="s">
        <v>6</v>
      </c>
      <c r="C223" s="20" t="s">
        <v>103</v>
      </c>
      <c r="D223" s="4">
        <v>1</v>
      </c>
      <c r="E223" s="15">
        <v>16.5</v>
      </c>
      <c r="F223" s="15">
        <v>35</v>
      </c>
      <c r="G223" s="18">
        <f>F223-E223</f>
        <v>18.5</v>
      </c>
      <c r="H223" s="10" t="s">
        <v>274</v>
      </c>
      <c r="I223" s="14" t="s">
        <v>111</v>
      </c>
    </row>
    <row r="224" spans="1:9" x14ac:dyDescent="0.2">
      <c r="A224" s="41">
        <v>5</v>
      </c>
      <c r="B224" s="36" t="s">
        <v>6</v>
      </c>
      <c r="C224" s="20" t="s">
        <v>79</v>
      </c>
      <c r="D224" s="4">
        <v>1</v>
      </c>
      <c r="E224" s="15">
        <v>9</v>
      </c>
      <c r="F224" s="15">
        <v>20</v>
      </c>
      <c r="G224" s="18">
        <f>F224-E224</f>
        <v>11</v>
      </c>
      <c r="H224" s="10" t="s">
        <v>274</v>
      </c>
      <c r="I224" s="14" t="s">
        <v>111</v>
      </c>
    </row>
    <row r="225" spans="1:9" x14ac:dyDescent="0.2">
      <c r="A225" s="41">
        <v>5</v>
      </c>
      <c r="B225" s="36" t="s">
        <v>6</v>
      </c>
      <c r="C225" s="20" t="s">
        <v>79</v>
      </c>
      <c r="D225" s="4">
        <v>1</v>
      </c>
      <c r="E225" s="15">
        <v>9</v>
      </c>
      <c r="F225" s="15">
        <v>20</v>
      </c>
      <c r="G225" s="18">
        <f>F225-E225</f>
        <v>11</v>
      </c>
      <c r="H225" s="10" t="s">
        <v>274</v>
      </c>
      <c r="I225" s="14" t="s">
        <v>111</v>
      </c>
    </row>
    <row r="226" spans="1:9" x14ac:dyDescent="0.2">
      <c r="A226" s="41">
        <v>5</v>
      </c>
      <c r="B226" s="36" t="s">
        <v>6</v>
      </c>
      <c r="C226" s="20" t="s">
        <v>60</v>
      </c>
      <c r="D226" s="4">
        <v>1</v>
      </c>
      <c r="E226" s="15">
        <v>14</v>
      </c>
      <c r="F226" s="15">
        <v>30</v>
      </c>
      <c r="G226" s="18">
        <f>F226-E226</f>
        <v>16</v>
      </c>
      <c r="H226" s="10" t="s">
        <v>274</v>
      </c>
      <c r="I226" s="14" t="s">
        <v>111</v>
      </c>
    </row>
    <row r="227" spans="1:9" x14ac:dyDescent="0.2">
      <c r="A227" s="41">
        <v>5</v>
      </c>
      <c r="B227" s="36" t="s">
        <v>6</v>
      </c>
      <c r="C227" s="3" t="s">
        <v>60</v>
      </c>
      <c r="D227" s="4">
        <v>1</v>
      </c>
      <c r="E227" s="5">
        <v>39</v>
      </c>
      <c r="F227" s="3">
        <v>80.849999999999994</v>
      </c>
      <c r="G227" s="18">
        <f>F227-E227</f>
        <v>41.849999999999994</v>
      </c>
      <c r="H227" s="10" t="s">
        <v>274</v>
      </c>
      <c r="I227" s="32" t="s">
        <v>241</v>
      </c>
    </row>
    <row r="228" spans="1:9" x14ac:dyDescent="0.2">
      <c r="A228" s="41">
        <v>5</v>
      </c>
      <c r="B228" s="36" t="s">
        <v>6</v>
      </c>
      <c r="C228" s="20" t="s">
        <v>75</v>
      </c>
      <c r="D228" s="4">
        <v>1</v>
      </c>
      <c r="E228" s="15">
        <v>8</v>
      </c>
      <c r="F228" s="15">
        <v>20</v>
      </c>
      <c r="G228" s="18">
        <f>F228-E228</f>
        <v>12</v>
      </c>
      <c r="H228" s="10" t="s">
        <v>274</v>
      </c>
      <c r="I228" s="14" t="s">
        <v>111</v>
      </c>
    </row>
    <row r="229" spans="1:9" x14ac:dyDescent="0.2">
      <c r="A229" s="41">
        <v>5</v>
      </c>
      <c r="B229" s="36" t="s">
        <v>6</v>
      </c>
      <c r="C229" s="20" t="s">
        <v>75</v>
      </c>
      <c r="D229" s="4">
        <v>1</v>
      </c>
      <c r="E229" s="5">
        <v>7</v>
      </c>
      <c r="F229" s="3">
        <v>19.53</v>
      </c>
      <c r="G229" s="18">
        <f>F229-E229</f>
        <v>12.530000000000001</v>
      </c>
      <c r="H229" s="10" t="s">
        <v>274</v>
      </c>
      <c r="I229" s="32" t="s">
        <v>241</v>
      </c>
    </row>
    <row r="230" spans="1:9" x14ac:dyDescent="0.2">
      <c r="A230" s="41">
        <v>5</v>
      </c>
      <c r="B230" s="36" t="s">
        <v>6</v>
      </c>
      <c r="C230" s="3" t="s">
        <v>34</v>
      </c>
      <c r="D230" s="4">
        <v>2</v>
      </c>
      <c r="E230" s="5">
        <v>150</v>
      </c>
      <c r="F230" s="3">
        <v>292.39999999999998</v>
      </c>
      <c r="G230" s="18">
        <f>F230-E230</f>
        <v>142.39999999999998</v>
      </c>
      <c r="H230" s="10" t="s">
        <v>274</v>
      </c>
      <c r="I230" s="32" t="s">
        <v>241</v>
      </c>
    </row>
    <row r="231" spans="1:9" x14ac:dyDescent="0.2">
      <c r="A231" s="41">
        <v>5</v>
      </c>
      <c r="B231" s="36" t="s">
        <v>6</v>
      </c>
      <c r="C231" s="3" t="s">
        <v>131</v>
      </c>
      <c r="D231" s="4">
        <v>12</v>
      </c>
      <c r="E231" s="5">
        <v>180</v>
      </c>
      <c r="F231" s="3">
        <v>323.58</v>
      </c>
      <c r="G231" s="18">
        <f>F231-E231</f>
        <v>143.57999999999998</v>
      </c>
      <c r="H231" s="10" t="s">
        <v>274</v>
      </c>
      <c r="I231" s="32" t="s">
        <v>241</v>
      </c>
    </row>
    <row r="232" spans="1:9" x14ac:dyDescent="0.2">
      <c r="A232" s="41">
        <v>5</v>
      </c>
      <c r="B232" s="36" t="s">
        <v>6</v>
      </c>
      <c r="C232" s="20" t="s">
        <v>81</v>
      </c>
      <c r="D232" s="4">
        <v>1</v>
      </c>
      <c r="E232" s="15">
        <v>80</v>
      </c>
      <c r="F232" s="15">
        <v>150</v>
      </c>
      <c r="G232" s="18">
        <f>F232-E232</f>
        <v>70</v>
      </c>
      <c r="H232" s="10" t="s">
        <v>274</v>
      </c>
      <c r="I232" s="14" t="s">
        <v>111</v>
      </c>
    </row>
    <row r="233" spans="1:9" x14ac:dyDescent="0.2">
      <c r="A233" s="41">
        <v>5</v>
      </c>
      <c r="B233" s="36" t="s">
        <v>6</v>
      </c>
      <c r="C233" s="20" t="s">
        <v>82</v>
      </c>
      <c r="D233" s="4">
        <v>1</v>
      </c>
      <c r="E233" s="15">
        <v>50</v>
      </c>
      <c r="F233" s="15">
        <v>100</v>
      </c>
      <c r="G233" s="18">
        <f>F233-E233</f>
        <v>50</v>
      </c>
      <c r="H233" s="10" t="s">
        <v>274</v>
      </c>
      <c r="I233" s="14" t="s">
        <v>111</v>
      </c>
    </row>
    <row r="234" spans="1:9" x14ac:dyDescent="0.2">
      <c r="A234" s="41">
        <v>5</v>
      </c>
      <c r="B234" s="36" t="s">
        <v>6</v>
      </c>
      <c r="C234" s="20" t="s">
        <v>80</v>
      </c>
      <c r="D234" s="4">
        <v>1</v>
      </c>
      <c r="E234" s="15">
        <v>35</v>
      </c>
      <c r="F234" s="15">
        <v>80</v>
      </c>
      <c r="G234" s="18">
        <f>F234-E234</f>
        <v>45</v>
      </c>
      <c r="H234" s="10" t="s">
        <v>274</v>
      </c>
      <c r="I234" s="14" t="s">
        <v>111</v>
      </c>
    </row>
    <row r="235" spans="1:9" x14ac:dyDescent="0.2">
      <c r="A235" s="41">
        <v>5</v>
      </c>
      <c r="B235" s="36" t="s">
        <v>6</v>
      </c>
      <c r="C235" s="20" t="s">
        <v>181</v>
      </c>
      <c r="D235" s="4">
        <v>1</v>
      </c>
      <c r="E235" s="15">
        <v>7.5</v>
      </c>
      <c r="F235" s="15">
        <v>15</v>
      </c>
      <c r="G235" s="18">
        <f>F235-E235</f>
        <v>7.5</v>
      </c>
      <c r="H235" s="10" t="s">
        <v>274</v>
      </c>
      <c r="I235" s="14" t="s">
        <v>111</v>
      </c>
    </row>
    <row r="236" spans="1:9" x14ac:dyDescent="0.2">
      <c r="A236" s="41">
        <v>5</v>
      </c>
      <c r="B236" s="36" t="s">
        <v>6</v>
      </c>
      <c r="C236" s="3" t="s">
        <v>96</v>
      </c>
      <c r="D236" s="4">
        <v>1</v>
      </c>
      <c r="E236" s="5">
        <v>3</v>
      </c>
      <c r="F236" s="3">
        <v>4.09</v>
      </c>
      <c r="G236" s="18">
        <f>F236-E236</f>
        <v>1.0899999999999999</v>
      </c>
      <c r="H236" s="10" t="s">
        <v>274</v>
      </c>
      <c r="I236" s="32" t="s">
        <v>241</v>
      </c>
    </row>
    <row r="237" spans="1:9" x14ac:dyDescent="0.2">
      <c r="A237" s="41">
        <v>5</v>
      </c>
      <c r="B237" s="36" t="s">
        <v>6</v>
      </c>
      <c r="C237" s="20" t="s">
        <v>84</v>
      </c>
      <c r="D237" s="4">
        <v>1</v>
      </c>
      <c r="E237" s="15">
        <v>8</v>
      </c>
      <c r="F237" s="15">
        <v>20</v>
      </c>
      <c r="G237" s="18">
        <f>F237-E237</f>
        <v>12</v>
      </c>
      <c r="H237" s="10" t="s">
        <v>274</v>
      </c>
      <c r="I237" s="14" t="s">
        <v>111</v>
      </c>
    </row>
    <row r="238" spans="1:9" x14ac:dyDescent="0.2">
      <c r="A238" s="41">
        <v>5</v>
      </c>
      <c r="B238" s="36" t="s">
        <v>6</v>
      </c>
      <c r="C238" s="20" t="s">
        <v>85</v>
      </c>
      <c r="D238" s="4">
        <v>1</v>
      </c>
      <c r="E238" s="15">
        <v>60</v>
      </c>
      <c r="F238" s="15">
        <v>120</v>
      </c>
      <c r="G238" s="18">
        <f>F238-E238</f>
        <v>60</v>
      </c>
      <c r="H238" s="10" t="s">
        <v>274</v>
      </c>
      <c r="I238" s="14" t="s">
        <v>111</v>
      </c>
    </row>
    <row r="239" spans="1:9" x14ac:dyDescent="0.2">
      <c r="A239" s="41">
        <v>5</v>
      </c>
      <c r="B239" s="36" t="s">
        <v>6</v>
      </c>
      <c r="C239" s="20" t="s">
        <v>261</v>
      </c>
      <c r="D239" s="4">
        <v>1</v>
      </c>
      <c r="E239" s="15">
        <v>15</v>
      </c>
      <c r="F239" s="15">
        <v>42.5</v>
      </c>
      <c r="G239" s="18">
        <f>F239-E239</f>
        <v>27.5</v>
      </c>
      <c r="H239" s="10" t="s">
        <v>274</v>
      </c>
      <c r="I239" s="14" t="s">
        <v>111</v>
      </c>
    </row>
    <row r="240" spans="1:9" x14ac:dyDescent="0.2">
      <c r="A240" s="41">
        <v>5</v>
      </c>
      <c r="B240" s="36" t="s">
        <v>6</v>
      </c>
      <c r="C240" s="20" t="s">
        <v>261</v>
      </c>
      <c r="D240" s="4">
        <v>1</v>
      </c>
      <c r="E240" s="15">
        <v>15</v>
      </c>
      <c r="F240" s="15">
        <v>42.5</v>
      </c>
      <c r="G240" s="18">
        <f>F240-E240</f>
        <v>27.5</v>
      </c>
      <c r="H240" s="10" t="s">
        <v>274</v>
      </c>
      <c r="I240" s="14" t="s">
        <v>111</v>
      </c>
    </row>
    <row r="241" spans="1:9" x14ac:dyDescent="0.2">
      <c r="A241" s="41">
        <v>5</v>
      </c>
      <c r="B241" s="36" t="s">
        <v>6</v>
      </c>
      <c r="C241" s="3" t="s">
        <v>97</v>
      </c>
      <c r="D241" s="4">
        <v>1</v>
      </c>
      <c r="E241" s="5">
        <v>20</v>
      </c>
      <c r="F241" s="3">
        <v>39.58</v>
      </c>
      <c r="G241" s="18">
        <f>F241-E241</f>
        <v>19.579999999999998</v>
      </c>
      <c r="H241" s="10" t="s">
        <v>274</v>
      </c>
      <c r="I241" s="32" t="s">
        <v>241</v>
      </c>
    </row>
    <row r="242" spans="1:9" x14ac:dyDescent="0.2">
      <c r="A242" s="41">
        <v>5</v>
      </c>
      <c r="B242" s="36" t="s">
        <v>6</v>
      </c>
      <c r="C242" s="3" t="s">
        <v>98</v>
      </c>
      <c r="D242" s="4">
        <v>1</v>
      </c>
      <c r="E242" s="5">
        <v>8</v>
      </c>
      <c r="F242" s="3">
        <v>15.68</v>
      </c>
      <c r="G242" s="18">
        <f>F242-E242</f>
        <v>7.68</v>
      </c>
      <c r="H242" s="10" t="s">
        <v>274</v>
      </c>
      <c r="I242" s="32" t="s">
        <v>241</v>
      </c>
    </row>
    <row r="243" spans="1:9" x14ac:dyDescent="0.2">
      <c r="A243" s="41">
        <v>5</v>
      </c>
      <c r="B243" s="36" t="s">
        <v>6</v>
      </c>
      <c r="C243" s="3" t="s">
        <v>99</v>
      </c>
      <c r="D243" s="4">
        <v>2</v>
      </c>
      <c r="E243" s="5">
        <v>2</v>
      </c>
      <c r="F243" s="3">
        <v>4.82</v>
      </c>
      <c r="G243" s="18">
        <f>F243-E243</f>
        <v>2.8200000000000003</v>
      </c>
      <c r="H243" s="10" t="s">
        <v>274</v>
      </c>
      <c r="I243" s="32" t="s">
        <v>241</v>
      </c>
    </row>
    <row r="244" spans="1:9" x14ac:dyDescent="0.2">
      <c r="A244" s="41">
        <v>5</v>
      </c>
      <c r="B244" s="36" t="s">
        <v>6</v>
      </c>
      <c r="C244" s="3" t="s">
        <v>264</v>
      </c>
      <c r="D244" s="4">
        <v>1</v>
      </c>
      <c r="E244" s="5">
        <v>1</v>
      </c>
      <c r="F244" s="3">
        <v>4.88</v>
      </c>
      <c r="G244" s="18">
        <f>F244-E244</f>
        <v>3.88</v>
      </c>
      <c r="H244" s="10" t="s">
        <v>274</v>
      </c>
      <c r="I244" s="32" t="s">
        <v>241</v>
      </c>
    </row>
    <row r="245" spans="1:9" x14ac:dyDescent="0.2">
      <c r="A245" s="41">
        <v>5</v>
      </c>
      <c r="B245" s="36" t="s">
        <v>6</v>
      </c>
      <c r="C245" s="20" t="s">
        <v>83</v>
      </c>
      <c r="D245" s="4">
        <v>1</v>
      </c>
      <c r="E245" s="15">
        <v>35</v>
      </c>
      <c r="F245" s="15">
        <v>80</v>
      </c>
      <c r="G245" s="18">
        <f>F245-E245</f>
        <v>45</v>
      </c>
      <c r="H245" s="10" t="s">
        <v>274</v>
      </c>
      <c r="I245" s="14" t="s">
        <v>111</v>
      </c>
    </row>
    <row r="246" spans="1:9" x14ac:dyDescent="0.2">
      <c r="A246" s="41">
        <v>6</v>
      </c>
      <c r="B246" s="36" t="s">
        <v>7</v>
      </c>
      <c r="C246" s="20" t="s">
        <v>248</v>
      </c>
      <c r="D246" s="4">
        <v>1</v>
      </c>
      <c r="E246" s="15">
        <v>10</v>
      </c>
      <c r="F246" s="15">
        <v>20</v>
      </c>
      <c r="G246" s="18">
        <f>F246-E246</f>
        <v>10</v>
      </c>
      <c r="H246" s="10" t="s">
        <v>274</v>
      </c>
      <c r="I246" s="14" t="s">
        <v>111</v>
      </c>
    </row>
    <row r="247" spans="1:9" x14ac:dyDescent="0.2">
      <c r="A247" s="41">
        <v>6</v>
      </c>
      <c r="B247" s="36" t="s">
        <v>7</v>
      </c>
      <c r="C247" s="20" t="s">
        <v>248</v>
      </c>
      <c r="D247" s="4">
        <v>1</v>
      </c>
      <c r="E247" s="15">
        <v>10</v>
      </c>
      <c r="F247" s="15">
        <v>20</v>
      </c>
      <c r="G247" s="18">
        <f>F247-E247</f>
        <v>10</v>
      </c>
      <c r="H247" s="10" t="s">
        <v>274</v>
      </c>
      <c r="I247" s="14" t="s">
        <v>111</v>
      </c>
    </row>
    <row r="248" spans="1:9" x14ac:dyDescent="0.2">
      <c r="A248" s="41">
        <v>6</v>
      </c>
      <c r="B248" s="36" t="s">
        <v>7</v>
      </c>
      <c r="C248" s="20" t="s">
        <v>145</v>
      </c>
      <c r="D248" s="4">
        <v>1</v>
      </c>
      <c r="E248" s="15">
        <v>180</v>
      </c>
      <c r="F248" s="15">
        <v>250</v>
      </c>
      <c r="G248" s="18">
        <f>F248-E248</f>
        <v>70</v>
      </c>
      <c r="H248" s="10" t="s">
        <v>274</v>
      </c>
      <c r="I248" s="14" t="s">
        <v>111</v>
      </c>
    </row>
    <row r="249" spans="1:9" x14ac:dyDescent="0.2">
      <c r="A249" s="41">
        <v>6</v>
      </c>
      <c r="B249" s="36" t="s">
        <v>7</v>
      </c>
      <c r="C249" s="20" t="s">
        <v>105</v>
      </c>
      <c r="D249" s="4">
        <v>1</v>
      </c>
      <c r="E249" s="15">
        <v>7.5</v>
      </c>
      <c r="F249" s="15">
        <v>15</v>
      </c>
      <c r="G249" s="18">
        <f>F249-E249</f>
        <v>7.5</v>
      </c>
      <c r="H249" s="10" t="s">
        <v>274</v>
      </c>
      <c r="I249" s="14" t="s">
        <v>111</v>
      </c>
    </row>
    <row r="250" spans="1:9" x14ac:dyDescent="0.2">
      <c r="A250" s="41">
        <v>6</v>
      </c>
      <c r="B250" s="36" t="s">
        <v>7</v>
      </c>
      <c r="C250" s="20" t="s">
        <v>101</v>
      </c>
      <c r="D250" s="4">
        <v>1</v>
      </c>
      <c r="E250" s="15">
        <v>4.5</v>
      </c>
      <c r="F250" s="15">
        <v>10</v>
      </c>
      <c r="G250" s="18">
        <f>F250-E250</f>
        <v>5.5</v>
      </c>
      <c r="H250" s="10" t="s">
        <v>274</v>
      </c>
      <c r="I250" s="14" t="s">
        <v>111</v>
      </c>
    </row>
    <row r="251" spans="1:9" x14ac:dyDescent="0.2">
      <c r="A251" s="41">
        <v>6</v>
      </c>
      <c r="B251" s="36" t="s">
        <v>7</v>
      </c>
      <c r="C251" s="20" t="s">
        <v>101</v>
      </c>
      <c r="D251" s="4">
        <v>1</v>
      </c>
      <c r="E251" s="15">
        <v>4.5</v>
      </c>
      <c r="F251" s="15">
        <v>10</v>
      </c>
      <c r="G251" s="18">
        <f>F251-E251</f>
        <v>5.5</v>
      </c>
      <c r="H251" s="10" t="s">
        <v>274</v>
      </c>
      <c r="I251" s="14" t="s">
        <v>111</v>
      </c>
    </row>
    <row r="252" spans="1:9" x14ac:dyDescent="0.2">
      <c r="A252" s="41">
        <v>6</v>
      </c>
      <c r="B252" s="36" t="s">
        <v>7</v>
      </c>
      <c r="C252" s="20" t="s">
        <v>108</v>
      </c>
      <c r="D252" s="4">
        <v>1</v>
      </c>
      <c r="E252" s="15">
        <v>60</v>
      </c>
      <c r="F252" s="15">
        <v>150</v>
      </c>
      <c r="G252" s="18">
        <f>F252-E252</f>
        <v>90</v>
      </c>
      <c r="H252" s="10" t="s">
        <v>274</v>
      </c>
      <c r="I252" s="14" t="s">
        <v>111</v>
      </c>
    </row>
    <row r="253" spans="1:9" x14ac:dyDescent="0.2">
      <c r="A253" s="41">
        <v>6</v>
      </c>
      <c r="B253" s="36" t="s">
        <v>7</v>
      </c>
      <c r="C253" s="20" t="s">
        <v>20</v>
      </c>
      <c r="D253" s="4">
        <v>1</v>
      </c>
      <c r="E253" s="15">
        <v>45</v>
      </c>
      <c r="F253" s="15">
        <v>80</v>
      </c>
      <c r="G253" s="18">
        <f>F253-E253</f>
        <v>35</v>
      </c>
      <c r="H253" s="10" t="s">
        <v>274</v>
      </c>
      <c r="I253" s="14" t="s">
        <v>111</v>
      </c>
    </row>
    <row r="254" spans="1:9" x14ac:dyDescent="0.2">
      <c r="A254" s="41">
        <v>6</v>
      </c>
      <c r="B254" s="36" t="s">
        <v>7</v>
      </c>
      <c r="C254" s="20" t="s">
        <v>102</v>
      </c>
      <c r="D254" s="4">
        <v>1</v>
      </c>
      <c r="E254" s="15">
        <v>7</v>
      </c>
      <c r="F254" s="15">
        <v>15</v>
      </c>
      <c r="G254" s="18">
        <f>F254-E254</f>
        <v>8</v>
      </c>
      <c r="H254" s="10" t="s">
        <v>274</v>
      </c>
      <c r="I254" s="27" t="s">
        <v>111</v>
      </c>
    </row>
    <row r="255" spans="1:9" x14ac:dyDescent="0.2">
      <c r="A255" s="41">
        <v>6</v>
      </c>
      <c r="B255" s="36" t="s">
        <v>7</v>
      </c>
      <c r="C255" s="20" t="s">
        <v>142</v>
      </c>
      <c r="D255" s="4">
        <v>1</v>
      </c>
      <c r="E255" s="15">
        <v>23</v>
      </c>
      <c r="F255" s="15">
        <v>50</v>
      </c>
      <c r="G255" s="18">
        <f>F255-E255</f>
        <v>27</v>
      </c>
      <c r="H255" s="10" t="s">
        <v>274</v>
      </c>
      <c r="I255" s="14" t="s">
        <v>111</v>
      </c>
    </row>
    <row r="256" spans="1:9" x14ac:dyDescent="0.2">
      <c r="A256" s="41">
        <v>6</v>
      </c>
      <c r="B256" s="36" t="s">
        <v>7</v>
      </c>
      <c r="C256" s="20" t="s">
        <v>142</v>
      </c>
      <c r="D256" s="4">
        <v>1</v>
      </c>
      <c r="E256" s="15">
        <v>23</v>
      </c>
      <c r="F256" s="15">
        <v>50</v>
      </c>
      <c r="G256" s="18">
        <f>F256-E256</f>
        <v>27</v>
      </c>
      <c r="H256" s="10" t="s">
        <v>274</v>
      </c>
      <c r="I256" s="14" t="s">
        <v>111</v>
      </c>
    </row>
    <row r="257" spans="1:9" x14ac:dyDescent="0.2">
      <c r="A257" s="41">
        <v>6</v>
      </c>
      <c r="B257" s="36" t="s">
        <v>7</v>
      </c>
      <c r="C257" s="20" t="s">
        <v>106</v>
      </c>
      <c r="D257" s="4">
        <v>1</v>
      </c>
      <c r="E257" s="15">
        <v>25</v>
      </c>
      <c r="F257" s="15">
        <v>80</v>
      </c>
      <c r="G257" s="18">
        <f>F257-E257</f>
        <v>55</v>
      </c>
      <c r="H257" s="10" t="s">
        <v>274</v>
      </c>
      <c r="I257" s="14" t="s">
        <v>111</v>
      </c>
    </row>
    <row r="258" spans="1:9" x14ac:dyDescent="0.2">
      <c r="A258" s="41">
        <v>6</v>
      </c>
      <c r="B258" s="36" t="s">
        <v>7</v>
      </c>
      <c r="C258" s="12" t="s">
        <v>120</v>
      </c>
      <c r="D258" s="4">
        <v>1</v>
      </c>
      <c r="E258" s="15">
        <v>0</v>
      </c>
      <c r="F258" s="15">
        <v>60</v>
      </c>
      <c r="G258" s="18">
        <f>F258-E258</f>
        <v>60</v>
      </c>
      <c r="H258" s="10" t="s">
        <v>274</v>
      </c>
      <c r="I258" s="14" t="s">
        <v>111</v>
      </c>
    </row>
    <row r="259" spans="1:9" x14ac:dyDescent="0.2">
      <c r="A259" s="41">
        <v>6</v>
      </c>
      <c r="B259" s="36" t="s">
        <v>7</v>
      </c>
      <c r="C259" s="20" t="s">
        <v>107</v>
      </c>
      <c r="D259" s="4">
        <v>1</v>
      </c>
      <c r="E259" s="15">
        <v>130</v>
      </c>
      <c r="F259" s="15">
        <v>180</v>
      </c>
      <c r="G259" s="18">
        <f>F259-E259</f>
        <v>50</v>
      </c>
      <c r="H259" s="10" t="s">
        <v>274</v>
      </c>
      <c r="I259" s="14" t="s">
        <v>111</v>
      </c>
    </row>
    <row r="260" spans="1:9" x14ac:dyDescent="0.2">
      <c r="A260" s="41">
        <v>6</v>
      </c>
      <c r="B260" s="36" t="s">
        <v>7</v>
      </c>
      <c r="C260" s="20" t="s">
        <v>100</v>
      </c>
      <c r="D260" s="4">
        <v>1</v>
      </c>
      <c r="E260" s="15">
        <v>4</v>
      </c>
      <c r="F260" s="15">
        <v>15</v>
      </c>
      <c r="G260" s="18">
        <f>F260-E260</f>
        <v>11</v>
      </c>
      <c r="H260" s="10" t="s">
        <v>274</v>
      </c>
      <c r="I260" s="14" t="s">
        <v>111</v>
      </c>
    </row>
    <row r="261" spans="1:9" x14ac:dyDescent="0.2">
      <c r="A261" s="41">
        <v>6</v>
      </c>
      <c r="B261" s="36" t="s">
        <v>7</v>
      </c>
      <c r="C261" s="20" t="s">
        <v>209</v>
      </c>
      <c r="D261" s="4">
        <v>1</v>
      </c>
      <c r="E261" s="15">
        <v>2.5</v>
      </c>
      <c r="F261" s="15">
        <v>7</v>
      </c>
      <c r="G261" s="18">
        <f>F261-E261</f>
        <v>4.5</v>
      </c>
      <c r="H261" s="10" t="s">
        <v>274</v>
      </c>
      <c r="I261" s="14" t="s">
        <v>111</v>
      </c>
    </row>
    <row r="262" spans="1:9" x14ac:dyDescent="0.2">
      <c r="A262" s="41">
        <v>6</v>
      </c>
      <c r="B262" s="36" t="s">
        <v>7</v>
      </c>
      <c r="C262" s="20" t="s">
        <v>133</v>
      </c>
      <c r="D262" s="4">
        <v>1</v>
      </c>
      <c r="E262" s="15">
        <v>19</v>
      </c>
      <c r="F262" s="15">
        <v>40</v>
      </c>
      <c r="G262" s="18">
        <f>F262-E262</f>
        <v>21</v>
      </c>
      <c r="H262" s="10" t="s">
        <v>274</v>
      </c>
      <c r="I262" s="14" t="s">
        <v>111</v>
      </c>
    </row>
    <row r="263" spans="1:9" x14ac:dyDescent="0.2">
      <c r="A263" s="41">
        <v>6</v>
      </c>
      <c r="B263" s="36" t="s">
        <v>7</v>
      </c>
      <c r="C263" s="20" t="s">
        <v>103</v>
      </c>
      <c r="D263" s="4">
        <v>1</v>
      </c>
      <c r="E263" s="15">
        <v>15</v>
      </c>
      <c r="F263" s="15">
        <v>30</v>
      </c>
      <c r="G263" s="18">
        <f>F263-E263</f>
        <v>15</v>
      </c>
      <c r="H263" s="10" t="s">
        <v>274</v>
      </c>
      <c r="I263" s="14" t="s">
        <v>111</v>
      </c>
    </row>
    <row r="264" spans="1:9" x14ac:dyDescent="0.2">
      <c r="A264" s="41">
        <v>6</v>
      </c>
      <c r="B264" s="36" t="s">
        <v>7</v>
      </c>
      <c r="C264" s="20" t="s">
        <v>103</v>
      </c>
      <c r="D264" s="4">
        <v>1</v>
      </c>
      <c r="E264" s="15">
        <v>15</v>
      </c>
      <c r="F264" s="15">
        <v>30</v>
      </c>
      <c r="G264" s="18">
        <f>F264-E264</f>
        <v>15</v>
      </c>
      <c r="H264" s="10" t="s">
        <v>274</v>
      </c>
      <c r="I264" s="14" t="s">
        <v>111</v>
      </c>
    </row>
    <row r="265" spans="1:9" x14ac:dyDescent="0.2">
      <c r="A265" s="41">
        <v>6</v>
      </c>
      <c r="B265" s="36" t="s">
        <v>7</v>
      </c>
      <c r="C265" s="20" t="s">
        <v>132</v>
      </c>
      <c r="D265" s="4">
        <v>1</v>
      </c>
      <c r="E265" s="15">
        <v>28</v>
      </c>
      <c r="F265" s="15">
        <v>65</v>
      </c>
      <c r="G265" s="18">
        <f>F265-E265</f>
        <v>37</v>
      </c>
      <c r="H265" s="10" t="s">
        <v>274</v>
      </c>
      <c r="I265" s="14" t="s">
        <v>111</v>
      </c>
    </row>
    <row r="266" spans="1:9" x14ac:dyDescent="0.2">
      <c r="A266" s="41">
        <v>6</v>
      </c>
      <c r="B266" s="36" t="s">
        <v>7</v>
      </c>
      <c r="C266" s="20" t="s">
        <v>104</v>
      </c>
      <c r="D266" s="4">
        <v>1</v>
      </c>
      <c r="E266" s="15">
        <v>2</v>
      </c>
      <c r="F266" s="15">
        <v>10</v>
      </c>
      <c r="G266" s="18">
        <f>F266-E266</f>
        <v>8</v>
      </c>
      <c r="H266" s="10" t="s">
        <v>274</v>
      </c>
      <c r="I266" s="14" t="s">
        <v>111</v>
      </c>
    </row>
    <row r="267" spans="1:9" x14ac:dyDescent="0.2">
      <c r="A267" s="41">
        <v>6</v>
      </c>
      <c r="B267" s="36" t="s">
        <v>7</v>
      </c>
      <c r="C267" s="3" t="s">
        <v>40</v>
      </c>
      <c r="D267" s="4">
        <v>1</v>
      </c>
      <c r="E267" s="15">
        <v>25</v>
      </c>
      <c r="F267" s="15">
        <v>40</v>
      </c>
      <c r="G267" s="18">
        <f>F267-E267</f>
        <v>15</v>
      </c>
      <c r="H267" s="10" t="s">
        <v>274</v>
      </c>
      <c r="I267" s="14" t="s">
        <v>111</v>
      </c>
    </row>
    <row r="268" spans="1:9" x14ac:dyDescent="0.2">
      <c r="A268" s="41">
        <v>7</v>
      </c>
      <c r="B268" s="36" t="s">
        <v>8</v>
      </c>
      <c r="C268" s="20" t="s">
        <v>219</v>
      </c>
      <c r="D268" s="4">
        <v>1</v>
      </c>
      <c r="E268" s="15">
        <v>25</v>
      </c>
      <c r="F268" s="15">
        <v>50</v>
      </c>
      <c r="G268" s="18">
        <f>F268-E268</f>
        <v>25</v>
      </c>
      <c r="H268" s="10" t="s">
        <v>274</v>
      </c>
      <c r="I268" s="14" t="s">
        <v>111</v>
      </c>
    </row>
    <row r="269" spans="1:9" x14ac:dyDescent="0.2">
      <c r="A269" s="41">
        <v>7</v>
      </c>
      <c r="B269" s="36" t="s">
        <v>8</v>
      </c>
      <c r="C269" s="20" t="s">
        <v>145</v>
      </c>
      <c r="D269" s="4">
        <v>1</v>
      </c>
      <c r="E269" s="15">
        <v>145</v>
      </c>
      <c r="F269" s="15">
        <v>230</v>
      </c>
      <c r="G269" s="18">
        <f>F269-E269</f>
        <v>85</v>
      </c>
      <c r="H269" s="10" t="s">
        <v>274</v>
      </c>
      <c r="I269" s="14" t="s">
        <v>111</v>
      </c>
    </row>
    <row r="270" spans="1:9" x14ac:dyDescent="0.2">
      <c r="A270" s="41">
        <v>7</v>
      </c>
      <c r="B270" s="36" t="s">
        <v>8</v>
      </c>
      <c r="C270" s="20" t="s">
        <v>108</v>
      </c>
      <c r="D270" s="4">
        <v>1</v>
      </c>
      <c r="E270" s="15">
        <v>100</v>
      </c>
      <c r="F270" s="15">
        <v>140</v>
      </c>
      <c r="G270" s="18">
        <f>F270-E270</f>
        <v>40</v>
      </c>
      <c r="H270" s="10" t="s">
        <v>274</v>
      </c>
      <c r="I270" s="14" t="s">
        <v>111</v>
      </c>
    </row>
    <row r="271" spans="1:9" x14ac:dyDescent="0.2">
      <c r="A271" s="41">
        <v>7</v>
      </c>
      <c r="B271" s="36" t="s">
        <v>8</v>
      </c>
      <c r="C271" s="20" t="s">
        <v>108</v>
      </c>
      <c r="D271" s="4">
        <v>1</v>
      </c>
      <c r="E271" s="15">
        <v>100</v>
      </c>
      <c r="F271" s="15">
        <v>140</v>
      </c>
      <c r="G271" s="18">
        <f>F271-E271</f>
        <v>40</v>
      </c>
      <c r="H271" s="10" t="s">
        <v>274</v>
      </c>
      <c r="I271" s="14" t="s">
        <v>111</v>
      </c>
    </row>
    <row r="272" spans="1:9" x14ac:dyDescent="0.2">
      <c r="A272" s="41">
        <v>7</v>
      </c>
      <c r="B272" s="36" t="s">
        <v>8</v>
      </c>
      <c r="C272" s="20" t="s">
        <v>109</v>
      </c>
      <c r="D272" s="4">
        <v>1</v>
      </c>
      <c r="E272" s="15">
        <v>11</v>
      </c>
      <c r="F272" s="15">
        <v>20</v>
      </c>
      <c r="G272" s="18">
        <f>F272-E272</f>
        <v>9</v>
      </c>
      <c r="H272" s="10" t="s">
        <v>274</v>
      </c>
      <c r="I272" s="14" t="s">
        <v>111</v>
      </c>
    </row>
    <row r="273" spans="1:9" x14ac:dyDescent="0.2">
      <c r="A273" s="41">
        <v>7</v>
      </c>
      <c r="B273" s="36" t="s">
        <v>8</v>
      </c>
      <c r="C273" s="13" t="s">
        <v>257</v>
      </c>
      <c r="D273" s="4">
        <v>1</v>
      </c>
      <c r="E273" s="15">
        <v>30</v>
      </c>
      <c r="F273" s="15">
        <v>80</v>
      </c>
      <c r="G273" s="18">
        <f>F273-E273</f>
        <v>50</v>
      </c>
      <c r="H273" s="10" t="s">
        <v>274</v>
      </c>
      <c r="I273" s="14" t="s">
        <v>111</v>
      </c>
    </row>
    <row r="274" spans="1:9" x14ac:dyDescent="0.2">
      <c r="A274" s="41">
        <v>7</v>
      </c>
      <c r="B274" s="36" t="s">
        <v>8</v>
      </c>
      <c r="C274" s="20" t="s">
        <v>100</v>
      </c>
      <c r="D274" s="4">
        <v>1</v>
      </c>
      <c r="E274" s="15">
        <v>4</v>
      </c>
      <c r="F274" s="15">
        <v>15</v>
      </c>
      <c r="G274" s="18">
        <f>F274-E274</f>
        <v>11</v>
      </c>
      <c r="H274" s="10" t="s">
        <v>274</v>
      </c>
      <c r="I274" s="14" t="s">
        <v>111</v>
      </c>
    </row>
    <row r="275" spans="1:9" x14ac:dyDescent="0.2">
      <c r="A275" s="41">
        <v>7</v>
      </c>
      <c r="B275" s="36" t="s">
        <v>8</v>
      </c>
      <c r="C275" s="20" t="s">
        <v>262</v>
      </c>
      <c r="D275" s="4">
        <v>1</v>
      </c>
      <c r="E275" s="15">
        <v>15</v>
      </c>
      <c r="F275" s="15">
        <v>25</v>
      </c>
      <c r="G275" s="18">
        <f>F275-E275</f>
        <v>10</v>
      </c>
      <c r="H275" s="10" t="s">
        <v>274</v>
      </c>
      <c r="I275" s="14" t="s">
        <v>111</v>
      </c>
    </row>
    <row r="276" spans="1:9" x14ac:dyDescent="0.2">
      <c r="A276" s="41">
        <v>7</v>
      </c>
      <c r="B276" s="36" t="s">
        <v>8</v>
      </c>
      <c r="C276" s="20" t="s">
        <v>262</v>
      </c>
      <c r="D276" s="4">
        <v>1</v>
      </c>
      <c r="E276" s="15">
        <v>15</v>
      </c>
      <c r="F276" s="15">
        <v>25</v>
      </c>
      <c r="G276" s="18">
        <f>F276-E276</f>
        <v>10</v>
      </c>
      <c r="H276" s="10" t="s">
        <v>274</v>
      </c>
      <c r="I276" s="14" t="s">
        <v>111</v>
      </c>
    </row>
    <row r="277" spans="1:9" x14ac:dyDescent="0.2">
      <c r="A277" s="41">
        <v>7</v>
      </c>
      <c r="B277" s="36" t="s">
        <v>8</v>
      </c>
      <c r="C277" s="20" t="s">
        <v>262</v>
      </c>
      <c r="D277" s="4">
        <v>1</v>
      </c>
      <c r="E277" s="15">
        <v>15</v>
      </c>
      <c r="F277" s="15">
        <v>25</v>
      </c>
      <c r="G277" s="18">
        <f>F277-E277</f>
        <v>10</v>
      </c>
      <c r="H277" s="10" t="s">
        <v>274</v>
      </c>
      <c r="I277" s="14" t="s">
        <v>111</v>
      </c>
    </row>
    <row r="278" spans="1:9" x14ac:dyDescent="0.2">
      <c r="A278" s="41">
        <v>7</v>
      </c>
      <c r="B278" s="36" t="s">
        <v>8</v>
      </c>
      <c r="C278" s="20" t="s">
        <v>262</v>
      </c>
      <c r="D278" s="4">
        <v>1</v>
      </c>
      <c r="E278" s="15">
        <v>15</v>
      </c>
      <c r="F278" s="15">
        <v>25</v>
      </c>
      <c r="G278" s="18">
        <f>F278-E278</f>
        <v>10</v>
      </c>
      <c r="H278" s="10" t="s">
        <v>274</v>
      </c>
      <c r="I278" s="14" t="s">
        <v>111</v>
      </c>
    </row>
    <row r="279" spans="1:9" x14ac:dyDescent="0.2">
      <c r="A279" s="41">
        <v>7</v>
      </c>
      <c r="B279" s="36" t="s">
        <v>8</v>
      </c>
      <c r="C279" s="20" t="s">
        <v>262</v>
      </c>
      <c r="D279" s="4">
        <v>1</v>
      </c>
      <c r="E279" s="15">
        <v>10</v>
      </c>
      <c r="F279" s="15">
        <v>30</v>
      </c>
      <c r="G279" s="18">
        <f>F279-E279</f>
        <v>20</v>
      </c>
      <c r="H279" s="10" t="s">
        <v>274</v>
      </c>
      <c r="I279" s="14" t="s">
        <v>111</v>
      </c>
    </row>
    <row r="280" spans="1:9" x14ac:dyDescent="0.2">
      <c r="A280" s="41">
        <v>7</v>
      </c>
      <c r="B280" s="36" t="s">
        <v>8</v>
      </c>
      <c r="C280" s="20" t="s">
        <v>167</v>
      </c>
      <c r="D280" s="4">
        <v>1</v>
      </c>
      <c r="E280" s="15">
        <v>20</v>
      </c>
      <c r="F280" s="15">
        <v>50</v>
      </c>
      <c r="G280" s="18">
        <f>F280-E280</f>
        <v>30</v>
      </c>
      <c r="H280" s="10" t="s">
        <v>274</v>
      </c>
      <c r="I280" s="14" t="s">
        <v>111</v>
      </c>
    </row>
    <row r="281" spans="1:9" x14ac:dyDescent="0.2">
      <c r="A281" s="41">
        <v>7</v>
      </c>
      <c r="B281" s="36" t="s">
        <v>8</v>
      </c>
      <c r="C281" s="20" t="s">
        <v>167</v>
      </c>
      <c r="D281" s="4">
        <v>1</v>
      </c>
      <c r="E281" s="15">
        <v>30</v>
      </c>
      <c r="F281" s="15">
        <v>70</v>
      </c>
      <c r="G281" s="18">
        <f>F281-E281</f>
        <v>40</v>
      </c>
      <c r="H281" s="10" t="s">
        <v>274</v>
      </c>
      <c r="I281" s="14" t="s">
        <v>111</v>
      </c>
    </row>
    <row r="282" spans="1:9" x14ac:dyDescent="0.2">
      <c r="A282" s="41">
        <v>8</v>
      </c>
      <c r="B282" s="36" t="s">
        <v>9</v>
      </c>
      <c r="C282" s="20" t="s">
        <v>137</v>
      </c>
      <c r="D282" s="4">
        <v>1</v>
      </c>
      <c r="E282" s="28">
        <v>7</v>
      </c>
      <c r="F282" s="15">
        <v>8.5299999999999994</v>
      </c>
      <c r="G282" s="18">
        <f>F282-E282</f>
        <v>1.5299999999999994</v>
      </c>
      <c r="H282" s="10" t="s">
        <v>274</v>
      </c>
      <c r="I282" s="32" t="s">
        <v>241</v>
      </c>
    </row>
    <row r="283" spans="1:9" x14ac:dyDescent="0.2">
      <c r="A283" s="41">
        <v>8</v>
      </c>
      <c r="B283" s="36" t="s">
        <v>9</v>
      </c>
      <c r="C283" s="20" t="s">
        <v>159</v>
      </c>
      <c r="D283" s="4">
        <v>1</v>
      </c>
      <c r="E283" s="15">
        <v>0</v>
      </c>
      <c r="F283" s="15">
        <v>16</v>
      </c>
      <c r="G283" s="18">
        <f>F283-E283</f>
        <v>16</v>
      </c>
      <c r="H283" s="10" t="s">
        <v>274</v>
      </c>
      <c r="I283" s="14" t="s">
        <v>158</v>
      </c>
    </row>
    <row r="284" spans="1:9" x14ac:dyDescent="0.2">
      <c r="A284" s="41">
        <v>8</v>
      </c>
      <c r="B284" s="36" t="s">
        <v>9</v>
      </c>
      <c r="C284" s="20" t="s">
        <v>150</v>
      </c>
      <c r="D284" s="4">
        <v>2</v>
      </c>
      <c r="E284" s="15">
        <v>6</v>
      </c>
      <c r="F284" s="15">
        <v>9.74</v>
      </c>
      <c r="G284" s="18">
        <f>F284-E284</f>
        <v>3.74</v>
      </c>
      <c r="H284" s="10" t="s">
        <v>274</v>
      </c>
      <c r="I284" s="32" t="s">
        <v>241</v>
      </c>
    </row>
    <row r="285" spans="1:9" x14ac:dyDescent="0.2">
      <c r="A285" s="41">
        <v>8</v>
      </c>
      <c r="B285" s="36" t="s">
        <v>9</v>
      </c>
      <c r="C285" s="20" t="s">
        <v>145</v>
      </c>
      <c r="D285" s="4">
        <v>1</v>
      </c>
      <c r="E285" s="15">
        <v>145</v>
      </c>
      <c r="F285" s="15">
        <v>200</v>
      </c>
      <c r="G285" s="18">
        <f>F285-E285</f>
        <v>55</v>
      </c>
      <c r="H285" s="10" t="s">
        <v>274</v>
      </c>
      <c r="I285" s="14" t="s">
        <v>111</v>
      </c>
    </row>
    <row r="286" spans="1:9" x14ac:dyDescent="0.2">
      <c r="A286" s="41">
        <v>8</v>
      </c>
      <c r="B286" s="36" t="s">
        <v>9</v>
      </c>
      <c r="C286" s="20" t="s">
        <v>143</v>
      </c>
      <c r="D286" s="4">
        <v>1</v>
      </c>
      <c r="E286" s="15">
        <v>3.5</v>
      </c>
      <c r="F286" s="15">
        <v>10</v>
      </c>
      <c r="G286" s="18">
        <f>F286-E286</f>
        <v>6.5</v>
      </c>
      <c r="H286" s="10" t="s">
        <v>274</v>
      </c>
      <c r="I286" s="14" t="s">
        <v>111</v>
      </c>
    </row>
    <row r="287" spans="1:9" x14ac:dyDescent="0.2">
      <c r="A287" s="41">
        <v>8</v>
      </c>
      <c r="B287" s="36" t="s">
        <v>9</v>
      </c>
      <c r="C287" s="20" t="s">
        <v>143</v>
      </c>
      <c r="D287" s="4">
        <v>1</v>
      </c>
      <c r="E287" s="15">
        <v>4</v>
      </c>
      <c r="F287" s="15">
        <v>22</v>
      </c>
      <c r="G287" s="18">
        <f>F287-E287</f>
        <v>18</v>
      </c>
      <c r="H287" s="10" t="s">
        <v>274</v>
      </c>
      <c r="I287" s="32" t="s">
        <v>241</v>
      </c>
    </row>
    <row r="288" spans="1:9" x14ac:dyDescent="0.2">
      <c r="A288" s="41">
        <v>8</v>
      </c>
      <c r="B288" s="36" t="s">
        <v>9</v>
      </c>
      <c r="C288" s="20" t="s">
        <v>138</v>
      </c>
      <c r="D288" s="4">
        <v>1</v>
      </c>
      <c r="E288" s="15">
        <v>13</v>
      </c>
      <c r="F288" s="15">
        <v>19.059999999999999</v>
      </c>
      <c r="G288" s="18">
        <f>F288-E288</f>
        <v>6.0599999999999987</v>
      </c>
      <c r="H288" s="10" t="s">
        <v>274</v>
      </c>
      <c r="I288" s="32" t="s">
        <v>241</v>
      </c>
    </row>
    <row r="289" spans="1:9" x14ac:dyDescent="0.2">
      <c r="A289" s="41">
        <v>8</v>
      </c>
      <c r="B289" s="36" t="s">
        <v>9</v>
      </c>
      <c r="C289" s="20" t="s">
        <v>162</v>
      </c>
      <c r="D289" s="4">
        <v>1</v>
      </c>
      <c r="E289" s="15">
        <v>40</v>
      </c>
      <c r="F289" s="15">
        <v>70</v>
      </c>
      <c r="G289" s="18">
        <f>F289-E289</f>
        <v>30</v>
      </c>
      <c r="H289" s="10" t="s">
        <v>274</v>
      </c>
      <c r="I289" s="14" t="s">
        <v>111</v>
      </c>
    </row>
    <row r="290" spans="1:9" x14ac:dyDescent="0.2">
      <c r="A290" s="41">
        <v>8</v>
      </c>
      <c r="B290" s="36" t="s">
        <v>9</v>
      </c>
      <c r="C290" s="20" t="s">
        <v>108</v>
      </c>
      <c r="D290" s="4">
        <v>1</v>
      </c>
      <c r="E290" s="15">
        <v>65</v>
      </c>
      <c r="F290" s="15">
        <v>100</v>
      </c>
      <c r="G290" s="18">
        <f>F290-E290</f>
        <v>35</v>
      </c>
      <c r="H290" s="10" t="s">
        <v>274</v>
      </c>
      <c r="I290" s="14" t="s">
        <v>111</v>
      </c>
    </row>
    <row r="291" spans="1:9" x14ac:dyDescent="0.2">
      <c r="A291" s="41">
        <v>8</v>
      </c>
      <c r="B291" s="36" t="s">
        <v>9</v>
      </c>
      <c r="C291" s="20" t="s">
        <v>108</v>
      </c>
      <c r="D291" s="4">
        <v>1</v>
      </c>
      <c r="E291" s="15">
        <v>65</v>
      </c>
      <c r="F291" s="15">
        <v>100</v>
      </c>
      <c r="G291" s="18">
        <f>F291-E291</f>
        <v>35</v>
      </c>
      <c r="H291" s="10" t="s">
        <v>274</v>
      </c>
      <c r="I291" s="14" t="s">
        <v>111</v>
      </c>
    </row>
    <row r="292" spans="1:9" x14ac:dyDescent="0.2">
      <c r="A292" s="41">
        <v>8</v>
      </c>
      <c r="B292" s="36" t="s">
        <v>9</v>
      </c>
      <c r="C292" s="20" t="s">
        <v>221</v>
      </c>
      <c r="D292" s="4">
        <v>1</v>
      </c>
      <c r="E292" s="15">
        <v>47</v>
      </c>
      <c r="F292" s="15">
        <v>90</v>
      </c>
      <c r="G292" s="18">
        <f>F292-E292</f>
        <v>43</v>
      </c>
      <c r="H292" s="10" t="s">
        <v>274</v>
      </c>
      <c r="I292" s="32" t="s">
        <v>241</v>
      </c>
    </row>
    <row r="293" spans="1:9" x14ac:dyDescent="0.2">
      <c r="A293" s="41">
        <v>8</v>
      </c>
      <c r="B293" s="36" t="s">
        <v>9</v>
      </c>
      <c r="C293" s="20" t="s">
        <v>136</v>
      </c>
      <c r="D293" s="4">
        <v>6</v>
      </c>
      <c r="E293" s="15">
        <f>2*D293</f>
        <v>12</v>
      </c>
      <c r="F293" s="15">
        <v>30</v>
      </c>
      <c r="G293" s="18">
        <f>F293-E293</f>
        <v>18</v>
      </c>
      <c r="H293" s="10" t="s">
        <v>274</v>
      </c>
      <c r="I293" s="32" t="s">
        <v>241</v>
      </c>
    </row>
    <row r="294" spans="1:9" x14ac:dyDescent="0.2">
      <c r="A294" s="41">
        <v>8</v>
      </c>
      <c r="B294" s="36" t="s">
        <v>9</v>
      </c>
      <c r="C294" s="20" t="s">
        <v>253</v>
      </c>
      <c r="D294" s="4">
        <v>1</v>
      </c>
      <c r="E294" s="15">
        <v>21</v>
      </c>
      <c r="F294" s="15">
        <v>40</v>
      </c>
      <c r="G294" s="18">
        <f>F294-E294</f>
        <v>19</v>
      </c>
      <c r="H294" s="10" t="s">
        <v>274</v>
      </c>
      <c r="I294" s="14" t="s">
        <v>111</v>
      </c>
    </row>
    <row r="295" spans="1:9" x14ac:dyDescent="0.2">
      <c r="A295" s="41">
        <v>8</v>
      </c>
      <c r="B295" s="36" t="s">
        <v>9</v>
      </c>
      <c r="C295" s="20" t="s">
        <v>102</v>
      </c>
      <c r="D295" s="4">
        <v>1</v>
      </c>
      <c r="E295" s="15">
        <v>5</v>
      </c>
      <c r="F295" s="15">
        <v>15</v>
      </c>
      <c r="G295" s="18">
        <f>F295-E295</f>
        <v>10</v>
      </c>
      <c r="H295" s="10" t="s">
        <v>274</v>
      </c>
      <c r="I295" s="14" t="s">
        <v>111</v>
      </c>
    </row>
    <row r="296" spans="1:9" x14ac:dyDescent="0.2">
      <c r="A296" s="41">
        <v>8</v>
      </c>
      <c r="B296" s="36" t="s">
        <v>9</v>
      </c>
      <c r="C296" s="20" t="s">
        <v>157</v>
      </c>
      <c r="D296" s="4">
        <v>1</v>
      </c>
      <c r="E296" s="15">
        <v>41</v>
      </c>
      <c r="F296" s="15">
        <v>65</v>
      </c>
      <c r="G296" s="18">
        <f>F296-E296</f>
        <v>24</v>
      </c>
      <c r="H296" s="10" t="s">
        <v>274</v>
      </c>
      <c r="I296" s="14" t="s">
        <v>158</v>
      </c>
    </row>
    <row r="297" spans="1:9" x14ac:dyDescent="0.2">
      <c r="A297" s="41">
        <v>8</v>
      </c>
      <c r="B297" s="36" t="s">
        <v>9</v>
      </c>
      <c r="C297" s="20" t="s">
        <v>135</v>
      </c>
      <c r="D297" s="4">
        <v>1</v>
      </c>
      <c r="E297" s="15">
        <v>27</v>
      </c>
      <c r="F297" s="15">
        <v>40</v>
      </c>
      <c r="G297" s="18">
        <f>F297-E297</f>
        <v>13</v>
      </c>
      <c r="H297" s="10" t="s">
        <v>274</v>
      </c>
      <c r="I297" s="14" t="s">
        <v>111</v>
      </c>
    </row>
    <row r="298" spans="1:9" x14ac:dyDescent="0.2">
      <c r="A298" s="41">
        <v>8</v>
      </c>
      <c r="B298" s="36" t="s">
        <v>9</v>
      </c>
      <c r="C298" s="20" t="s">
        <v>191</v>
      </c>
      <c r="D298" s="4">
        <v>1</v>
      </c>
      <c r="E298" s="15">
        <v>3</v>
      </c>
      <c r="F298" s="15">
        <v>5.99</v>
      </c>
      <c r="G298" s="18">
        <f>F298-E298</f>
        <v>2.99</v>
      </c>
      <c r="H298" s="10" t="s">
        <v>274</v>
      </c>
      <c r="I298" s="32" t="s">
        <v>241</v>
      </c>
    </row>
    <row r="299" spans="1:9" x14ac:dyDescent="0.2">
      <c r="A299" s="41">
        <v>8</v>
      </c>
      <c r="B299" s="36" t="s">
        <v>9</v>
      </c>
      <c r="C299" s="20" t="s">
        <v>191</v>
      </c>
      <c r="D299" s="4">
        <v>5</v>
      </c>
      <c r="E299" s="15">
        <f>3*5</f>
        <v>15</v>
      </c>
      <c r="F299" s="15">
        <v>29.96</v>
      </c>
      <c r="G299" s="18">
        <f>F299-E299</f>
        <v>14.96</v>
      </c>
      <c r="H299" s="10" t="s">
        <v>274</v>
      </c>
      <c r="I299" s="32" t="s">
        <v>241</v>
      </c>
    </row>
    <row r="300" spans="1:9" x14ac:dyDescent="0.2">
      <c r="A300" s="41">
        <v>8</v>
      </c>
      <c r="B300" s="36" t="s">
        <v>9</v>
      </c>
      <c r="C300" s="20" t="s">
        <v>191</v>
      </c>
      <c r="D300" s="4">
        <v>5</v>
      </c>
      <c r="E300" s="15">
        <f>3*5</f>
        <v>15</v>
      </c>
      <c r="F300" s="15">
        <v>29.96</v>
      </c>
      <c r="G300" s="18">
        <f>F300-E300</f>
        <v>14.96</v>
      </c>
      <c r="H300" s="10" t="s">
        <v>274</v>
      </c>
      <c r="I300" s="32" t="s">
        <v>241</v>
      </c>
    </row>
    <row r="301" spans="1:9" x14ac:dyDescent="0.2">
      <c r="A301" s="41">
        <v>8</v>
      </c>
      <c r="B301" s="36" t="s">
        <v>9</v>
      </c>
      <c r="C301" s="20" t="s">
        <v>191</v>
      </c>
      <c r="D301" s="4">
        <v>4</v>
      </c>
      <c r="E301" s="15">
        <f>D301*2.5</f>
        <v>10</v>
      </c>
      <c r="F301" s="15">
        <v>35.700000000000003</v>
      </c>
      <c r="G301" s="18">
        <f>F301-E301</f>
        <v>25.700000000000003</v>
      </c>
      <c r="H301" s="10" t="s">
        <v>274</v>
      </c>
      <c r="I301" s="32" t="s">
        <v>241</v>
      </c>
    </row>
    <row r="302" spans="1:9" x14ac:dyDescent="0.2">
      <c r="A302" s="41">
        <v>8</v>
      </c>
      <c r="B302" s="36" t="s">
        <v>9</v>
      </c>
      <c r="C302" s="20" t="s">
        <v>202</v>
      </c>
      <c r="D302" s="4">
        <v>1</v>
      </c>
      <c r="E302" s="15"/>
      <c r="F302" s="15">
        <v>19.739999999999998</v>
      </c>
      <c r="G302" s="18">
        <f>F302-E302</f>
        <v>19.739999999999998</v>
      </c>
      <c r="H302" s="10" t="s">
        <v>274</v>
      </c>
      <c r="I302" s="32" t="s">
        <v>241</v>
      </c>
    </row>
    <row r="303" spans="1:9" x14ac:dyDescent="0.2">
      <c r="A303" s="41">
        <v>8</v>
      </c>
      <c r="B303" s="36" t="s">
        <v>9</v>
      </c>
      <c r="C303" s="20" t="s">
        <v>161</v>
      </c>
      <c r="D303" s="4">
        <v>1</v>
      </c>
      <c r="E303" s="15"/>
      <c r="F303" s="15">
        <v>36.409999999999997</v>
      </c>
      <c r="G303" s="18">
        <f>F303-E303</f>
        <v>36.409999999999997</v>
      </c>
      <c r="H303" s="10" t="s">
        <v>274</v>
      </c>
      <c r="I303" s="32" t="s">
        <v>241</v>
      </c>
    </row>
    <row r="304" spans="1:9" x14ac:dyDescent="0.2">
      <c r="A304" s="41">
        <v>8</v>
      </c>
      <c r="B304" s="36" t="s">
        <v>9</v>
      </c>
      <c r="C304" s="20" t="s">
        <v>149</v>
      </c>
      <c r="D304" s="4">
        <v>1</v>
      </c>
      <c r="E304" s="15">
        <f>6.5/12</f>
        <v>0.54166666666666663</v>
      </c>
      <c r="F304" s="15">
        <v>1</v>
      </c>
      <c r="G304" s="18">
        <f>F304-E304</f>
        <v>0.45833333333333337</v>
      </c>
      <c r="H304" s="10" t="s">
        <v>274</v>
      </c>
      <c r="I304" s="32" t="s">
        <v>241</v>
      </c>
    </row>
    <row r="305" spans="1:9" x14ac:dyDescent="0.2">
      <c r="A305" s="41">
        <v>8</v>
      </c>
      <c r="B305" s="36" t="s">
        <v>9</v>
      </c>
      <c r="C305" s="20" t="s">
        <v>141</v>
      </c>
      <c r="D305" s="4">
        <v>1</v>
      </c>
      <c r="E305" s="15">
        <v>25</v>
      </c>
      <c r="F305" s="15">
        <v>50</v>
      </c>
      <c r="G305" s="18">
        <f>F305-E305</f>
        <v>25</v>
      </c>
      <c r="H305" s="10" t="s">
        <v>274</v>
      </c>
      <c r="I305" s="32" t="s">
        <v>241</v>
      </c>
    </row>
    <row r="306" spans="1:9" x14ac:dyDescent="0.2">
      <c r="A306" s="41">
        <v>8</v>
      </c>
      <c r="B306" s="36" t="s">
        <v>9</v>
      </c>
      <c r="C306" s="20" t="s">
        <v>141</v>
      </c>
      <c r="D306" s="4">
        <v>1</v>
      </c>
      <c r="E306" s="15">
        <v>25</v>
      </c>
      <c r="F306" s="15">
        <v>57.31</v>
      </c>
      <c r="G306" s="18">
        <f>F306-E306</f>
        <v>32.31</v>
      </c>
      <c r="H306" s="10" t="s">
        <v>274</v>
      </c>
      <c r="I306" s="32" t="s">
        <v>241</v>
      </c>
    </row>
    <row r="307" spans="1:9" x14ac:dyDescent="0.2">
      <c r="A307" s="41">
        <v>8</v>
      </c>
      <c r="B307" s="36" t="s">
        <v>9</v>
      </c>
      <c r="C307" s="20" t="s">
        <v>140</v>
      </c>
      <c r="D307" s="4">
        <v>1</v>
      </c>
      <c r="E307" s="15">
        <v>10</v>
      </c>
      <c r="F307" s="15">
        <v>22</v>
      </c>
      <c r="G307" s="18">
        <f>F307-E307</f>
        <v>12</v>
      </c>
      <c r="H307" s="10" t="s">
        <v>274</v>
      </c>
      <c r="I307" s="32" t="s">
        <v>241</v>
      </c>
    </row>
    <row r="308" spans="1:9" x14ac:dyDescent="0.2">
      <c r="A308" s="41">
        <v>8</v>
      </c>
      <c r="B308" s="36" t="s">
        <v>9</v>
      </c>
      <c r="C308" s="20" t="s">
        <v>59</v>
      </c>
      <c r="D308" s="4">
        <v>1</v>
      </c>
      <c r="E308" s="15">
        <v>85</v>
      </c>
      <c r="F308" s="15">
        <v>103.3</v>
      </c>
      <c r="G308" s="18">
        <f>F308-E308</f>
        <v>18.299999999999997</v>
      </c>
      <c r="H308" s="10" t="s">
        <v>274</v>
      </c>
      <c r="I308" s="32" t="s">
        <v>241</v>
      </c>
    </row>
    <row r="309" spans="1:9" x14ac:dyDescent="0.2">
      <c r="A309" s="41">
        <v>8</v>
      </c>
      <c r="B309" s="36" t="s">
        <v>9</v>
      </c>
      <c r="C309" s="20" t="s">
        <v>153</v>
      </c>
      <c r="D309" s="4">
        <v>1</v>
      </c>
      <c r="E309" s="15">
        <v>35</v>
      </c>
      <c r="F309" s="15">
        <v>42.5</v>
      </c>
      <c r="G309" s="18">
        <f>F309-E309</f>
        <v>7.5</v>
      </c>
      <c r="H309" s="10" t="s">
        <v>274</v>
      </c>
      <c r="I309" s="14" t="s">
        <v>158</v>
      </c>
    </row>
    <row r="310" spans="1:9" x14ac:dyDescent="0.2">
      <c r="A310" s="41">
        <v>8</v>
      </c>
      <c r="B310" s="36" t="s">
        <v>9</v>
      </c>
      <c r="C310" s="20" t="s">
        <v>258</v>
      </c>
      <c r="D310" s="4">
        <v>1</v>
      </c>
      <c r="E310" s="15">
        <v>5</v>
      </c>
      <c r="F310" s="15">
        <v>10</v>
      </c>
      <c r="G310" s="18">
        <f>F310-E310</f>
        <v>5</v>
      </c>
      <c r="H310" s="10" t="s">
        <v>274</v>
      </c>
      <c r="I310" s="14" t="s">
        <v>111</v>
      </c>
    </row>
    <row r="311" spans="1:9" x14ac:dyDescent="0.2">
      <c r="A311" s="41">
        <v>8</v>
      </c>
      <c r="B311" s="36" t="s">
        <v>9</v>
      </c>
      <c r="C311" s="20" t="s">
        <v>148</v>
      </c>
      <c r="D311" s="4">
        <v>1</v>
      </c>
      <c r="E311" s="15">
        <v>25</v>
      </c>
      <c r="F311" s="15">
        <v>50</v>
      </c>
      <c r="G311" s="18">
        <f>F311-E311</f>
        <v>25</v>
      </c>
      <c r="H311" s="10" t="s">
        <v>274</v>
      </c>
      <c r="I311" s="14" t="s">
        <v>111</v>
      </c>
    </row>
    <row r="312" spans="1:9" x14ac:dyDescent="0.2">
      <c r="A312" s="41">
        <v>8</v>
      </c>
      <c r="B312" s="36" t="s">
        <v>9</v>
      </c>
      <c r="C312" s="20" t="s">
        <v>100</v>
      </c>
      <c r="D312" s="4">
        <v>1</v>
      </c>
      <c r="E312" s="15">
        <v>14</v>
      </c>
      <c r="F312" s="15">
        <v>20</v>
      </c>
      <c r="G312" s="18">
        <f>F312-E312</f>
        <v>6</v>
      </c>
      <c r="H312" s="10" t="s">
        <v>274</v>
      </c>
      <c r="I312" s="14" t="s">
        <v>158</v>
      </c>
    </row>
    <row r="313" spans="1:9" x14ac:dyDescent="0.2">
      <c r="A313" s="41">
        <v>8</v>
      </c>
      <c r="B313" s="36" t="s">
        <v>9</v>
      </c>
      <c r="C313" s="20" t="s">
        <v>100</v>
      </c>
      <c r="D313" s="4">
        <v>1</v>
      </c>
      <c r="E313" s="15">
        <v>4</v>
      </c>
      <c r="F313" s="15">
        <v>7.6</v>
      </c>
      <c r="G313" s="18">
        <f>F313-E313</f>
        <v>3.5999999999999996</v>
      </c>
      <c r="H313" s="10" t="s">
        <v>274</v>
      </c>
      <c r="I313" s="32" t="s">
        <v>241</v>
      </c>
    </row>
    <row r="314" spans="1:9" x14ac:dyDescent="0.2">
      <c r="A314" s="41">
        <v>8</v>
      </c>
      <c r="B314" s="36" t="s">
        <v>9</v>
      </c>
      <c r="C314" s="20" t="s">
        <v>260</v>
      </c>
      <c r="D314" s="4">
        <v>1</v>
      </c>
      <c r="E314" s="15">
        <v>33</v>
      </c>
      <c r="F314" s="15">
        <v>56.6</v>
      </c>
      <c r="G314" s="18">
        <f>F314-E314</f>
        <v>23.6</v>
      </c>
      <c r="H314" s="10" t="s">
        <v>274</v>
      </c>
      <c r="I314" s="32" t="s">
        <v>241</v>
      </c>
    </row>
    <row r="315" spans="1:9" x14ac:dyDescent="0.2">
      <c r="A315" s="41">
        <v>8</v>
      </c>
      <c r="B315" s="36" t="s">
        <v>9</v>
      </c>
      <c r="C315" s="20" t="s">
        <v>260</v>
      </c>
      <c r="D315" s="4">
        <v>1</v>
      </c>
      <c r="E315" s="15">
        <v>33</v>
      </c>
      <c r="F315" s="15">
        <v>56.6</v>
      </c>
      <c r="G315" s="18">
        <f>F315-E315</f>
        <v>23.6</v>
      </c>
      <c r="H315" s="10" t="s">
        <v>274</v>
      </c>
      <c r="I315" s="32" t="s">
        <v>241</v>
      </c>
    </row>
    <row r="316" spans="1:9" x14ac:dyDescent="0.2">
      <c r="A316" s="41">
        <v>8</v>
      </c>
      <c r="B316" s="36" t="s">
        <v>9</v>
      </c>
      <c r="C316" s="20" t="s">
        <v>260</v>
      </c>
      <c r="D316" s="4">
        <v>1</v>
      </c>
      <c r="E316" s="15">
        <v>33</v>
      </c>
      <c r="F316" s="15">
        <v>61.35</v>
      </c>
      <c r="G316" s="18">
        <f>F316-E316</f>
        <v>28.35</v>
      </c>
      <c r="H316" s="10" t="s">
        <v>274</v>
      </c>
      <c r="I316" s="32" t="s">
        <v>241</v>
      </c>
    </row>
    <row r="317" spans="1:9" x14ac:dyDescent="0.2">
      <c r="A317" s="41">
        <v>8</v>
      </c>
      <c r="B317" s="36" t="s">
        <v>9</v>
      </c>
      <c r="C317" s="20" t="s">
        <v>196</v>
      </c>
      <c r="D317" s="4">
        <v>1</v>
      </c>
      <c r="E317" s="15">
        <v>3.5</v>
      </c>
      <c r="F317" s="15">
        <v>10</v>
      </c>
      <c r="G317" s="18">
        <f>F317-E317</f>
        <v>6.5</v>
      </c>
      <c r="H317" s="10" t="s">
        <v>274</v>
      </c>
      <c r="I317" s="32" t="s">
        <v>241</v>
      </c>
    </row>
    <row r="318" spans="1:9" x14ac:dyDescent="0.2">
      <c r="A318" s="41">
        <v>8</v>
      </c>
      <c r="B318" s="36" t="s">
        <v>9</v>
      </c>
      <c r="C318" s="20" t="s">
        <v>154</v>
      </c>
      <c r="D318" s="4">
        <v>1</v>
      </c>
      <c r="E318" s="15">
        <v>45</v>
      </c>
      <c r="F318" s="15">
        <v>80</v>
      </c>
      <c r="G318" s="18">
        <f>F318-E318</f>
        <v>35</v>
      </c>
      <c r="H318" s="10" t="s">
        <v>274</v>
      </c>
      <c r="I318" s="14" t="s">
        <v>111</v>
      </c>
    </row>
    <row r="319" spans="1:9" x14ac:dyDescent="0.2">
      <c r="A319" s="41">
        <v>8</v>
      </c>
      <c r="B319" s="36" t="s">
        <v>9</v>
      </c>
      <c r="C319" s="20" t="s">
        <v>134</v>
      </c>
      <c r="D319" s="4">
        <v>1</v>
      </c>
      <c r="E319" s="15">
        <v>35</v>
      </c>
      <c r="F319" s="15">
        <v>80</v>
      </c>
      <c r="G319" s="18">
        <f>F319-E319</f>
        <v>45</v>
      </c>
      <c r="H319" s="10" t="s">
        <v>274</v>
      </c>
      <c r="I319" s="14" t="s">
        <v>111</v>
      </c>
    </row>
    <row r="320" spans="1:9" x14ac:dyDescent="0.2">
      <c r="A320" s="41">
        <v>8</v>
      </c>
      <c r="B320" s="36" t="s">
        <v>9</v>
      </c>
      <c r="C320" s="20" t="s">
        <v>134</v>
      </c>
      <c r="D320" s="4">
        <v>1</v>
      </c>
      <c r="E320" s="15">
        <v>35</v>
      </c>
      <c r="F320" s="15">
        <v>80</v>
      </c>
      <c r="G320" s="18">
        <f>F320-E320</f>
        <v>45</v>
      </c>
      <c r="H320" s="10" t="s">
        <v>274</v>
      </c>
      <c r="I320" s="14" t="s">
        <v>111</v>
      </c>
    </row>
    <row r="321" spans="1:9" x14ac:dyDescent="0.2">
      <c r="A321" s="41">
        <v>8</v>
      </c>
      <c r="B321" s="36" t="s">
        <v>9</v>
      </c>
      <c r="C321" s="20" t="s">
        <v>177</v>
      </c>
      <c r="D321" s="4">
        <v>1</v>
      </c>
      <c r="E321" s="15">
        <v>3.5</v>
      </c>
      <c r="F321" s="15">
        <v>10</v>
      </c>
      <c r="G321" s="18">
        <f>F321-E321</f>
        <v>6.5</v>
      </c>
      <c r="H321" s="10" t="s">
        <v>274</v>
      </c>
      <c r="I321" s="32" t="s">
        <v>241</v>
      </c>
    </row>
    <row r="322" spans="1:9" x14ac:dyDescent="0.2">
      <c r="A322" s="41">
        <v>8</v>
      </c>
      <c r="B322" s="36" t="s">
        <v>9</v>
      </c>
      <c r="C322" s="20" t="s">
        <v>177</v>
      </c>
      <c r="D322" s="4">
        <v>1</v>
      </c>
      <c r="E322" s="15">
        <v>4</v>
      </c>
      <c r="F322" s="15">
        <v>10.8</v>
      </c>
      <c r="G322" s="18">
        <f>F322-E322</f>
        <v>6.8000000000000007</v>
      </c>
      <c r="H322" s="10" t="s">
        <v>274</v>
      </c>
      <c r="I322" s="32" t="s">
        <v>241</v>
      </c>
    </row>
    <row r="323" spans="1:9" x14ac:dyDescent="0.2">
      <c r="A323" s="41">
        <v>8</v>
      </c>
      <c r="B323" s="36" t="s">
        <v>9</v>
      </c>
      <c r="C323" s="20" t="s">
        <v>133</v>
      </c>
      <c r="D323" s="4">
        <v>1</v>
      </c>
      <c r="E323" s="15">
        <v>20</v>
      </c>
      <c r="F323" s="15">
        <v>25</v>
      </c>
      <c r="G323" s="18">
        <f>F323-E323</f>
        <v>5</v>
      </c>
      <c r="H323" s="10" t="s">
        <v>274</v>
      </c>
      <c r="I323" s="14" t="s">
        <v>158</v>
      </c>
    </row>
    <row r="324" spans="1:9" x14ac:dyDescent="0.2">
      <c r="A324" s="41">
        <v>8</v>
      </c>
      <c r="B324" s="36" t="s">
        <v>9</v>
      </c>
      <c r="C324" s="20" t="s">
        <v>75</v>
      </c>
      <c r="D324" s="4">
        <v>1</v>
      </c>
      <c r="E324" s="15">
        <v>7</v>
      </c>
      <c r="F324" s="15">
        <v>14</v>
      </c>
      <c r="G324" s="18">
        <f>F324-E324</f>
        <v>7</v>
      </c>
      <c r="H324" s="10" t="s">
        <v>274</v>
      </c>
      <c r="I324" s="32" t="s">
        <v>241</v>
      </c>
    </row>
    <row r="325" spans="1:9" x14ac:dyDescent="0.2">
      <c r="A325" s="41">
        <v>8</v>
      </c>
      <c r="B325" s="36" t="s">
        <v>9</v>
      </c>
      <c r="C325" s="20" t="s">
        <v>139</v>
      </c>
      <c r="D325" s="4">
        <v>1</v>
      </c>
      <c r="E325" s="15">
        <v>20</v>
      </c>
      <c r="F325" s="15">
        <v>30</v>
      </c>
      <c r="G325" s="18">
        <f>F325-E325</f>
        <v>10</v>
      </c>
      <c r="H325" s="10" t="s">
        <v>274</v>
      </c>
      <c r="I325" s="32" t="s">
        <v>241</v>
      </c>
    </row>
    <row r="326" spans="1:9" x14ac:dyDescent="0.2">
      <c r="A326" s="41">
        <v>8</v>
      </c>
      <c r="B326" s="36" t="s">
        <v>9</v>
      </c>
      <c r="C326" s="20" t="s">
        <v>262</v>
      </c>
      <c r="D326" s="4">
        <v>1</v>
      </c>
      <c r="E326" s="15">
        <v>10</v>
      </c>
      <c r="F326" s="15">
        <v>30</v>
      </c>
      <c r="G326" s="18">
        <f>F326-E326</f>
        <v>20</v>
      </c>
      <c r="H326" s="10" t="s">
        <v>274</v>
      </c>
      <c r="I326" s="14" t="s">
        <v>111</v>
      </c>
    </row>
    <row r="327" spans="1:9" x14ac:dyDescent="0.2">
      <c r="A327" s="41">
        <v>8</v>
      </c>
      <c r="B327" s="36" t="s">
        <v>9</v>
      </c>
      <c r="C327" s="20" t="s">
        <v>146</v>
      </c>
      <c r="D327" s="4">
        <v>1</v>
      </c>
      <c r="E327" s="15">
        <v>0</v>
      </c>
      <c r="F327" s="15">
        <v>54.45</v>
      </c>
      <c r="G327" s="18">
        <f>F327-E327</f>
        <v>54.45</v>
      </c>
      <c r="H327" s="10" t="s">
        <v>274</v>
      </c>
      <c r="I327" s="14" t="s">
        <v>158</v>
      </c>
    </row>
    <row r="328" spans="1:9" x14ac:dyDescent="0.2">
      <c r="A328" s="41">
        <v>8</v>
      </c>
      <c r="B328" s="36" t="s">
        <v>9</v>
      </c>
      <c r="C328" s="20" t="s">
        <v>151</v>
      </c>
      <c r="D328" s="4">
        <v>1</v>
      </c>
      <c r="E328" s="15">
        <v>6</v>
      </c>
      <c r="F328" s="15">
        <v>15</v>
      </c>
      <c r="G328" s="18">
        <f>F328-E328</f>
        <v>9</v>
      </c>
      <c r="H328" s="10" t="s">
        <v>274</v>
      </c>
      <c r="I328" s="14" t="s">
        <v>111</v>
      </c>
    </row>
    <row r="329" spans="1:9" x14ac:dyDescent="0.2">
      <c r="A329" s="41">
        <v>8</v>
      </c>
      <c r="B329" s="36" t="s">
        <v>9</v>
      </c>
      <c r="C329" s="20" t="s">
        <v>152</v>
      </c>
      <c r="D329" s="4">
        <v>1</v>
      </c>
      <c r="E329" s="15">
        <v>10</v>
      </c>
      <c r="F329" s="15">
        <v>20</v>
      </c>
      <c r="G329" s="18">
        <f>F329-E329</f>
        <v>10</v>
      </c>
      <c r="H329" s="10" t="s">
        <v>274</v>
      </c>
      <c r="I329" s="14" t="s">
        <v>111</v>
      </c>
    </row>
    <row r="330" spans="1:9" x14ac:dyDescent="0.2">
      <c r="A330" s="41">
        <v>8</v>
      </c>
      <c r="B330" s="36" t="s">
        <v>9</v>
      </c>
      <c r="C330" s="20" t="s">
        <v>155</v>
      </c>
      <c r="D330" s="4">
        <v>1</v>
      </c>
      <c r="E330" s="15">
        <v>7</v>
      </c>
      <c r="F330" s="15">
        <v>17.2</v>
      </c>
      <c r="G330" s="18">
        <f>F330-E330</f>
        <v>10.199999999999999</v>
      </c>
      <c r="H330" s="10" t="s">
        <v>274</v>
      </c>
      <c r="I330" s="32" t="s">
        <v>241</v>
      </c>
    </row>
    <row r="331" spans="1:9" x14ac:dyDescent="0.2">
      <c r="A331" s="41">
        <v>8</v>
      </c>
      <c r="B331" s="36" t="s">
        <v>9</v>
      </c>
      <c r="C331" s="20" t="s">
        <v>172</v>
      </c>
      <c r="D331" s="4">
        <v>1</v>
      </c>
      <c r="E331" s="15">
        <v>7</v>
      </c>
      <c r="F331" s="15">
        <v>14.99</v>
      </c>
      <c r="G331" s="18">
        <f>F331-E331</f>
        <v>7.99</v>
      </c>
      <c r="H331" s="10" t="s">
        <v>274</v>
      </c>
      <c r="I331" s="32" t="s">
        <v>241</v>
      </c>
    </row>
    <row r="332" spans="1:9" x14ac:dyDescent="0.2">
      <c r="A332" s="41">
        <v>8</v>
      </c>
      <c r="B332" s="36" t="s">
        <v>9</v>
      </c>
      <c r="C332" s="20" t="s">
        <v>172</v>
      </c>
      <c r="D332" s="4">
        <v>1</v>
      </c>
      <c r="E332" s="15">
        <v>7</v>
      </c>
      <c r="F332" s="15">
        <v>19.57</v>
      </c>
      <c r="G332" s="18">
        <f>F332-E332</f>
        <v>12.57</v>
      </c>
      <c r="H332" s="10" t="s">
        <v>274</v>
      </c>
      <c r="I332" s="32" t="s">
        <v>241</v>
      </c>
    </row>
    <row r="333" spans="1:9" x14ac:dyDescent="0.2">
      <c r="A333" s="41">
        <v>8</v>
      </c>
      <c r="B333" s="36" t="s">
        <v>9</v>
      </c>
      <c r="C333" s="20" t="s">
        <v>261</v>
      </c>
      <c r="D333" s="4">
        <v>1</v>
      </c>
      <c r="E333" s="15">
        <v>20</v>
      </c>
      <c r="F333" s="15">
        <v>38</v>
      </c>
      <c r="G333" s="18">
        <f>F333-E333</f>
        <v>18</v>
      </c>
      <c r="H333" s="10" t="s">
        <v>274</v>
      </c>
      <c r="I333" s="32" t="s">
        <v>241</v>
      </c>
    </row>
    <row r="334" spans="1:9" x14ac:dyDescent="0.2">
      <c r="A334" s="41">
        <v>8</v>
      </c>
      <c r="B334" s="36" t="s">
        <v>9</v>
      </c>
      <c r="C334" s="20" t="s">
        <v>144</v>
      </c>
      <c r="D334" s="4">
        <v>1</v>
      </c>
      <c r="E334" s="15">
        <v>0</v>
      </c>
      <c r="F334" s="15">
        <v>40</v>
      </c>
      <c r="G334" s="18">
        <f>F334-E334</f>
        <v>40</v>
      </c>
      <c r="H334" s="10" t="s">
        <v>274</v>
      </c>
      <c r="I334" s="14" t="s">
        <v>158</v>
      </c>
    </row>
    <row r="335" spans="1:9" x14ac:dyDescent="0.2">
      <c r="A335" s="41">
        <v>8</v>
      </c>
      <c r="B335" s="36" t="s">
        <v>9</v>
      </c>
      <c r="C335" s="3" t="s">
        <v>264</v>
      </c>
      <c r="D335" s="4">
        <v>4</v>
      </c>
      <c r="E335" s="15">
        <v>4</v>
      </c>
      <c r="F335" s="15">
        <v>8</v>
      </c>
      <c r="G335" s="18">
        <f>F335-E335</f>
        <v>4</v>
      </c>
      <c r="H335" s="10" t="s">
        <v>274</v>
      </c>
      <c r="I335" s="32" t="s">
        <v>241</v>
      </c>
    </row>
    <row r="336" spans="1:9" x14ac:dyDescent="0.2">
      <c r="A336" s="41">
        <v>8</v>
      </c>
      <c r="B336" s="36" t="s">
        <v>9</v>
      </c>
      <c r="C336" s="3" t="s">
        <v>264</v>
      </c>
      <c r="D336" s="4">
        <v>1</v>
      </c>
      <c r="E336" s="15">
        <v>1</v>
      </c>
      <c r="F336" s="15">
        <v>4.8</v>
      </c>
      <c r="G336" s="18">
        <f>F336-E336</f>
        <v>3.8</v>
      </c>
      <c r="H336" s="10" t="s">
        <v>274</v>
      </c>
      <c r="I336" s="32" t="s">
        <v>241</v>
      </c>
    </row>
    <row r="337" spans="1:9" x14ac:dyDescent="0.2">
      <c r="A337" s="41">
        <v>8</v>
      </c>
      <c r="B337" s="36" t="s">
        <v>9</v>
      </c>
      <c r="C337" s="20" t="s">
        <v>110</v>
      </c>
      <c r="D337" s="4">
        <v>1</v>
      </c>
      <c r="E337" s="15">
        <v>24</v>
      </c>
      <c r="F337" s="15">
        <v>60</v>
      </c>
      <c r="G337" s="18">
        <f>F337-E337</f>
        <v>36</v>
      </c>
      <c r="H337" s="10" t="s">
        <v>274</v>
      </c>
      <c r="I337" s="14" t="s">
        <v>111</v>
      </c>
    </row>
    <row r="338" spans="1:9" x14ac:dyDescent="0.2">
      <c r="A338" s="41">
        <v>8</v>
      </c>
      <c r="B338" s="36" t="s">
        <v>9</v>
      </c>
      <c r="C338" s="20" t="s">
        <v>160</v>
      </c>
      <c r="D338" s="4">
        <v>1</v>
      </c>
      <c r="E338" s="15">
        <v>13</v>
      </c>
      <c r="F338" s="15">
        <v>20</v>
      </c>
      <c r="G338" s="18">
        <f>F338-E338</f>
        <v>7</v>
      </c>
      <c r="H338" s="10" t="s">
        <v>274</v>
      </c>
      <c r="I338" s="32" t="s">
        <v>241</v>
      </c>
    </row>
    <row r="339" spans="1:9" x14ac:dyDescent="0.2">
      <c r="A339" s="41">
        <v>8</v>
      </c>
      <c r="B339" s="36" t="s">
        <v>9</v>
      </c>
      <c r="C339" s="20" t="s">
        <v>147</v>
      </c>
      <c r="D339" s="4">
        <v>1</v>
      </c>
      <c r="E339" s="15">
        <v>110</v>
      </c>
      <c r="F339" s="15">
        <v>180</v>
      </c>
      <c r="G339" s="18">
        <f>F339-E339</f>
        <v>70</v>
      </c>
      <c r="H339" s="10" t="s">
        <v>274</v>
      </c>
      <c r="I339" s="14" t="s">
        <v>111</v>
      </c>
    </row>
    <row r="340" spans="1:9" x14ac:dyDescent="0.2">
      <c r="A340" s="41">
        <v>8</v>
      </c>
      <c r="B340" s="36" t="s">
        <v>9</v>
      </c>
      <c r="C340" s="20" t="s">
        <v>156</v>
      </c>
      <c r="D340" s="4">
        <v>1</v>
      </c>
      <c r="E340" s="15">
        <v>20</v>
      </c>
      <c r="F340" s="15">
        <v>40</v>
      </c>
      <c r="G340" s="18">
        <f>F340-E340</f>
        <v>20</v>
      </c>
      <c r="H340" s="10" t="s">
        <v>274</v>
      </c>
      <c r="I340" s="14" t="s">
        <v>111</v>
      </c>
    </row>
    <row r="341" spans="1:9" x14ac:dyDescent="0.2">
      <c r="A341" s="41">
        <v>9</v>
      </c>
      <c r="B341" s="36" t="s">
        <v>10</v>
      </c>
      <c r="C341" s="20" t="s">
        <v>247</v>
      </c>
      <c r="D341" s="4">
        <v>1</v>
      </c>
      <c r="E341" s="15">
        <v>4.5</v>
      </c>
      <c r="F341" s="15">
        <v>15</v>
      </c>
      <c r="G341" s="18">
        <f>F341-E341</f>
        <v>10.5</v>
      </c>
      <c r="H341" s="10" t="s">
        <v>274</v>
      </c>
      <c r="I341" s="14" t="s">
        <v>111</v>
      </c>
    </row>
    <row r="342" spans="1:9" x14ac:dyDescent="0.2">
      <c r="A342" s="41">
        <v>9</v>
      </c>
      <c r="B342" s="36" t="s">
        <v>10</v>
      </c>
      <c r="C342" s="20" t="s">
        <v>137</v>
      </c>
      <c r="D342" s="4">
        <v>1</v>
      </c>
      <c r="E342" s="15">
        <v>7</v>
      </c>
      <c r="F342" s="15">
        <v>14</v>
      </c>
      <c r="G342" s="18">
        <f>F342-E342</f>
        <v>7</v>
      </c>
      <c r="H342" s="10" t="s">
        <v>274</v>
      </c>
      <c r="I342" s="32" t="s">
        <v>241</v>
      </c>
    </row>
    <row r="343" spans="1:9" x14ac:dyDescent="0.2">
      <c r="A343" s="41">
        <v>9</v>
      </c>
      <c r="B343" s="36" t="s">
        <v>10</v>
      </c>
      <c r="C343" s="20" t="s">
        <v>169</v>
      </c>
      <c r="D343" s="4">
        <v>1</v>
      </c>
      <c r="E343" s="15">
        <v>0</v>
      </c>
      <c r="F343" s="15">
        <v>2000</v>
      </c>
      <c r="G343" s="18">
        <f>F343-E343</f>
        <v>2000</v>
      </c>
      <c r="H343" s="10" t="s">
        <v>274</v>
      </c>
      <c r="I343" s="14" t="s">
        <v>111</v>
      </c>
    </row>
    <row r="344" spans="1:9" x14ac:dyDescent="0.2">
      <c r="A344" s="41">
        <v>9</v>
      </c>
      <c r="B344" s="36" t="s">
        <v>10</v>
      </c>
      <c r="C344" s="20" t="s">
        <v>168</v>
      </c>
      <c r="D344" s="4">
        <v>2</v>
      </c>
      <c r="E344" s="15">
        <v>10</v>
      </c>
      <c r="F344" s="15">
        <v>24</v>
      </c>
      <c r="G344" s="18">
        <f>F344-E344</f>
        <v>14</v>
      </c>
      <c r="H344" s="10" t="s">
        <v>274</v>
      </c>
      <c r="I344" s="14" t="s">
        <v>198</v>
      </c>
    </row>
    <row r="345" spans="1:9" x14ac:dyDescent="0.2">
      <c r="A345" s="41">
        <v>9</v>
      </c>
      <c r="B345" s="36" t="s">
        <v>10</v>
      </c>
      <c r="C345" s="20" t="s">
        <v>168</v>
      </c>
      <c r="D345" s="4">
        <v>1</v>
      </c>
      <c r="E345" s="15">
        <v>5.5</v>
      </c>
      <c r="F345" s="15">
        <v>13.49</v>
      </c>
      <c r="G345" s="18">
        <f>F345-E345</f>
        <v>7.99</v>
      </c>
      <c r="H345" s="10" t="s">
        <v>274</v>
      </c>
      <c r="I345" s="32" t="s">
        <v>241</v>
      </c>
    </row>
    <row r="346" spans="1:9" x14ac:dyDescent="0.2">
      <c r="A346" s="41">
        <v>9</v>
      </c>
      <c r="B346" s="36" t="s">
        <v>10</v>
      </c>
      <c r="C346" s="20" t="s">
        <v>166</v>
      </c>
      <c r="D346" s="4">
        <v>1</v>
      </c>
      <c r="E346" s="15">
        <v>5</v>
      </c>
      <c r="F346" s="15">
        <v>10</v>
      </c>
      <c r="G346" s="18">
        <f>F346-E346</f>
        <v>5</v>
      </c>
      <c r="H346" s="10" t="s">
        <v>274</v>
      </c>
      <c r="I346" s="14" t="s">
        <v>111</v>
      </c>
    </row>
    <row r="347" spans="1:9" x14ac:dyDescent="0.2">
      <c r="A347" s="41">
        <v>9</v>
      </c>
      <c r="B347" s="36" t="s">
        <v>10</v>
      </c>
      <c r="C347" s="20" t="s">
        <v>166</v>
      </c>
      <c r="D347" s="4">
        <v>1</v>
      </c>
      <c r="E347" s="15">
        <v>5</v>
      </c>
      <c r="F347" s="15">
        <v>10</v>
      </c>
      <c r="G347" s="18">
        <f>F347-E347</f>
        <v>5</v>
      </c>
      <c r="H347" s="10" t="s">
        <v>274</v>
      </c>
      <c r="I347" s="14" t="s">
        <v>111</v>
      </c>
    </row>
    <row r="348" spans="1:9" x14ac:dyDescent="0.2">
      <c r="A348" s="41">
        <v>9</v>
      </c>
      <c r="B348" s="36" t="s">
        <v>10</v>
      </c>
      <c r="C348" s="20" t="s">
        <v>150</v>
      </c>
      <c r="D348" s="4">
        <v>2</v>
      </c>
      <c r="E348" s="15">
        <v>8</v>
      </c>
      <c r="F348" s="15">
        <v>18.38</v>
      </c>
      <c r="G348" s="18">
        <f>F348-E348</f>
        <v>10.379999999999999</v>
      </c>
      <c r="H348" s="10" t="s">
        <v>274</v>
      </c>
      <c r="I348" s="32" t="s">
        <v>241</v>
      </c>
    </row>
    <row r="349" spans="1:9" x14ac:dyDescent="0.2">
      <c r="A349" s="41">
        <v>9</v>
      </c>
      <c r="B349" s="36" t="s">
        <v>10</v>
      </c>
      <c r="C349" s="20" t="s">
        <v>143</v>
      </c>
      <c r="D349" s="4">
        <v>1</v>
      </c>
      <c r="E349" s="15">
        <v>3.5</v>
      </c>
      <c r="F349" s="15">
        <v>10</v>
      </c>
      <c r="G349" s="18">
        <f>F349-E349</f>
        <v>6.5</v>
      </c>
      <c r="H349" s="10" t="s">
        <v>274</v>
      </c>
      <c r="I349" s="32" t="s">
        <v>241</v>
      </c>
    </row>
    <row r="350" spans="1:9" x14ac:dyDescent="0.2">
      <c r="A350" s="41">
        <v>9</v>
      </c>
      <c r="B350" s="36" t="s">
        <v>10</v>
      </c>
      <c r="C350" s="20" t="s">
        <v>143</v>
      </c>
      <c r="D350" s="4">
        <v>1</v>
      </c>
      <c r="E350" s="15">
        <v>4</v>
      </c>
      <c r="F350" s="15">
        <v>14.58</v>
      </c>
      <c r="G350" s="18">
        <f>F350-E350</f>
        <v>10.58</v>
      </c>
      <c r="H350" s="10" t="s">
        <v>274</v>
      </c>
      <c r="I350" s="32" t="s">
        <v>241</v>
      </c>
    </row>
    <row r="351" spans="1:9" x14ac:dyDescent="0.2">
      <c r="A351" s="41">
        <v>9</v>
      </c>
      <c r="B351" s="36" t="s">
        <v>10</v>
      </c>
      <c r="C351" s="20" t="s">
        <v>176</v>
      </c>
      <c r="D351" s="4">
        <v>1</v>
      </c>
      <c r="E351" s="15">
        <v>3</v>
      </c>
      <c r="F351" s="15">
        <v>6</v>
      </c>
      <c r="G351" s="18">
        <f>F351-E351</f>
        <v>3</v>
      </c>
      <c r="H351" s="10" t="s">
        <v>274</v>
      </c>
      <c r="I351" s="14" t="s">
        <v>111</v>
      </c>
    </row>
    <row r="352" spans="1:9" x14ac:dyDescent="0.2">
      <c r="A352" s="41">
        <v>9</v>
      </c>
      <c r="B352" s="36" t="s">
        <v>10</v>
      </c>
      <c r="C352" s="20" t="s">
        <v>180</v>
      </c>
      <c r="D352" s="4">
        <v>1</v>
      </c>
      <c r="E352" s="15">
        <v>2.5</v>
      </c>
      <c r="F352" s="15">
        <v>4.4000000000000004</v>
      </c>
      <c r="G352" s="18">
        <f>F352-E352</f>
        <v>1.9000000000000004</v>
      </c>
      <c r="H352" s="10" t="s">
        <v>274</v>
      </c>
      <c r="I352" s="14" t="s">
        <v>198</v>
      </c>
    </row>
    <row r="353" spans="1:9" x14ac:dyDescent="0.2">
      <c r="A353" s="41">
        <v>9</v>
      </c>
      <c r="B353" s="36" t="s">
        <v>10</v>
      </c>
      <c r="C353" s="19" t="s">
        <v>17</v>
      </c>
      <c r="D353" s="4">
        <v>1</v>
      </c>
      <c r="E353" s="15">
        <v>4</v>
      </c>
      <c r="F353" s="15">
        <v>10</v>
      </c>
      <c r="G353" s="18">
        <f>F353-E353</f>
        <v>6</v>
      </c>
      <c r="H353" s="10" t="s">
        <v>274</v>
      </c>
      <c r="I353" s="14" t="s">
        <v>111</v>
      </c>
    </row>
    <row r="354" spans="1:9" x14ac:dyDescent="0.2">
      <c r="A354" s="41">
        <v>9</v>
      </c>
      <c r="B354" s="36" t="s">
        <v>10</v>
      </c>
      <c r="C354" s="20" t="s">
        <v>182</v>
      </c>
      <c r="D354" s="4">
        <v>1</v>
      </c>
      <c r="E354" s="15">
        <v>12</v>
      </c>
      <c r="F354" s="15">
        <v>25</v>
      </c>
      <c r="G354" s="18">
        <f>F354-E354</f>
        <v>13</v>
      </c>
      <c r="H354" s="10" t="s">
        <v>274</v>
      </c>
      <c r="I354" s="14" t="s">
        <v>111</v>
      </c>
    </row>
    <row r="355" spans="1:9" x14ac:dyDescent="0.2">
      <c r="A355" s="41">
        <v>9</v>
      </c>
      <c r="B355" s="36" t="s">
        <v>10</v>
      </c>
      <c r="C355" s="20" t="s">
        <v>191</v>
      </c>
      <c r="D355" s="4">
        <v>1</v>
      </c>
      <c r="E355" s="15">
        <v>3</v>
      </c>
      <c r="F355" s="15">
        <v>6.64</v>
      </c>
      <c r="G355" s="18">
        <f>F355-E355</f>
        <v>3.6399999999999997</v>
      </c>
      <c r="H355" s="10" t="s">
        <v>274</v>
      </c>
      <c r="I355" s="32" t="s">
        <v>241</v>
      </c>
    </row>
    <row r="356" spans="1:9" x14ac:dyDescent="0.2">
      <c r="A356" s="41">
        <v>9</v>
      </c>
      <c r="B356" s="36" t="s">
        <v>10</v>
      </c>
      <c r="C356" s="20" t="s">
        <v>191</v>
      </c>
      <c r="D356" s="4">
        <v>1</v>
      </c>
      <c r="E356" s="15">
        <v>3</v>
      </c>
      <c r="F356" s="15">
        <v>5.99</v>
      </c>
      <c r="G356" s="18">
        <f>F356-E356</f>
        <v>2.99</v>
      </c>
      <c r="H356" s="10" t="s">
        <v>274</v>
      </c>
      <c r="I356" s="32" t="s">
        <v>241</v>
      </c>
    </row>
    <row r="357" spans="1:9" x14ac:dyDescent="0.2">
      <c r="A357" s="41">
        <v>9</v>
      </c>
      <c r="B357" s="36" t="s">
        <v>10</v>
      </c>
      <c r="C357" s="20" t="s">
        <v>202</v>
      </c>
      <c r="D357" s="4">
        <v>1</v>
      </c>
      <c r="E357" s="15">
        <v>4</v>
      </c>
      <c r="F357" s="15">
        <v>10</v>
      </c>
      <c r="G357" s="18">
        <f>F357-E357</f>
        <v>6</v>
      </c>
      <c r="H357" s="10" t="s">
        <v>274</v>
      </c>
      <c r="I357" s="14" t="s">
        <v>198</v>
      </c>
    </row>
    <row r="358" spans="1:9" x14ac:dyDescent="0.2">
      <c r="A358" s="41">
        <v>9</v>
      </c>
      <c r="B358" s="36" t="s">
        <v>10</v>
      </c>
      <c r="C358" s="20" t="s">
        <v>202</v>
      </c>
      <c r="D358" s="4">
        <v>1</v>
      </c>
      <c r="E358" s="15">
        <v>4</v>
      </c>
      <c r="F358" s="15">
        <v>10</v>
      </c>
      <c r="G358" s="18">
        <f>F358-E358</f>
        <v>6</v>
      </c>
      <c r="H358" s="10" t="s">
        <v>274</v>
      </c>
      <c r="I358" s="14" t="s">
        <v>198</v>
      </c>
    </row>
    <row r="359" spans="1:9" x14ac:dyDescent="0.2">
      <c r="A359" s="41">
        <v>9</v>
      </c>
      <c r="B359" s="36" t="s">
        <v>10</v>
      </c>
      <c r="C359" s="3" t="s">
        <v>204</v>
      </c>
      <c r="D359" s="4">
        <v>1</v>
      </c>
      <c r="E359" s="15">
        <v>7</v>
      </c>
      <c r="F359" s="15">
        <v>9.1999999999999993</v>
      </c>
      <c r="G359" s="18">
        <f>F359-E359</f>
        <v>2.1999999999999993</v>
      </c>
      <c r="H359" s="10" t="s">
        <v>274</v>
      </c>
      <c r="I359" s="32" t="s">
        <v>241</v>
      </c>
    </row>
    <row r="360" spans="1:9" x14ac:dyDescent="0.2">
      <c r="A360" s="41">
        <v>9</v>
      </c>
      <c r="B360" s="36" t="s">
        <v>10</v>
      </c>
      <c r="C360" s="3" t="s">
        <v>204</v>
      </c>
      <c r="D360" s="4">
        <v>1</v>
      </c>
      <c r="E360" s="15">
        <v>7</v>
      </c>
      <c r="F360" s="15">
        <v>9.1999999999999993</v>
      </c>
      <c r="G360" s="18">
        <f>F360-E360</f>
        <v>2.1999999999999993</v>
      </c>
      <c r="H360" s="10" t="s">
        <v>274</v>
      </c>
      <c r="I360" s="32" t="s">
        <v>241</v>
      </c>
    </row>
    <row r="361" spans="1:9" x14ac:dyDescent="0.2">
      <c r="A361" s="41">
        <v>9</v>
      </c>
      <c r="B361" s="36" t="s">
        <v>10</v>
      </c>
      <c r="C361" s="20" t="s">
        <v>183</v>
      </c>
      <c r="D361" s="4">
        <v>1</v>
      </c>
      <c r="E361" s="15">
        <v>7</v>
      </c>
      <c r="F361" s="15">
        <v>20</v>
      </c>
      <c r="G361" s="18">
        <f>F361-E361</f>
        <v>13</v>
      </c>
      <c r="H361" s="10" t="s">
        <v>274</v>
      </c>
      <c r="I361" s="14" t="s">
        <v>198</v>
      </c>
    </row>
    <row r="362" spans="1:9" x14ac:dyDescent="0.2">
      <c r="A362" s="41">
        <v>9</v>
      </c>
      <c r="B362" s="36" t="s">
        <v>10</v>
      </c>
      <c r="C362" s="20" t="s">
        <v>163</v>
      </c>
      <c r="D362" s="4">
        <v>1</v>
      </c>
      <c r="E362" s="15">
        <v>16</v>
      </c>
      <c r="F362" s="15">
        <v>31.4</v>
      </c>
      <c r="G362" s="18">
        <f>F362-E362</f>
        <v>15.399999999999999</v>
      </c>
      <c r="H362" s="10" t="s">
        <v>274</v>
      </c>
      <c r="I362" s="32" t="s">
        <v>241</v>
      </c>
    </row>
    <row r="363" spans="1:9" x14ac:dyDescent="0.2">
      <c r="A363" s="41">
        <v>9</v>
      </c>
      <c r="B363" s="36" t="s">
        <v>10</v>
      </c>
      <c r="C363" s="20" t="s">
        <v>258</v>
      </c>
      <c r="D363" s="4">
        <v>1</v>
      </c>
      <c r="E363" s="15">
        <v>5</v>
      </c>
      <c r="F363" s="15">
        <v>10</v>
      </c>
      <c r="G363" s="18">
        <f>F363-E363</f>
        <v>5</v>
      </c>
      <c r="H363" s="10" t="s">
        <v>274</v>
      </c>
      <c r="I363" s="14" t="s">
        <v>111</v>
      </c>
    </row>
    <row r="364" spans="1:9" x14ac:dyDescent="0.2">
      <c r="A364" s="41">
        <v>9</v>
      </c>
      <c r="B364" s="36" t="s">
        <v>10</v>
      </c>
      <c r="C364" s="20" t="s">
        <v>259</v>
      </c>
      <c r="D364" s="4">
        <v>1</v>
      </c>
      <c r="E364" s="15">
        <v>3</v>
      </c>
      <c r="F364" s="15">
        <v>28</v>
      </c>
      <c r="G364" s="18">
        <f>F364-E364</f>
        <v>25</v>
      </c>
      <c r="H364" s="10" t="s">
        <v>274</v>
      </c>
      <c r="I364" s="32" t="s">
        <v>241</v>
      </c>
    </row>
    <row r="365" spans="1:9" x14ac:dyDescent="0.2">
      <c r="A365" s="41">
        <v>9</v>
      </c>
      <c r="B365" s="36" t="s">
        <v>10</v>
      </c>
      <c r="C365" s="20" t="s">
        <v>260</v>
      </c>
      <c r="D365" s="4">
        <v>1</v>
      </c>
      <c r="E365" s="15">
        <v>33</v>
      </c>
      <c r="F365" s="15">
        <v>58</v>
      </c>
      <c r="G365" s="18">
        <f>F365-E365</f>
        <v>25</v>
      </c>
      <c r="H365" s="10" t="s">
        <v>274</v>
      </c>
      <c r="I365" s="32" t="s">
        <v>241</v>
      </c>
    </row>
    <row r="366" spans="1:9" x14ac:dyDescent="0.2">
      <c r="A366" s="41">
        <v>9</v>
      </c>
      <c r="B366" s="36" t="s">
        <v>10</v>
      </c>
      <c r="C366" s="20" t="s">
        <v>260</v>
      </c>
      <c r="D366" s="4">
        <v>1</v>
      </c>
      <c r="E366" s="15">
        <v>33</v>
      </c>
      <c r="F366" s="15">
        <v>62</v>
      </c>
      <c r="G366" s="18">
        <f>F366-E366</f>
        <v>29</v>
      </c>
      <c r="H366" s="10" t="s">
        <v>274</v>
      </c>
      <c r="I366" s="32" t="s">
        <v>241</v>
      </c>
    </row>
    <row r="367" spans="1:9" x14ac:dyDescent="0.2">
      <c r="A367" s="41">
        <v>9</v>
      </c>
      <c r="B367" s="36" t="s">
        <v>10</v>
      </c>
      <c r="C367" s="20" t="s">
        <v>175</v>
      </c>
      <c r="D367" s="4">
        <v>1</v>
      </c>
      <c r="E367" s="15">
        <v>30</v>
      </c>
      <c r="F367" s="15">
        <v>57</v>
      </c>
      <c r="G367" s="18">
        <f>F367-E367</f>
        <v>27</v>
      </c>
      <c r="H367" s="10" t="s">
        <v>274</v>
      </c>
      <c r="I367" s="14" t="s">
        <v>111</v>
      </c>
    </row>
    <row r="368" spans="1:9" x14ac:dyDescent="0.2">
      <c r="A368" s="41">
        <v>9</v>
      </c>
      <c r="B368" s="36" t="s">
        <v>10</v>
      </c>
      <c r="C368" s="20" t="s">
        <v>119</v>
      </c>
      <c r="D368" s="4">
        <v>1</v>
      </c>
      <c r="E368" s="15">
        <v>3</v>
      </c>
      <c r="F368" s="15">
        <v>8.8000000000000007</v>
      </c>
      <c r="G368" s="18">
        <f>F368-E368</f>
        <v>5.8000000000000007</v>
      </c>
      <c r="H368" s="10" t="s">
        <v>274</v>
      </c>
      <c r="I368" s="14" t="s">
        <v>198</v>
      </c>
    </row>
    <row r="369" spans="1:9" x14ac:dyDescent="0.2">
      <c r="A369" s="41">
        <v>9</v>
      </c>
      <c r="B369" s="36" t="s">
        <v>10</v>
      </c>
      <c r="C369" s="20" t="s">
        <v>164</v>
      </c>
      <c r="D369" s="4">
        <v>1</v>
      </c>
      <c r="E369" s="15">
        <v>3</v>
      </c>
      <c r="F369" s="15">
        <v>5.2</v>
      </c>
      <c r="G369" s="18">
        <f>F369-E369</f>
        <v>2.2000000000000002</v>
      </c>
      <c r="H369" s="10" t="s">
        <v>274</v>
      </c>
      <c r="I369" s="32" t="s">
        <v>241</v>
      </c>
    </row>
    <row r="370" spans="1:9" x14ac:dyDescent="0.2">
      <c r="A370" s="41">
        <v>9</v>
      </c>
      <c r="B370" s="36" t="s">
        <v>10</v>
      </c>
      <c r="C370" s="20" t="s">
        <v>32</v>
      </c>
      <c r="D370" s="4">
        <v>1</v>
      </c>
      <c r="E370" s="15">
        <v>30</v>
      </c>
      <c r="F370" s="15">
        <v>38</v>
      </c>
      <c r="G370" s="18">
        <f>F370-E370</f>
        <v>8</v>
      </c>
      <c r="H370" s="10" t="s">
        <v>274</v>
      </c>
      <c r="I370" s="32" t="s">
        <v>241</v>
      </c>
    </row>
    <row r="371" spans="1:9" x14ac:dyDescent="0.2">
      <c r="A371" s="41">
        <v>9</v>
      </c>
      <c r="B371" s="36" t="s">
        <v>10</v>
      </c>
      <c r="C371" s="20" t="s">
        <v>177</v>
      </c>
      <c r="D371" s="4">
        <v>1</v>
      </c>
      <c r="E371" s="15">
        <v>4</v>
      </c>
      <c r="F371" s="15">
        <v>10</v>
      </c>
      <c r="G371" s="18">
        <f>F371-E371</f>
        <v>6</v>
      </c>
      <c r="H371" s="10" t="s">
        <v>274</v>
      </c>
      <c r="I371" s="32" t="s">
        <v>241</v>
      </c>
    </row>
    <row r="372" spans="1:9" x14ac:dyDescent="0.2">
      <c r="A372" s="41">
        <v>9</v>
      </c>
      <c r="B372" s="36" t="s">
        <v>10</v>
      </c>
      <c r="C372" s="20" t="s">
        <v>177</v>
      </c>
      <c r="D372" s="4">
        <v>1</v>
      </c>
      <c r="E372" s="15">
        <v>4</v>
      </c>
      <c r="F372" s="15">
        <v>8.4</v>
      </c>
      <c r="G372" s="18">
        <f>F372-E372</f>
        <v>4.4000000000000004</v>
      </c>
      <c r="H372" s="10" t="s">
        <v>274</v>
      </c>
      <c r="I372" s="14" t="s">
        <v>198</v>
      </c>
    </row>
    <row r="373" spans="1:9" x14ac:dyDescent="0.2">
      <c r="A373" s="41">
        <v>9</v>
      </c>
      <c r="B373" s="36" t="s">
        <v>10</v>
      </c>
      <c r="C373" s="20" t="s">
        <v>262</v>
      </c>
      <c r="D373" s="4">
        <v>1</v>
      </c>
      <c r="E373" s="15">
        <v>10</v>
      </c>
      <c r="F373" s="15">
        <v>25</v>
      </c>
      <c r="G373" s="18">
        <f>F373-E373</f>
        <v>15</v>
      </c>
      <c r="H373" s="10" t="s">
        <v>274</v>
      </c>
      <c r="I373" s="14" t="s">
        <v>111</v>
      </c>
    </row>
    <row r="374" spans="1:9" x14ac:dyDescent="0.2">
      <c r="A374" s="41">
        <v>9</v>
      </c>
      <c r="B374" s="36" t="s">
        <v>10</v>
      </c>
      <c r="C374" s="20" t="s">
        <v>174</v>
      </c>
      <c r="D374" s="4">
        <v>1</v>
      </c>
      <c r="E374" s="15">
        <v>5.5</v>
      </c>
      <c r="F374" s="15">
        <v>20.54</v>
      </c>
      <c r="G374" s="18">
        <f>F374-E374</f>
        <v>15.04</v>
      </c>
      <c r="H374" s="10" t="s">
        <v>274</v>
      </c>
      <c r="I374" s="32" t="s">
        <v>241</v>
      </c>
    </row>
    <row r="375" spans="1:9" x14ac:dyDescent="0.2">
      <c r="A375" s="41">
        <v>9</v>
      </c>
      <c r="B375" s="36" t="s">
        <v>10</v>
      </c>
      <c r="C375" s="20" t="s">
        <v>181</v>
      </c>
      <c r="D375" s="4">
        <v>1</v>
      </c>
      <c r="E375" s="15">
        <v>7</v>
      </c>
      <c r="F375" s="15">
        <v>15</v>
      </c>
      <c r="G375" s="18">
        <f>F375-E375</f>
        <v>8</v>
      </c>
      <c r="H375" s="10" t="s">
        <v>274</v>
      </c>
      <c r="I375" s="14" t="s">
        <v>111</v>
      </c>
    </row>
    <row r="376" spans="1:9" x14ac:dyDescent="0.2">
      <c r="A376" s="41">
        <v>9</v>
      </c>
      <c r="B376" s="36" t="s">
        <v>10</v>
      </c>
      <c r="C376" s="20" t="s">
        <v>179</v>
      </c>
      <c r="D376" s="4">
        <v>1</v>
      </c>
      <c r="E376" s="15">
        <v>7.5</v>
      </c>
      <c r="F376" s="15">
        <v>17.2</v>
      </c>
      <c r="G376" s="18">
        <f>F376-E376</f>
        <v>9.6999999999999993</v>
      </c>
      <c r="H376" s="10" t="s">
        <v>274</v>
      </c>
      <c r="I376" s="14" t="s">
        <v>198</v>
      </c>
    </row>
    <row r="377" spans="1:9" x14ac:dyDescent="0.2">
      <c r="A377" s="41">
        <v>9</v>
      </c>
      <c r="B377" s="36" t="s">
        <v>10</v>
      </c>
      <c r="C377" s="20" t="s">
        <v>172</v>
      </c>
      <c r="D377" s="4">
        <v>1</v>
      </c>
      <c r="E377" s="15">
        <v>7</v>
      </c>
      <c r="F377" s="15">
        <v>16</v>
      </c>
      <c r="G377" s="18">
        <f>F377-E377</f>
        <v>9</v>
      </c>
      <c r="H377" s="10" t="s">
        <v>274</v>
      </c>
      <c r="I377" s="32" t="s">
        <v>241</v>
      </c>
    </row>
    <row r="378" spans="1:9" x14ac:dyDescent="0.2">
      <c r="A378" s="41">
        <v>9</v>
      </c>
      <c r="B378" s="36" t="s">
        <v>10</v>
      </c>
      <c r="C378" s="20" t="s">
        <v>172</v>
      </c>
      <c r="D378" s="4">
        <v>1</v>
      </c>
      <c r="E378" s="15">
        <v>7</v>
      </c>
      <c r="F378" s="15">
        <v>14.99</v>
      </c>
      <c r="G378" s="18">
        <f>F378-E378</f>
        <v>7.99</v>
      </c>
      <c r="H378" s="10" t="s">
        <v>274</v>
      </c>
      <c r="I378" s="32" t="s">
        <v>241</v>
      </c>
    </row>
    <row r="379" spans="1:9" x14ac:dyDescent="0.2">
      <c r="A379" s="41">
        <v>9</v>
      </c>
      <c r="B379" s="36" t="s">
        <v>10</v>
      </c>
      <c r="C379" s="20" t="s">
        <v>172</v>
      </c>
      <c r="D379" s="4">
        <v>1</v>
      </c>
      <c r="E379" s="15">
        <v>7</v>
      </c>
      <c r="F379" s="15">
        <v>14.99</v>
      </c>
      <c r="G379" s="18">
        <f>F379-E379</f>
        <v>7.99</v>
      </c>
      <c r="H379" s="10" t="s">
        <v>274</v>
      </c>
      <c r="I379" s="14" t="s">
        <v>198</v>
      </c>
    </row>
    <row r="380" spans="1:9" x14ac:dyDescent="0.2">
      <c r="A380" s="41">
        <v>9</v>
      </c>
      <c r="B380" s="36" t="s">
        <v>10</v>
      </c>
      <c r="C380" s="20" t="s">
        <v>261</v>
      </c>
      <c r="D380" s="4">
        <v>1</v>
      </c>
      <c r="E380" s="15">
        <v>15</v>
      </c>
      <c r="F380" s="15">
        <v>35</v>
      </c>
      <c r="G380" s="18">
        <f>F380-E380</f>
        <v>20</v>
      </c>
      <c r="H380" s="10" t="s">
        <v>274</v>
      </c>
      <c r="I380" s="14" t="s">
        <v>198</v>
      </c>
    </row>
    <row r="381" spans="1:9" x14ac:dyDescent="0.2">
      <c r="A381" s="41">
        <v>9</v>
      </c>
      <c r="B381" s="36" t="s">
        <v>10</v>
      </c>
      <c r="C381" s="20" t="s">
        <v>261</v>
      </c>
      <c r="D381" s="4">
        <v>1</v>
      </c>
      <c r="E381" s="15">
        <v>15</v>
      </c>
      <c r="F381" s="15">
        <v>35</v>
      </c>
      <c r="G381" s="18">
        <f>F381-E381</f>
        <v>20</v>
      </c>
      <c r="H381" s="10" t="s">
        <v>274</v>
      </c>
      <c r="I381" s="14" t="s">
        <v>198</v>
      </c>
    </row>
    <row r="382" spans="1:9" x14ac:dyDescent="0.2">
      <c r="A382" s="41">
        <v>9</v>
      </c>
      <c r="B382" s="36" t="s">
        <v>10</v>
      </c>
      <c r="C382" s="20" t="s">
        <v>261</v>
      </c>
      <c r="D382" s="4">
        <v>1</v>
      </c>
      <c r="E382" s="15">
        <v>15</v>
      </c>
      <c r="F382" s="15">
        <v>30</v>
      </c>
      <c r="G382" s="18">
        <f>F382-E382</f>
        <v>15</v>
      </c>
      <c r="H382" s="10" t="s">
        <v>274</v>
      </c>
      <c r="I382" s="14" t="s">
        <v>198</v>
      </c>
    </row>
    <row r="383" spans="1:9" x14ac:dyDescent="0.2">
      <c r="A383" s="41">
        <v>9</v>
      </c>
      <c r="B383" s="36" t="s">
        <v>10</v>
      </c>
      <c r="C383" s="20" t="s">
        <v>170</v>
      </c>
      <c r="D383" s="4">
        <v>1</v>
      </c>
      <c r="E383" s="15">
        <v>7</v>
      </c>
      <c r="F383" s="15">
        <v>17.2</v>
      </c>
      <c r="G383" s="18">
        <f>F383-E383</f>
        <v>10.199999999999999</v>
      </c>
      <c r="H383" s="10" t="s">
        <v>274</v>
      </c>
      <c r="I383" s="32" t="s">
        <v>241</v>
      </c>
    </row>
    <row r="384" spans="1:9" x14ac:dyDescent="0.2">
      <c r="A384" s="41">
        <v>9</v>
      </c>
      <c r="B384" s="36" t="s">
        <v>10</v>
      </c>
      <c r="C384" s="20" t="s">
        <v>184</v>
      </c>
      <c r="D384" s="4">
        <v>1</v>
      </c>
      <c r="E384" s="15">
        <v>63.12</v>
      </c>
      <c r="F384" s="15">
        <v>250</v>
      </c>
      <c r="G384" s="18">
        <f>F384-E384</f>
        <v>186.88</v>
      </c>
      <c r="H384" s="10" t="s">
        <v>274</v>
      </c>
      <c r="I384" s="14" t="s">
        <v>198</v>
      </c>
    </row>
    <row r="385" spans="1:9" x14ac:dyDescent="0.2">
      <c r="A385" s="41">
        <v>9</v>
      </c>
      <c r="B385" s="36" t="s">
        <v>10</v>
      </c>
      <c r="C385" s="20" t="s">
        <v>171</v>
      </c>
      <c r="D385" s="4">
        <v>1</v>
      </c>
      <c r="E385" s="15">
        <v>7</v>
      </c>
      <c r="F385" s="15">
        <v>10.8</v>
      </c>
      <c r="G385" s="18">
        <f>F385-E385</f>
        <v>3.8000000000000007</v>
      </c>
      <c r="H385" s="10" t="s">
        <v>274</v>
      </c>
      <c r="I385" s="32" t="s">
        <v>241</v>
      </c>
    </row>
    <row r="386" spans="1:9" x14ac:dyDescent="0.2">
      <c r="A386" s="41">
        <v>9</v>
      </c>
      <c r="B386" s="36" t="s">
        <v>10</v>
      </c>
      <c r="C386" s="20" t="s">
        <v>167</v>
      </c>
      <c r="D386" s="4">
        <v>1</v>
      </c>
      <c r="E386" s="15">
        <v>32</v>
      </c>
      <c r="F386" s="15">
        <v>70</v>
      </c>
      <c r="G386" s="18">
        <f>F386-E386</f>
        <v>38</v>
      </c>
      <c r="H386" s="10" t="s">
        <v>274</v>
      </c>
      <c r="I386" s="14" t="s">
        <v>111</v>
      </c>
    </row>
    <row r="387" spans="1:9" x14ac:dyDescent="0.2">
      <c r="A387" s="41">
        <v>9</v>
      </c>
      <c r="B387" s="36" t="s">
        <v>10</v>
      </c>
      <c r="C387" s="20" t="s">
        <v>178</v>
      </c>
      <c r="D387" s="4">
        <v>1</v>
      </c>
      <c r="E387" s="15">
        <v>100</v>
      </c>
      <c r="F387" s="15">
        <v>165</v>
      </c>
      <c r="G387" s="18">
        <f>F387-E387</f>
        <v>65</v>
      </c>
      <c r="H387" s="10" t="s">
        <v>274</v>
      </c>
      <c r="I387" s="14" t="s">
        <v>111</v>
      </c>
    </row>
    <row r="388" spans="1:9" x14ac:dyDescent="0.2">
      <c r="A388" s="41">
        <v>9</v>
      </c>
      <c r="B388" s="36" t="s">
        <v>10</v>
      </c>
      <c r="C388" s="20" t="s">
        <v>165</v>
      </c>
      <c r="D388" s="4">
        <v>1</v>
      </c>
      <c r="E388" s="15">
        <v>65</v>
      </c>
      <c r="F388" s="15">
        <v>106.8</v>
      </c>
      <c r="G388" s="18">
        <f>F388-E388</f>
        <v>41.8</v>
      </c>
      <c r="H388" s="10" t="s">
        <v>274</v>
      </c>
      <c r="I388" s="32" t="s">
        <v>241</v>
      </c>
    </row>
    <row r="389" spans="1:9" x14ac:dyDescent="0.2">
      <c r="A389" s="41">
        <v>9</v>
      </c>
      <c r="B389" s="36" t="s">
        <v>10</v>
      </c>
      <c r="C389" s="20" t="s">
        <v>173</v>
      </c>
      <c r="D389" s="4">
        <v>1</v>
      </c>
      <c r="E389" s="15"/>
      <c r="F389" s="15">
        <v>9.39</v>
      </c>
      <c r="G389" s="18">
        <f>F389-E389</f>
        <v>9.39</v>
      </c>
      <c r="H389" s="10" t="s">
        <v>274</v>
      </c>
      <c r="I389" s="32" t="s">
        <v>241</v>
      </c>
    </row>
    <row r="390" spans="1:9" x14ac:dyDescent="0.2">
      <c r="A390" s="41">
        <v>10</v>
      </c>
      <c r="B390" s="36" t="s">
        <v>11</v>
      </c>
      <c r="C390" s="20" t="s">
        <v>188</v>
      </c>
      <c r="D390" s="4">
        <v>1</v>
      </c>
      <c r="E390" s="15">
        <v>75</v>
      </c>
      <c r="F390" s="15">
        <v>138</v>
      </c>
      <c r="G390" s="18">
        <f>F390-E390</f>
        <v>63</v>
      </c>
      <c r="H390" s="10" t="s">
        <v>274</v>
      </c>
      <c r="I390" s="14" t="s">
        <v>111</v>
      </c>
    </row>
    <row r="391" spans="1:9" x14ac:dyDescent="0.2">
      <c r="A391" s="41">
        <v>10</v>
      </c>
      <c r="B391" s="36" t="s">
        <v>11</v>
      </c>
      <c r="C391" s="20" t="s">
        <v>217</v>
      </c>
      <c r="D391" s="4">
        <v>1</v>
      </c>
      <c r="E391" s="15">
        <v>80</v>
      </c>
      <c r="F391" s="15">
        <v>130</v>
      </c>
      <c r="G391" s="18">
        <f>F391-E391</f>
        <v>50</v>
      </c>
      <c r="H391" s="10" t="s">
        <v>274</v>
      </c>
      <c r="I391" s="14" t="s">
        <v>111</v>
      </c>
    </row>
    <row r="392" spans="1:9" x14ac:dyDescent="0.2">
      <c r="A392" s="41">
        <v>10</v>
      </c>
      <c r="B392" s="36" t="s">
        <v>11</v>
      </c>
      <c r="C392" s="20" t="s">
        <v>219</v>
      </c>
      <c r="D392" s="4">
        <v>1</v>
      </c>
      <c r="E392" s="15">
        <v>19</v>
      </c>
      <c r="F392" s="15">
        <v>40</v>
      </c>
      <c r="G392" s="18">
        <f>F392-E392</f>
        <v>21</v>
      </c>
      <c r="H392" s="10" t="s">
        <v>274</v>
      </c>
      <c r="I392" s="14" t="s">
        <v>111</v>
      </c>
    </row>
    <row r="393" spans="1:9" x14ac:dyDescent="0.2">
      <c r="A393" s="41">
        <v>10</v>
      </c>
      <c r="B393" s="36" t="s">
        <v>11</v>
      </c>
      <c r="C393" s="3" t="s">
        <v>207</v>
      </c>
      <c r="D393" s="4">
        <v>4</v>
      </c>
      <c r="E393" s="15">
        <f>4*25</f>
        <v>100</v>
      </c>
      <c r="F393" s="15">
        <v>180</v>
      </c>
      <c r="G393" s="18">
        <f>F393-E393</f>
        <v>80</v>
      </c>
      <c r="H393" s="10" t="s">
        <v>274</v>
      </c>
      <c r="I393" s="14" t="s">
        <v>198</v>
      </c>
    </row>
    <row r="394" spans="1:9" x14ac:dyDescent="0.2">
      <c r="A394" s="41">
        <v>10</v>
      </c>
      <c r="B394" s="36" t="s">
        <v>11</v>
      </c>
      <c r="C394" s="20" t="s">
        <v>254</v>
      </c>
      <c r="D394" s="4">
        <v>1</v>
      </c>
      <c r="E394" s="15">
        <v>12</v>
      </c>
      <c r="F394" s="15">
        <v>20</v>
      </c>
      <c r="G394" s="18">
        <f>F394-E394</f>
        <v>8</v>
      </c>
      <c r="H394" s="10" t="s">
        <v>274</v>
      </c>
      <c r="I394" s="14" t="s">
        <v>111</v>
      </c>
    </row>
    <row r="395" spans="1:9" x14ac:dyDescent="0.2">
      <c r="A395" s="41">
        <v>10</v>
      </c>
      <c r="B395" s="36" t="s">
        <v>11</v>
      </c>
      <c r="C395" s="20" t="s">
        <v>213</v>
      </c>
      <c r="D395" s="4">
        <v>1</v>
      </c>
      <c r="E395" s="15">
        <v>140</v>
      </c>
      <c r="F395" s="15">
        <v>190</v>
      </c>
      <c r="G395" s="18">
        <f>F395-E395</f>
        <v>50</v>
      </c>
      <c r="H395" s="10" t="s">
        <v>274</v>
      </c>
      <c r="I395" s="14" t="s">
        <v>111</v>
      </c>
    </row>
    <row r="396" spans="1:9" x14ac:dyDescent="0.2">
      <c r="A396" s="41">
        <v>10</v>
      </c>
      <c r="B396" s="36" t="s">
        <v>11</v>
      </c>
      <c r="C396" s="20" t="s">
        <v>215</v>
      </c>
      <c r="D396" s="4">
        <v>1</v>
      </c>
      <c r="E396" s="15">
        <v>65</v>
      </c>
      <c r="F396" s="15">
        <v>93</v>
      </c>
      <c r="G396" s="18">
        <f>F396-E396</f>
        <v>28</v>
      </c>
      <c r="H396" s="10" t="s">
        <v>274</v>
      </c>
      <c r="I396" s="14" t="s">
        <v>198</v>
      </c>
    </row>
    <row r="397" spans="1:9" x14ac:dyDescent="0.2">
      <c r="A397" s="41">
        <v>10</v>
      </c>
      <c r="B397" s="36" t="s">
        <v>11</v>
      </c>
      <c r="C397" s="20" t="s">
        <v>215</v>
      </c>
      <c r="D397" s="4">
        <v>1</v>
      </c>
      <c r="E397" s="15">
        <v>65</v>
      </c>
      <c r="F397" s="15">
        <v>93</v>
      </c>
      <c r="G397" s="18">
        <f>F397-E397</f>
        <v>28</v>
      </c>
      <c r="H397" s="10" t="s">
        <v>274</v>
      </c>
      <c r="I397" s="14" t="s">
        <v>198</v>
      </c>
    </row>
    <row r="398" spans="1:9" x14ac:dyDescent="0.2">
      <c r="A398" s="41">
        <v>10</v>
      </c>
      <c r="B398" s="36" t="s">
        <v>11</v>
      </c>
      <c r="C398" s="20" t="s">
        <v>215</v>
      </c>
      <c r="D398" s="4">
        <v>1</v>
      </c>
      <c r="E398" s="15">
        <v>65</v>
      </c>
      <c r="F398" s="15">
        <v>93</v>
      </c>
      <c r="G398" s="18">
        <f>F398-E398</f>
        <v>28</v>
      </c>
      <c r="H398" s="10" t="s">
        <v>274</v>
      </c>
      <c r="I398" s="14" t="s">
        <v>198</v>
      </c>
    </row>
    <row r="399" spans="1:9" x14ac:dyDescent="0.2">
      <c r="A399" s="41">
        <v>10</v>
      </c>
      <c r="B399" s="36" t="s">
        <v>11</v>
      </c>
      <c r="C399" s="20" t="s">
        <v>215</v>
      </c>
      <c r="D399" s="4">
        <v>1</v>
      </c>
      <c r="E399" s="15">
        <v>65</v>
      </c>
      <c r="F399" s="15">
        <v>78.599999999999994</v>
      </c>
      <c r="G399" s="18">
        <f>F399-E399</f>
        <v>13.599999999999994</v>
      </c>
      <c r="H399" s="10" t="s">
        <v>274</v>
      </c>
      <c r="I399" s="14" t="s">
        <v>198</v>
      </c>
    </row>
    <row r="400" spans="1:9" x14ac:dyDescent="0.2">
      <c r="A400" s="41">
        <v>10</v>
      </c>
      <c r="B400" s="36" t="s">
        <v>11</v>
      </c>
      <c r="C400" s="20" t="s">
        <v>215</v>
      </c>
      <c r="D400" s="4">
        <v>1</v>
      </c>
      <c r="E400" s="15">
        <v>65</v>
      </c>
      <c r="F400" s="15">
        <v>93</v>
      </c>
      <c r="G400" s="18">
        <f>F400-E400</f>
        <v>28</v>
      </c>
      <c r="H400" s="10" t="s">
        <v>274</v>
      </c>
      <c r="I400" s="14" t="s">
        <v>198</v>
      </c>
    </row>
    <row r="401" spans="1:9" x14ac:dyDescent="0.2">
      <c r="A401" s="41">
        <v>10</v>
      </c>
      <c r="B401" s="36" t="s">
        <v>11</v>
      </c>
      <c r="C401" s="20" t="s">
        <v>215</v>
      </c>
      <c r="D401" s="4">
        <v>3</v>
      </c>
      <c r="E401" s="15">
        <f>D401*65</f>
        <v>195</v>
      </c>
      <c r="F401" s="15">
        <f>D401*78.61</f>
        <v>235.82999999999998</v>
      </c>
      <c r="G401" s="18">
        <f>F401-E401</f>
        <v>40.829999999999984</v>
      </c>
      <c r="H401" s="10" t="s">
        <v>274</v>
      </c>
      <c r="I401" s="14" t="s">
        <v>198</v>
      </c>
    </row>
    <row r="402" spans="1:9" x14ac:dyDescent="0.2">
      <c r="A402" s="41">
        <v>10</v>
      </c>
      <c r="B402" s="36" t="s">
        <v>11</v>
      </c>
      <c r="C402" s="20" t="s">
        <v>215</v>
      </c>
      <c r="D402" s="4">
        <v>1</v>
      </c>
      <c r="E402" s="15">
        <v>65</v>
      </c>
      <c r="F402" s="15">
        <v>98</v>
      </c>
      <c r="G402" s="18">
        <f>F402-E402</f>
        <v>33</v>
      </c>
      <c r="H402" s="10" t="s">
        <v>274</v>
      </c>
      <c r="I402" s="14" t="s">
        <v>198</v>
      </c>
    </row>
    <row r="403" spans="1:9" x14ac:dyDescent="0.2">
      <c r="A403" s="41">
        <v>10</v>
      </c>
      <c r="B403" s="36" t="s">
        <v>11</v>
      </c>
      <c r="C403" s="20" t="s">
        <v>215</v>
      </c>
      <c r="D403" s="4">
        <v>1</v>
      </c>
      <c r="E403" s="15">
        <v>45</v>
      </c>
      <c r="F403" s="15">
        <v>61</v>
      </c>
      <c r="G403" s="18">
        <f>F403-E403</f>
        <v>16</v>
      </c>
      <c r="H403" s="10" t="s">
        <v>274</v>
      </c>
      <c r="I403" s="14" t="s">
        <v>198</v>
      </c>
    </row>
    <row r="404" spans="1:9" x14ac:dyDescent="0.2">
      <c r="A404" s="41">
        <v>10</v>
      </c>
      <c r="B404" s="36" t="s">
        <v>11</v>
      </c>
      <c r="C404" s="20" t="s">
        <v>180</v>
      </c>
      <c r="D404" s="4">
        <v>2</v>
      </c>
      <c r="E404" s="15">
        <f>2*D404</f>
        <v>4</v>
      </c>
      <c r="F404" s="15">
        <v>6.8</v>
      </c>
      <c r="G404" s="18">
        <f>F404-E404</f>
        <v>2.8</v>
      </c>
      <c r="H404" s="10" t="s">
        <v>274</v>
      </c>
      <c r="I404" s="14" t="s">
        <v>198</v>
      </c>
    </row>
    <row r="405" spans="1:9" x14ac:dyDescent="0.2">
      <c r="A405" s="41">
        <v>10</v>
      </c>
      <c r="B405" s="36" t="s">
        <v>11</v>
      </c>
      <c r="C405" s="19" t="s">
        <v>17</v>
      </c>
      <c r="D405" s="4">
        <v>1</v>
      </c>
      <c r="E405" s="15">
        <v>3</v>
      </c>
      <c r="F405" s="15">
        <v>10</v>
      </c>
      <c r="G405" s="18">
        <f>F405-E405</f>
        <v>7</v>
      </c>
      <c r="H405" s="10" t="s">
        <v>274</v>
      </c>
      <c r="I405" s="14" t="s">
        <v>111</v>
      </c>
    </row>
    <row r="406" spans="1:9" x14ac:dyDescent="0.2">
      <c r="A406" s="41">
        <v>10</v>
      </c>
      <c r="B406" s="36" t="s">
        <v>11</v>
      </c>
      <c r="C406" s="20" t="s">
        <v>201</v>
      </c>
      <c r="D406" s="4">
        <v>1</v>
      </c>
      <c r="E406" s="15">
        <v>19</v>
      </c>
      <c r="F406" s="15">
        <v>50</v>
      </c>
      <c r="G406" s="18">
        <f>F406-E406</f>
        <v>31</v>
      </c>
      <c r="H406" s="10" t="s">
        <v>274</v>
      </c>
      <c r="I406" s="14" t="s">
        <v>111</v>
      </c>
    </row>
    <row r="407" spans="1:9" x14ac:dyDescent="0.2">
      <c r="A407" s="41">
        <v>10</v>
      </c>
      <c r="B407" s="36" t="s">
        <v>11</v>
      </c>
      <c r="C407" s="20" t="s">
        <v>187</v>
      </c>
      <c r="D407" s="4">
        <v>1</v>
      </c>
      <c r="E407" s="15">
        <v>5</v>
      </c>
      <c r="F407" s="15">
        <v>8.8000000000000007</v>
      </c>
      <c r="G407" s="18">
        <f>F407-E407</f>
        <v>3.8000000000000007</v>
      </c>
      <c r="H407" s="10" t="s">
        <v>274</v>
      </c>
      <c r="I407" s="14" t="s">
        <v>198</v>
      </c>
    </row>
    <row r="408" spans="1:9" x14ac:dyDescent="0.2">
      <c r="A408" s="41">
        <v>10</v>
      </c>
      <c r="B408" s="36" t="s">
        <v>11</v>
      </c>
      <c r="C408" s="20" t="s">
        <v>191</v>
      </c>
      <c r="D408" s="4">
        <v>1</v>
      </c>
      <c r="E408" s="15">
        <v>3.5</v>
      </c>
      <c r="F408" s="15">
        <v>11.84</v>
      </c>
      <c r="G408" s="18">
        <f>F408-E408</f>
        <v>8.34</v>
      </c>
      <c r="H408" s="10" t="s">
        <v>274</v>
      </c>
      <c r="I408" s="14" t="s">
        <v>198</v>
      </c>
    </row>
    <row r="409" spans="1:9" x14ac:dyDescent="0.2">
      <c r="A409" s="41">
        <v>10</v>
      </c>
      <c r="B409" s="36" t="s">
        <v>11</v>
      </c>
      <c r="C409" s="20" t="s">
        <v>202</v>
      </c>
      <c r="D409" s="4">
        <v>1</v>
      </c>
      <c r="E409" s="15">
        <v>7</v>
      </c>
      <c r="F409" s="15">
        <v>13</v>
      </c>
      <c r="G409" s="18">
        <f>F409-E409</f>
        <v>6</v>
      </c>
      <c r="H409" s="10" t="s">
        <v>274</v>
      </c>
      <c r="I409" s="14" t="s">
        <v>198</v>
      </c>
    </row>
    <row r="410" spans="1:9" x14ac:dyDescent="0.2">
      <c r="A410" s="41">
        <v>10</v>
      </c>
      <c r="B410" s="36" t="s">
        <v>11</v>
      </c>
      <c r="C410" s="20" t="s">
        <v>202</v>
      </c>
      <c r="D410" s="4">
        <v>3</v>
      </c>
      <c r="E410" s="15">
        <f>7*D410</f>
        <v>21</v>
      </c>
      <c r="F410" s="15">
        <v>27</v>
      </c>
      <c r="G410" s="18">
        <f>F410-E410</f>
        <v>6</v>
      </c>
      <c r="H410" s="10" t="s">
        <v>274</v>
      </c>
      <c r="I410" s="14" t="s">
        <v>198</v>
      </c>
    </row>
    <row r="411" spans="1:9" x14ac:dyDescent="0.2">
      <c r="A411" s="41">
        <v>10</v>
      </c>
      <c r="B411" s="36" t="s">
        <v>11</v>
      </c>
      <c r="C411" s="20" t="s">
        <v>202</v>
      </c>
      <c r="D411" s="4">
        <v>1</v>
      </c>
      <c r="E411" s="15">
        <v>7</v>
      </c>
      <c r="F411" s="15">
        <v>9</v>
      </c>
      <c r="G411" s="18">
        <f>F411-E411</f>
        <v>2</v>
      </c>
      <c r="H411" s="10" t="s">
        <v>274</v>
      </c>
      <c r="I411" s="14" t="s">
        <v>198</v>
      </c>
    </row>
    <row r="412" spans="1:9" x14ac:dyDescent="0.2">
      <c r="A412" s="41">
        <v>10</v>
      </c>
      <c r="B412" s="36" t="s">
        <v>11</v>
      </c>
      <c r="C412" s="3" t="s">
        <v>204</v>
      </c>
      <c r="D412" s="4">
        <v>1</v>
      </c>
      <c r="E412" s="15">
        <v>7.5</v>
      </c>
      <c r="F412" s="15">
        <v>9.8000000000000007</v>
      </c>
      <c r="G412" s="18">
        <f>F412-E412</f>
        <v>2.3000000000000007</v>
      </c>
      <c r="H412" s="10" t="s">
        <v>274</v>
      </c>
      <c r="I412" s="14" t="s">
        <v>198</v>
      </c>
    </row>
    <row r="413" spans="1:9" x14ac:dyDescent="0.2">
      <c r="A413" s="41">
        <v>10</v>
      </c>
      <c r="B413" s="36" t="s">
        <v>11</v>
      </c>
      <c r="C413" s="3" t="s">
        <v>204</v>
      </c>
      <c r="D413" s="4">
        <v>2</v>
      </c>
      <c r="E413" s="15">
        <f>7*D413</f>
        <v>14</v>
      </c>
      <c r="F413" s="15">
        <v>19.600000000000001</v>
      </c>
      <c r="G413" s="18">
        <f>F413-E413</f>
        <v>5.6000000000000014</v>
      </c>
      <c r="H413" s="10" t="s">
        <v>274</v>
      </c>
      <c r="I413" s="14" t="s">
        <v>198</v>
      </c>
    </row>
    <row r="414" spans="1:9" x14ac:dyDescent="0.2">
      <c r="A414" s="41">
        <v>10</v>
      </c>
      <c r="B414" s="36" t="s">
        <v>11</v>
      </c>
      <c r="C414" s="3" t="s">
        <v>204</v>
      </c>
      <c r="D414" s="4">
        <v>1</v>
      </c>
      <c r="E414" s="15">
        <v>7</v>
      </c>
      <c r="F414" s="15">
        <v>9.8000000000000007</v>
      </c>
      <c r="G414" s="18">
        <f>F414-E414</f>
        <v>2.8000000000000007</v>
      </c>
      <c r="H414" s="10" t="s">
        <v>274</v>
      </c>
      <c r="I414" s="14" t="s">
        <v>198</v>
      </c>
    </row>
    <row r="415" spans="1:9" x14ac:dyDescent="0.2">
      <c r="A415" s="41">
        <v>10</v>
      </c>
      <c r="B415" s="36" t="s">
        <v>11</v>
      </c>
      <c r="C415" s="3" t="s">
        <v>204</v>
      </c>
      <c r="D415" s="4">
        <v>1</v>
      </c>
      <c r="E415" s="15">
        <v>7</v>
      </c>
      <c r="F415" s="15">
        <v>9.8000000000000007</v>
      </c>
      <c r="G415" s="18">
        <f>F415-E415</f>
        <v>2.8000000000000007</v>
      </c>
      <c r="H415" s="10" t="s">
        <v>274</v>
      </c>
      <c r="I415" s="14" t="s">
        <v>198</v>
      </c>
    </row>
    <row r="416" spans="1:9" x14ac:dyDescent="0.2">
      <c r="A416" s="41">
        <v>10</v>
      </c>
      <c r="B416" s="36" t="s">
        <v>11</v>
      </c>
      <c r="C416" s="20" t="s">
        <v>195</v>
      </c>
      <c r="D416" s="4">
        <v>1</v>
      </c>
      <c r="E416" s="15">
        <v>52</v>
      </c>
      <c r="F416" s="15">
        <v>85</v>
      </c>
      <c r="G416" s="18">
        <f>F416-E416</f>
        <v>33</v>
      </c>
      <c r="H416" s="10" t="s">
        <v>274</v>
      </c>
      <c r="I416" s="14" t="s">
        <v>111</v>
      </c>
    </row>
    <row r="417" spans="1:10" x14ac:dyDescent="0.2">
      <c r="A417" s="41">
        <v>10</v>
      </c>
      <c r="B417" s="36" t="s">
        <v>11</v>
      </c>
      <c r="C417" s="20" t="s">
        <v>189</v>
      </c>
      <c r="D417" s="4">
        <v>1</v>
      </c>
      <c r="E417" s="15">
        <v>1</v>
      </c>
      <c r="F417" s="15">
        <v>2.5</v>
      </c>
      <c r="G417" s="18">
        <f>F417-E417</f>
        <v>1.5</v>
      </c>
      <c r="H417" s="10" t="s">
        <v>274</v>
      </c>
      <c r="I417" s="14" t="s">
        <v>111</v>
      </c>
    </row>
    <row r="418" spans="1:10" x14ac:dyDescent="0.2">
      <c r="A418" s="41">
        <v>10</v>
      </c>
      <c r="B418" s="36" t="s">
        <v>11</v>
      </c>
      <c r="C418" s="20" t="s">
        <v>189</v>
      </c>
      <c r="D418" s="4">
        <v>1</v>
      </c>
      <c r="E418" s="15">
        <v>1</v>
      </c>
      <c r="F418" s="15">
        <v>2.5</v>
      </c>
      <c r="G418" s="18">
        <f>F418-E418</f>
        <v>1.5</v>
      </c>
      <c r="H418" s="10" t="s">
        <v>274</v>
      </c>
      <c r="I418" s="14" t="s">
        <v>111</v>
      </c>
    </row>
    <row r="419" spans="1:10" x14ac:dyDescent="0.2">
      <c r="A419" s="41">
        <v>10</v>
      </c>
      <c r="B419" s="36" t="s">
        <v>11</v>
      </c>
      <c r="C419" s="20" t="s">
        <v>189</v>
      </c>
      <c r="D419" s="4">
        <v>1</v>
      </c>
      <c r="E419" s="15">
        <v>1</v>
      </c>
      <c r="F419" s="15">
        <v>2.5</v>
      </c>
      <c r="G419" s="18">
        <f>F419-E419</f>
        <v>1.5</v>
      </c>
      <c r="H419" s="10" t="s">
        <v>274</v>
      </c>
      <c r="I419" s="14" t="s">
        <v>111</v>
      </c>
    </row>
    <row r="420" spans="1:10" x14ac:dyDescent="0.2">
      <c r="A420" s="41">
        <v>10</v>
      </c>
      <c r="B420" s="36" t="s">
        <v>11</v>
      </c>
      <c r="C420" s="20" t="s">
        <v>189</v>
      </c>
      <c r="D420" s="4">
        <v>1</v>
      </c>
      <c r="E420" s="15">
        <v>1</v>
      </c>
      <c r="F420" s="15">
        <v>2.5</v>
      </c>
      <c r="G420" s="18">
        <f>F420-E420</f>
        <v>1.5</v>
      </c>
      <c r="H420" s="10" t="s">
        <v>274</v>
      </c>
      <c r="I420" s="14" t="s">
        <v>111</v>
      </c>
    </row>
    <row r="421" spans="1:10" x14ac:dyDescent="0.2">
      <c r="A421" s="41">
        <v>10</v>
      </c>
      <c r="B421" s="36" t="s">
        <v>11</v>
      </c>
      <c r="C421" s="20" t="s">
        <v>185</v>
      </c>
      <c r="D421" s="4">
        <v>1</v>
      </c>
      <c r="E421" s="15">
        <v>22</v>
      </c>
      <c r="F421" s="15">
        <v>49.2</v>
      </c>
      <c r="G421" s="18">
        <f>F421-E421</f>
        <v>27.200000000000003</v>
      </c>
      <c r="H421" s="10" t="s">
        <v>274</v>
      </c>
      <c r="I421" s="14" t="s">
        <v>199</v>
      </c>
    </row>
    <row r="422" spans="1:10" x14ac:dyDescent="0.2">
      <c r="A422" s="41">
        <v>10</v>
      </c>
      <c r="B422" s="36" t="s">
        <v>11</v>
      </c>
      <c r="C422" s="20" t="s">
        <v>197</v>
      </c>
      <c r="D422" s="4">
        <v>1</v>
      </c>
      <c r="E422" s="15">
        <v>8</v>
      </c>
      <c r="F422" s="15">
        <v>17</v>
      </c>
      <c r="G422" s="18">
        <f>F422-E422</f>
        <v>9</v>
      </c>
      <c r="H422" s="10" t="s">
        <v>274</v>
      </c>
      <c r="I422" s="14" t="s">
        <v>198</v>
      </c>
    </row>
    <row r="423" spans="1:10" x14ac:dyDescent="0.2">
      <c r="A423" s="41">
        <v>10</v>
      </c>
      <c r="B423" s="36" t="s">
        <v>11</v>
      </c>
      <c r="C423" s="20" t="s">
        <v>197</v>
      </c>
      <c r="D423" s="4">
        <v>1</v>
      </c>
      <c r="E423" s="15">
        <v>7</v>
      </c>
      <c r="F423" s="15">
        <v>15</v>
      </c>
      <c r="G423" s="18">
        <f>F423-E423</f>
        <v>8</v>
      </c>
      <c r="H423" s="10" t="s">
        <v>274</v>
      </c>
      <c r="I423" s="14" t="s">
        <v>198</v>
      </c>
    </row>
    <row r="424" spans="1:10" x14ac:dyDescent="0.2">
      <c r="A424" s="41">
        <v>10</v>
      </c>
      <c r="B424" s="36" t="s">
        <v>11</v>
      </c>
      <c r="C424" s="20" t="s">
        <v>197</v>
      </c>
      <c r="D424" s="4">
        <v>1</v>
      </c>
      <c r="E424" s="15">
        <v>7</v>
      </c>
      <c r="F424" s="15">
        <v>15</v>
      </c>
      <c r="G424" s="18">
        <f>F424-E424</f>
        <v>8</v>
      </c>
      <c r="H424" s="10" t="s">
        <v>274</v>
      </c>
      <c r="I424" s="14" t="s">
        <v>198</v>
      </c>
    </row>
    <row r="425" spans="1:10" x14ac:dyDescent="0.2">
      <c r="A425" s="41">
        <v>10</v>
      </c>
      <c r="B425" s="36" t="s">
        <v>11</v>
      </c>
      <c r="C425" s="13" t="s">
        <v>257</v>
      </c>
      <c r="D425" s="4">
        <v>1</v>
      </c>
      <c r="E425" s="15">
        <v>15</v>
      </c>
      <c r="F425" s="15">
        <v>75</v>
      </c>
      <c r="G425" s="18">
        <f>F425-E425</f>
        <v>60</v>
      </c>
      <c r="H425" s="10" t="s">
        <v>274</v>
      </c>
      <c r="I425" s="14" t="s">
        <v>111</v>
      </c>
    </row>
    <row r="426" spans="1:10" x14ac:dyDescent="0.2">
      <c r="A426" s="41">
        <v>10</v>
      </c>
      <c r="B426" s="36" t="s">
        <v>11</v>
      </c>
      <c r="C426" s="20" t="s">
        <v>212</v>
      </c>
      <c r="D426" s="4">
        <v>1</v>
      </c>
      <c r="E426" s="15">
        <v>40</v>
      </c>
      <c r="F426" s="15">
        <v>78.599999999999994</v>
      </c>
      <c r="G426" s="18">
        <f>F426-E426</f>
        <v>38.599999999999994</v>
      </c>
      <c r="H426" s="10" t="s">
        <v>274</v>
      </c>
      <c r="I426" s="14" t="s">
        <v>198</v>
      </c>
    </row>
    <row r="427" spans="1:10" x14ac:dyDescent="0.2">
      <c r="A427" s="41">
        <v>10</v>
      </c>
      <c r="B427" s="36" t="s">
        <v>11</v>
      </c>
      <c r="C427" s="12" t="s">
        <v>120</v>
      </c>
      <c r="D427" s="4">
        <v>1</v>
      </c>
      <c r="E427" s="15">
        <v>0</v>
      </c>
      <c r="F427" s="15">
        <v>50</v>
      </c>
      <c r="G427" s="18">
        <f>F427-E427</f>
        <v>50</v>
      </c>
      <c r="H427" s="10" t="s">
        <v>274</v>
      </c>
      <c r="I427" s="14" t="s">
        <v>111</v>
      </c>
    </row>
    <row r="428" spans="1:10" x14ac:dyDescent="0.2">
      <c r="A428" s="41">
        <v>10</v>
      </c>
      <c r="B428" s="36" t="s">
        <v>11</v>
      </c>
      <c r="C428" s="20" t="s">
        <v>210</v>
      </c>
      <c r="D428" s="4">
        <v>1</v>
      </c>
      <c r="E428" s="15">
        <v>30</v>
      </c>
      <c r="F428" s="15">
        <v>45</v>
      </c>
      <c r="G428" s="18">
        <f>F428-E428</f>
        <v>15</v>
      </c>
      <c r="H428" s="10" t="s">
        <v>274</v>
      </c>
      <c r="I428" s="14" t="s">
        <v>198</v>
      </c>
    </row>
    <row r="429" spans="1:10" x14ac:dyDescent="0.2">
      <c r="A429" s="41">
        <v>10</v>
      </c>
      <c r="B429" s="36" t="s">
        <v>11</v>
      </c>
      <c r="C429" s="20" t="s">
        <v>203</v>
      </c>
      <c r="D429" s="4">
        <v>1</v>
      </c>
      <c r="E429" s="15">
        <v>15</v>
      </c>
      <c r="F429" s="15">
        <v>18.59</v>
      </c>
      <c r="G429" s="18">
        <f>F429-E429</f>
        <v>3.59</v>
      </c>
      <c r="H429" s="10" t="s">
        <v>274</v>
      </c>
      <c r="I429" s="14" t="s">
        <v>198</v>
      </c>
    </row>
    <row r="430" spans="1:10" x14ac:dyDescent="0.2">
      <c r="A430" s="41">
        <v>10</v>
      </c>
      <c r="B430" s="36" t="s">
        <v>11</v>
      </c>
      <c r="C430" s="20" t="s">
        <v>260</v>
      </c>
      <c r="D430" s="4">
        <v>1</v>
      </c>
      <c r="E430" s="15">
        <v>35</v>
      </c>
      <c r="F430" s="15">
        <v>54.6</v>
      </c>
      <c r="G430" s="18">
        <f>F430-E430</f>
        <v>19.600000000000001</v>
      </c>
      <c r="H430" s="10" t="s">
        <v>274</v>
      </c>
      <c r="I430" s="14" t="s">
        <v>198</v>
      </c>
      <c r="J430" s="29"/>
    </row>
    <row r="431" spans="1:10" x14ac:dyDescent="0.2">
      <c r="A431" s="41">
        <v>10</v>
      </c>
      <c r="B431" s="36" t="s">
        <v>11</v>
      </c>
      <c r="C431" s="20" t="s">
        <v>260</v>
      </c>
      <c r="D431" s="4">
        <v>1</v>
      </c>
      <c r="E431" s="15">
        <v>37</v>
      </c>
      <c r="F431" s="15">
        <v>65</v>
      </c>
      <c r="G431" s="18">
        <f>F431-E431</f>
        <v>28</v>
      </c>
      <c r="H431" s="10" t="s">
        <v>274</v>
      </c>
      <c r="I431" s="14" t="s">
        <v>198</v>
      </c>
      <c r="J431" s="29"/>
    </row>
    <row r="432" spans="1:10" x14ac:dyDescent="0.2">
      <c r="A432" s="41">
        <v>10</v>
      </c>
      <c r="B432" s="36" t="s">
        <v>11</v>
      </c>
      <c r="C432" s="20" t="s">
        <v>260</v>
      </c>
      <c r="D432" s="4">
        <v>1</v>
      </c>
      <c r="E432" s="15">
        <v>37</v>
      </c>
      <c r="F432" s="15">
        <v>65</v>
      </c>
      <c r="G432" s="18">
        <f>F432-E432</f>
        <v>28</v>
      </c>
      <c r="H432" s="10" t="s">
        <v>274</v>
      </c>
      <c r="I432" s="14" t="s">
        <v>198</v>
      </c>
      <c r="J432" s="29"/>
    </row>
    <row r="433" spans="1:10" x14ac:dyDescent="0.2">
      <c r="A433" s="41">
        <v>10</v>
      </c>
      <c r="B433" s="36" t="s">
        <v>11</v>
      </c>
      <c r="C433" s="20" t="s">
        <v>214</v>
      </c>
      <c r="D433" s="4">
        <v>1</v>
      </c>
      <c r="E433" s="15">
        <v>4</v>
      </c>
      <c r="F433" s="15">
        <v>9</v>
      </c>
      <c r="G433" s="18">
        <f>F433-E433</f>
        <v>5</v>
      </c>
      <c r="H433" s="10" t="s">
        <v>274</v>
      </c>
      <c r="I433" s="14" t="s">
        <v>198</v>
      </c>
      <c r="J433" s="29"/>
    </row>
    <row r="434" spans="1:10" x14ac:dyDescent="0.2">
      <c r="A434" s="41">
        <v>10</v>
      </c>
      <c r="B434" s="36" t="s">
        <v>11</v>
      </c>
      <c r="C434" s="20" t="s">
        <v>196</v>
      </c>
      <c r="D434" s="4">
        <v>1</v>
      </c>
      <c r="E434" s="15">
        <v>4</v>
      </c>
      <c r="F434" s="15">
        <v>9</v>
      </c>
      <c r="G434" s="18">
        <f>F434-E434</f>
        <v>5</v>
      </c>
      <c r="H434" s="10" t="s">
        <v>274</v>
      </c>
      <c r="I434" s="14" t="s">
        <v>198</v>
      </c>
      <c r="J434" s="29"/>
    </row>
    <row r="435" spans="1:10" x14ac:dyDescent="0.2">
      <c r="A435" s="41">
        <v>10</v>
      </c>
      <c r="B435" s="36" t="s">
        <v>11</v>
      </c>
      <c r="C435" s="20" t="s">
        <v>209</v>
      </c>
      <c r="D435" s="4">
        <v>1</v>
      </c>
      <c r="E435" s="15">
        <v>1.5</v>
      </c>
      <c r="F435" s="15">
        <v>5</v>
      </c>
      <c r="G435" s="18">
        <f>F435-E435</f>
        <v>3.5</v>
      </c>
      <c r="H435" s="10" t="s">
        <v>274</v>
      </c>
      <c r="I435" s="14" t="s">
        <v>198</v>
      </c>
      <c r="J435" s="29"/>
    </row>
    <row r="436" spans="1:10" x14ac:dyDescent="0.2">
      <c r="A436" s="41">
        <v>10</v>
      </c>
      <c r="B436" s="36" t="s">
        <v>11</v>
      </c>
      <c r="C436" s="20" t="s">
        <v>209</v>
      </c>
      <c r="D436" s="4">
        <v>1</v>
      </c>
      <c r="E436" s="15">
        <v>1.5</v>
      </c>
      <c r="F436" s="15">
        <v>5</v>
      </c>
      <c r="G436" s="18">
        <f>F436-E436</f>
        <v>3.5</v>
      </c>
      <c r="H436" s="10" t="s">
        <v>274</v>
      </c>
      <c r="I436" s="14" t="s">
        <v>198</v>
      </c>
      <c r="J436" s="29"/>
    </row>
    <row r="437" spans="1:10" x14ac:dyDescent="0.2">
      <c r="A437" s="41">
        <v>10</v>
      </c>
      <c r="B437" s="36" t="s">
        <v>11</v>
      </c>
      <c r="C437" s="20" t="s">
        <v>209</v>
      </c>
      <c r="D437" s="4">
        <v>1</v>
      </c>
      <c r="E437" s="15">
        <v>1.5</v>
      </c>
      <c r="F437" s="15">
        <v>5</v>
      </c>
      <c r="G437" s="18">
        <f>F437-E437</f>
        <v>3.5</v>
      </c>
      <c r="H437" s="10" t="s">
        <v>274</v>
      </c>
      <c r="I437" s="14" t="s">
        <v>198</v>
      </c>
      <c r="J437" s="29"/>
    </row>
    <row r="438" spans="1:10" x14ac:dyDescent="0.2">
      <c r="A438" s="41">
        <v>10</v>
      </c>
      <c r="B438" s="36" t="s">
        <v>11</v>
      </c>
      <c r="C438" s="20" t="s">
        <v>209</v>
      </c>
      <c r="D438" s="4">
        <v>3</v>
      </c>
      <c r="E438" s="15">
        <f>D438*1.5</f>
        <v>4.5</v>
      </c>
      <c r="F438" s="15">
        <v>20</v>
      </c>
      <c r="G438" s="18">
        <f>F438-E438</f>
        <v>15.5</v>
      </c>
      <c r="H438" s="10" t="s">
        <v>274</v>
      </c>
      <c r="I438" s="14" t="s">
        <v>198</v>
      </c>
      <c r="J438" s="29"/>
    </row>
    <row r="439" spans="1:10" x14ac:dyDescent="0.2">
      <c r="A439" s="41">
        <v>10</v>
      </c>
      <c r="B439" s="36" t="s">
        <v>11</v>
      </c>
      <c r="C439" s="20" t="s">
        <v>177</v>
      </c>
      <c r="D439" s="4">
        <v>1</v>
      </c>
      <c r="E439" s="15">
        <v>4</v>
      </c>
      <c r="F439" s="15">
        <v>7.4</v>
      </c>
      <c r="G439" s="18">
        <f>F439-E439</f>
        <v>3.4000000000000004</v>
      </c>
      <c r="H439" s="10" t="s">
        <v>274</v>
      </c>
      <c r="I439" s="14" t="s">
        <v>198</v>
      </c>
      <c r="J439" s="29"/>
    </row>
    <row r="440" spans="1:10" x14ac:dyDescent="0.2">
      <c r="A440" s="41">
        <v>10</v>
      </c>
      <c r="B440" s="36" t="s">
        <v>11</v>
      </c>
      <c r="C440" s="20" t="s">
        <v>177</v>
      </c>
      <c r="D440" s="4">
        <v>1</v>
      </c>
      <c r="E440" s="15">
        <v>4</v>
      </c>
      <c r="F440" s="15">
        <v>7.4</v>
      </c>
      <c r="G440" s="18">
        <f>F440-E440</f>
        <v>3.4000000000000004</v>
      </c>
      <c r="H440" s="10" t="s">
        <v>274</v>
      </c>
      <c r="I440" s="14" t="s">
        <v>198</v>
      </c>
      <c r="J440" s="29"/>
    </row>
    <row r="441" spans="1:10" x14ac:dyDescent="0.2">
      <c r="A441" s="41">
        <v>10</v>
      </c>
      <c r="B441" s="36" t="s">
        <v>11</v>
      </c>
      <c r="C441" s="20" t="s">
        <v>177</v>
      </c>
      <c r="D441" s="4">
        <v>1</v>
      </c>
      <c r="E441" s="15">
        <v>4</v>
      </c>
      <c r="F441" s="15">
        <v>9</v>
      </c>
      <c r="G441" s="18">
        <f>F441-E441</f>
        <v>5</v>
      </c>
      <c r="H441" s="10" t="s">
        <v>274</v>
      </c>
      <c r="I441" s="14" t="s">
        <v>198</v>
      </c>
      <c r="J441" s="29"/>
    </row>
    <row r="442" spans="1:10" x14ac:dyDescent="0.2">
      <c r="A442" s="41">
        <v>10</v>
      </c>
      <c r="B442" s="36" t="s">
        <v>11</v>
      </c>
      <c r="C442" s="20" t="s">
        <v>177</v>
      </c>
      <c r="D442" s="4">
        <v>1</v>
      </c>
      <c r="E442" s="15">
        <v>4</v>
      </c>
      <c r="F442" s="15">
        <v>9</v>
      </c>
      <c r="G442" s="18">
        <f>F442-E442</f>
        <v>5</v>
      </c>
      <c r="H442" s="10" t="s">
        <v>274</v>
      </c>
      <c r="I442" s="14" t="s">
        <v>198</v>
      </c>
      <c r="J442" s="29"/>
    </row>
    <row r="443" spans="1:10" x14ac:dyDescent="0.2">
      <c r="A443" s="41">
        <v>10</v>
      </c>
      <c r="B443" s="36" t="s">
        <v>11</v>
      </c>
      <c r="C443" s="20" t="s">
        <v>211</v>
      </c>
      <c r="D443" s="4">
        <v>1</v>
      </c>
      <c r="E443" s="15">
        <v>35</v>
      </c>
      <c r="F443" s="15">
        <v>56</v>
      </c>
      <c r="G443" s="18">
        <f>F443-E443</f>
        <v>21</v>
      </c>
      <c r="H443" s="10" t="s">
        <v>274</v>
      </c>
      <c r="I443" s="14" t="s">
        <v>198</v>
      </c>
      <c r="J443" s="29"/>
    </row>
    <row r="444" spans="1:10" x14ac:dyDescent="0.2">
      <c r="A444" s="41">
        <v>10</v>
      </c>
      <c r="B444" s="36" t="s">
        <v>11</v>
      </c>
      <c r="C444" s="20" t="s">
        <v>218</v>
      </c>
      <c r="D444" s="4">
        <v>1</v>
      </c>
      <c r="E444" s="15">
        <v>12</v>
      </c>
      <c r="F444" s="15">
        <v>25</v>
      </c>
      <c r="G444" s="18">
        <f>F444-E444</f>
        <v>13</v>
      </c>
      <c r="H444" s="10" t="s">
        <v>274</v>
      </c>
      <c r="I444" s="14" t="s">
        <v>111</v>
      </c>
      <c r="J444" s="29"/>
    </row>
    <row r="445" spans="1:10" x14ac:dyDescent="0.2">
      <c r="A445" s="41">
        <v>10</v>
      </c>
      <c r="B445" s="36" t="s">
        <v>11</v>
      </c>
      <c r="C445" s="20" t="s">
        <v>132</v>
      </c>
      <c r="D445" s="4">
        <v>1</v>
      </c>
      <c r="E445" s="15">
        <v>15</v>
      </c>
      <c r="F445" s="15">
        <v>30</v>
      </c>
      <c r="G445" s="18">
        <f>F445-E445</f>
        <v>15</v>
      </c>
      <c r="H445" s="10" t="s">
        <v>274</v>
      </c>
      <c r="I445" s="14" t="s">
        <v>111</v>
      </c>
      <c r="J445" s="29"/>
    </row>
    <row r="446" spans="1:10" x14ac:dyDescent="0.2">
      <c r="A446" s="41">
        <v>10</v>
      </c>
      <c r="B446" s="36" t="s">
        <v>11</v>
      </c>
      <c r="C446" s="20" t="s">
        <v>75</v>
      </c>
      <c r="D446" s="4">
        <v>1</v>
      </c>
      <c r="E446" s="15">
        <v>7</v>
      </c>
      <c r="F446" s="15">
        <v>13</v>
      </c>
      <c r="G446" s="18">
        <f>F446-E446</f>
        <v>6</v>
      </c>
      <c r="H446" s="10" t="s">
        <v>274</v>
      </c>
      <c r="I446" s="14" t="s">
        <v>198</v>
      </c>
    </row>
    <row r="447" spans="1:10" x14ac:dyDescent="0.2">
      <c r="A447" s="41">
        <v>10</v>
      </c>
      <c r="B447" s="36" t="s">
        <v>11</v>
      </c>
      <c r="C447" s="43" t="s">
        <v>262</v>
      </c>
      <c r="D447" s="4">
        <v>1</v>
      </c>
      <c r="E447" s="15">
        <v>5</v>
      </c>
      <c r="F447" s="15">
        <v>9.8000000000000007</v>
      </c>
      <c r="G447" s="18">
        <f>F447-E447</f>
        <v>4.8000000000000007</v>
      </c>
      <c r="H447" s="10" t="s">
        <v>274</v>
      </c>
      <c r="I447" s="14" t="s">
        <v>198</v>
      </c>
    </row>
    <row r="448" spans="1:10" x14ac:dyDescent="0.2">
      <c r="A448" s="41">
        <v>10</v>
      </c>
      <c r="B448" s="36" t="s">
        <v>11</v>
      </c>
      <c r="C448" s="20" t="s">
        <v>206</v>
      </c>
      <c r="D448" s="4">
        <v>1</v>
      </c>
      <c r="E448" s="15">
        <v>10</v>
      </c>
      <c r="F448" s="15">
        <v>13</v>
      </c>
      <c r="G448" s="18">
        <f>F448-E448</f>
        <v>3</v>
      </c>
      <c r="H448" s="10" t="s">
        <v>274</v>
      </c>
      <c r="I448" s="14" t="s">
        <v>198</v>
      </c>
    </row>
    <row r="449" spans="1:9" x14ac:dyDescent="0.2">
      <c r="A449" s="41">
        <v>10</v>
      </c>
      <c r="B449" s="36" t="s">
        <v>11</v>
      </c>
      <c r="C449" s="43" t="s">
        <v>200</v>
      </c>
      <c r="D449" s="4">
        <v>1</v>
      </c>
      <c r="E449" s="15">
        <v>3.5</v>
      </c>
      <c r="F449" s="15">
        <v>7.8</v>
      </c>
      <c r="G449" s="18">
        <f>F449-E449</f>
        <v>4.3</v>
      </c>
      <c r="H449" s="10" t="s">
        <v>274</v>
      </c>
      <c r="I449" s="14" t="s">
        <v>199</v>
      </c>
    </row>
    <row r="450" spans="1:9" x14ac:dyDescent="0.2">
      <c r="A450" s="41">
        <v>10</v>
      </c>
      <c r="B450" s="36" t="s">
        <v>11</v>
      </c>
      <c r="C450" s="20" t="s">
        <v>193</v>
      </c>
      <c r="D450" s="4">
        <v>1</v>
      </c>
      <c r="E450" s="15">
        <v>3.5</v>
      </c>
      <c r="F450" s="15">
        <v>7.8</v>
      </c>
      <c r="G450" s="18">
        <f>F450-E450</f>
        <v>4.3</v>
      </c>
      <c r="H450" s="10" t="s">
        <v>274</v>
      </c>
      <c r="I450" s="14" t="s">
        <v>198</v>
      </c>
    </row>
    <row r="451" spans="1:9" x14ac:dyDescent="0.2">
      <c r="A451" s="41">
        <v>10</v>
      </c>
      <c r="B451" s="36" t="s">
        <v>11</v>
      </c>
      <c r="C451" s="20" t="s">
        <v>186</v>
      </c>
      <c r="D451" s="4">
        <v>1</v>
      </c>
      <c r="E451" s="15">
        <v>16</v>
      </c>
      <c r="F451" s="15">
        <v>32</v>
      </c>
      <c r="G451" s="18">
        <f>F451-E451</f>
        <v>16</v>
      </c>
      <c r="H451" s="10" t="s">
        <v>274</v>
      </c>
      <c r="I451" s="14" t="s">
        <v>199</v>
      </c>
    </row>
    <row r="452" spans="1:9" x14ac:dyDescent="0.2">
      <c r="A452" s="41">
        <v>10</v>
      </c>
      <c r="B452" s="36" t="s">
        <v>11</v>
      </c>
      <c r="C452" s="20" t="s">
        <v>194</v>
      </c>
      <c r="D452" s="4">
        <v>1</v>
      </c>
      <c r="E452" s="15">
        <v>35</v>
      </c>
      <c r="F452" s="15">
        <v>61</v>
      </c>
      <c r="G452" s="18">
        <f>F452-E452</f>
        <v>26</v>
      </c>
      <c r="H452" s="10" t="s">
        <v>274</v>
      </c>
      <c r="I452" s="14" t="s">
        <v>198</v>
      </c>
    </row>
    <row r="453" spans="1:9" x14ac:dyDescent="0.2">
      <c r="A453" s="41">
        <v>10</v>
      </c>
      <c r="B453" s="36" t="s">
        <v>11</v>
      </c>
      <c r="C453" s="20" t="s">
        <v>216</v>
      </c>
      <c r="D453" s="4">
        <v>1</v>
      </c>
      <c r="E453" s="15">
        <v>3</v>
      </c>
      <c r="F453" s="15">
        <v>10</v>
      </c>
      <c r="G453" s="18">
        <f>F453-E453</f>
        <v>7</v>
      </c>
      <c r="H453" s="10" t="s">
        <v>274</v>
      </c>
      <c r="I453" s="14" t="s">
        <v>111</v>
      </c>
    </row>
    <row r="454" spans="1:9" x14ac:dyDescent="0.2">
      <c r="A454" s="41">
        <v>10</v>
      </c>
      <c r="B454" s="36" t="s">
        <v>11</v>
      </c>
      <c r="C454" s="20" t="s">
        <v>190</v>
      </c>
      <c r="D454" s="4">
        <v>1</v>
      </c>
      <c r="E454" s="15">
        <v>14</v>
      </c>
      <c r="F454" s="15">
        <v>25.36</v>
      </c>
      <c r="G454" s="18">
        <f>F454-E454</f>
        <v>11.36</v>
      </c>
      <c r="H454" s="10" t="s">
        <v>274</v>
      </c>
      <c r="I454" s="14" t="s">
        <v>198</v>
      </c>
    </row>
    <row r="455" spans="1:9" x14ac:dyDescent="0.2">
      <c r="A455" s="41">
        <v>10</v>
      </c>
      <c r="B455" s="36" t="s">
        <v>11</v>
      </c>
      <c r="C455" s="20" t="s">
        <v>190</v>
      </c>
      <c r="D455" s="4">
        <v>1</v>
      </c>
      <c r="E455" s="15">
        <v>12</v>
      </c>
      <c r="F455" s="15">
        <v>25.36</v>
      </c>
      <c r="G455" s="18">
        <f>F455-E455</f>
        <v>13.36</v>
      </c>
      <c r="H455" s="10" t="s">
        <v>274</v>
      </c>
      <c r="I455" s="14" t="s">
        <v>198</v>
      </c>
    </row>
    <row r="456" spans="1:9" x14ac:dyDescent="0.2">
      <c r="A456" s="41">
        <v>10</v>
      </c>
      <c r="B456" s="36" t="s">
        <v>11</v>
      </c>
      <c r="C456" s="20" t="s">
        <v>208</v>
      </c>
      <c r="D456" s="4">
        <v>1</v>
      </c>
      <c r="E456" s="15">
        <v>1</v>
      </c>
      <c r="F456" s="15">
        <v>5</v>
      </c>
      <c r="G456" s="18">
        <f>F456-E456</f>
        <v>4</v>
      </c>
      <c r="H456" s="10" t="s">
        <v>274</v>
      </c>
      <c r="I456" s="14" t="s">
        <v>198</v>
      </c>
    </row>
    <row r="457" spans="1:9" x14ac:dyDescent="0.2">
      <c r="A457" s="41">
        <v>10</v>
      </c>
      <c r="B457" s="36" t="s">
        <v>11</v>
      </c>
      <c r="C457" s="20" t="s">
        <v>205</v>
      </c>
      <c r="D457" s="4">
        <v>1</v>
      </c>
      <c r="E457" s="15"/>
      <c r="F457" s="15">
        <v>33</v>
      </c>
      <c r="G457" s="18">
        <f>F457-E457</f>
        <v>33</v>
      </c>
      <c r="H457" s="10" t="s">
        <v>274</v>
      </c>
      <c r="I457" s="14" t="s">
        <v>198</v>
      </c>
    </row>
    <row r="458" spans="1:9" x14ac:dyDescent="0.2">
      <c r="A458" s="41">
        <v>10</v>
      </c>
      <c r="B458" s="36" t="s">
        <v>11</v>
      </c>
      <c r="C458" s="3" t="s">
        <v>264</v>
      </c>
      <c r="D458" s="4">
        <v>2</v>
      </c>
      <c r="E458" s="15">
        <v>2</v>
      </c>
      <c r="F458" s="15">
        <v>8.4</v>
      </c>
      <c r="G458" s="18">
        <f>F458-E458</f>
        <v>6.4</v>
      </c>
      <c r="H458" s="10" t="s">
        <v>274</v>
      </c>
      <c r="I458" s="14" t="s">
        <v>198</v>
      </c>
    </row>
    <row r="459" spans="1:9" x14ac:dyDescent="0.2">
      <c r="A459" s="41">
        <v>10</v>
      </c>
      <c r="B459" s="36" t="s">
        <v>11</v>
      </c>
      <c r="C459" s="20" t="s">
        <v>192</v>
      </c>
      <c r="D459" s="4">
        <v>1</v>
      </c>
      <c r="E459" s="15">
        <v>11</v>
      </c>
      <c r="F459" s="15">
        <v>18.600000000000001</v>
      </c>
      <c r="G459" s="18">
        <f>F459-E459</f>
        <v>7.6000000000000014</v>
      </c>
      <c r="H459" s="10" t="s">
        <v>274</v>
      </c>
      <c r="I459" s="14" t="s">
        <v>198</v>
      </c>
    </row>
    <row r="460" spans="1:9" x14ac:dyDescent="0.2">
      <c r="A460" s="41">
        <v>10</v>
      </c>
      <c r="B460" s="36" t="s">
        <v>11</v>
      </c>
      <c r="C460" s="20" t="s">
        <v>156</v>
      </c>
      <c r="D460" s="4">
        <v>1</v>
      </c>
      <c r="E460" s="15">
        <v>52</v>
      </c>
      <c r="F460" s="15">
        <v>85</v>
      </c>
      <c r="G460" s="18">
        <f>F460-E460</f>
        <v>33</v>
      </c>
      <c r="H460" s="10" t="s">
        <v>274</v>
      </c>
      <c r="I460" s="14" t="s">
        <v>111</v>
      </c>
    </row>
    <row r="461" spans="1:9" x14ac:dyDescent="0.2">
      <c r="A461" s="41">
        <v>10</v>
      </c>
      <c r="B461" s="36" t="s">
        <v>11</v>
      </c>
      <c r="C461" s="20" t="s">
        <v>156</v>
      </c>
      <c r="D461" s="4">
        <v>1</v>
      </c>
      <c r="E461" s="15">
        <v>52</v>
      </c>
      <c r="F461" s="15">
        <v>85</v>
      </c>
      <c r="G461" s="18">
        <f>F461-E461</f>
        <v>33</v>
      </c>
      <c r="H461" s="10" t="s">
        <v>274</v>
      </c>
      <c r="I461" s="14" t="s">
        <v>111</v>
      </c>
    </row>
    <row r="462" spans="1:9" x14ac:dyDescent="0.2">
      <c r="A462" s="41">
        <v>11</v>
      </c>
      <c r="B462" s="36" t="s">
        <v>12</v>
      </c>
      <c r="C462" s="3" t="s">
        <v>207</v>
      </c>
      <c r="D462" s="4">
        <v>1</v>
      </c>
      <c r="E462" s="5">
        <v>30</v>
      </c>
      <c r="F462" s="30">
        <v>50.876899999999999</v>
      </c>
      <c r="G462" s="18">
        <f>F462-E462</f>
        <v>20.876899999999999</v>
      </c>
      <c r="H462" s="10" t="s">
        <v>274</v>
      </c>
      <c r="I462" s="14" t="s">
        <v>198</v>
      </c>
    </row>
    <row r="463" spans="1:9" x14ac:dyDescent="0.2">
      <c r="A463" s="41">
        <v>11</v>
      </c>
      <c r="B463" s="36" t="s">
        <v>12</v>
      </c>
      <c r="C463" s="20" t="s">
        <v>168</v>
      </c>
      <c r="D463" s="4">
        <v>1</v>
      </c>
      <c r="E463" s="5">
        <v>5</v>
      </c>
      <c r="F463" s="30">
        <v>17.528199999999998</v>
      </c>
      <c r="G463" s="18">
        <f>F463-E463</f>
        <v>12.528199999999998</v>
      </c>
      <c r="H463" s="10" t="s">
        <v>274</v>
      </c>
      <c r="I463" s="14" t="s">
        <v>198</v>
      </c>
    </row>
    <row r="464" spans="1:9" x14ac:dyDescent="0.2">
      <c r="A464" s="41">
        <v>11</v>
      </c>
      <c r="B464" s="36" t="s">
        <v>12</v>
      </c>
      <c r="C464" s="20" t="s">
        <v>124</v>
      </c>
      <c r="D464" s="4">
        <v>1</v>
      </c>
      <c r="E464" s="15">
        <v>15</v>
      </c>
      <c r="F464" s="15">
        <v>35</v>
      </c>
      <c r="G464" s="18">
        <f>F464-E464</f>
        <v>20</v>
      </c>
      <c r="H464" s="10" t="s">
        <v>274</v>
      </c>
      <c r="I464" s="14" t="s">
        <v>111</v>
      </c>
    </row>
    <row r="465" spans="1:9" x14ac:dyDescent="0.2">
      <c r="A465" s="41">
        <v>11</v>
      </c>
      <c r="B465" s="36" t="s">
        <v>12</v>
      </c>
      <c r="C465" s="20" t="s">
        <v>88</v>
      </c>
      <c r="D465" s="4">
        <v>1</v>
      </c>
      <c r="E465" s="15">
        <v>5</v>
      </c>
      <c r="F465" s="15">
        <v>7.2</v>
      </c>
      <c r="G465" s="18">
        <f>F465-E465</f>
        <v>2.2000000000000002</v>
      </c>
      <c r="H465" s="10" t="s">
        <v>274</v>
      </c>
      <c r="I465" s="14" t="s">
        <v>238</v>
      </c>
    </row>
    <row r="466" spans="1:9" x14ac:dyDescent="0.2">
      <c r="A466" s="41">
        <v>11</v>
      </c>
      <c r="B466" s="36" t="s">
        <v>12</v>
      </c>
      <c r="C466" s="20" t="s">
        <v>220</v>
      </c>
      <c r="D466" s="4">
        <v>1</v>
      </c>
      <c r="E466" s="15">
        <v>2</v>
      </c>
      <c r="F466" s="15">
        <v>8.19</v>
      </c>
      <c r="G466" s="18">
        <f>F466-E466</f>
        <v>6.1899999999999995</v>
      </c>
      <c r="H466" s="10" t="s">
        <v>274</v>
      </c>
      <c r="I466" s="14" t="s">
        <v>198</v>
      </c>
    </row>
    <row r="467" spans="1:9" x14ac:dyDescent="0.2">
      <c r="A467" s="41">
        <v>11</v>
      </c>
      <c r="B467" s="36" t="s">
        <v>12</v>
      </c>
      <c r="C467" s="20" t="s">
        <v>228</v>
      </c>
      <c r="D467" s="4">
        <v>1</v>
      </c>
      <c r="E467" s="15">
        <v>2</v>
      </c>
      <c r="F467" s="15">
        <v>15</v>
      </c>
      <c r="G467" s="18">
        <f>F467-E467</f>
        <v>13</v>
      </c>
      <c r="H467" s="10" t="s">
        <v>274</v>
      </c>
      <c r="I467" s="14" t="s">
        <v>111</v>
      </c>
    </row>
    <row r="468" spans="1:9" x14ac:dyDescent="0.2">
      <c r="A468" s="41">
        <v>11</v>
      </c>
      <c r="B468" s="36" t="s">
        <v>12</v>
      </c>
      <c r="C468" s="20" t="s">
        <v>221</v>
      </c>
      <c r="D468" s="4">
        <v>1</v>
      </c>
      <c r="E468" s="15">
        <v>12</v>
      </c>
      <c r="F468" s="15">
        <v>25</v>
      </c>
      <c r="G468" s="18">
        <f>F468-E468</f>
        <v>13</v>
      </c>
      <c r="H468" s="10" t="s">
        <v>274</v>
      </c>
      <c r="I468" s="14" t="s">
        <v>111</v>
      </c>
    </row>
    <row r="469" spans="1:9" x14ac:dyDescent="0.2">
      <c r="A469" s="41">
        <v>11</v>
      </c>
      <c r="B469" s="36" t="s">
        <v>12</v>
      </c>
      <c r="C469" s="20" t="s">
        <v>215</v>
      </c>
      <c r="D469" s="4">
        <v>5</v>
      </c>
      <c r="E469" s="5">
        <v>325</v>
      </c>
      <c r="F469" s="30">
        <v>477.37990000000002</v>
      </c>
      <c r="G469" s="18">
        <f>F469-E469</f>
        <v>152.37990000000002</v>
      </c>
      <c r="H469" s="10" t="s">
        <v>274</v>
      </c>
      <c r="I469" s="14" t="s">
        <v>198</v>
      </c>
    </row>
    <row r="470" spans="1:9" x14ac:dyDescent="0.2">
      <c r="A470" s="41">
        <v>11</v>
      </c>
      <c r="B470" s="36" t="s">
        <v>12</v>
      </c>
      <c r="C470" s="20" t="s">
        <v>215</v>
      </c>
      <c r="D470" s="4">
        <v>2</v>
      </c>
      <c r="E470" s="15">
        <v>130</v>
      </c>
      <c r="F470" s="15">
        <f>93*D470</f>
        <v>186</v>
      </c>
      <c r="G470" s="18">
        <f>F470-E470</f>
        <v>56</v>
      </c>
      <c r="H470" s="10" t="s">
        <v>274</v>
      </c>
      <c r="I470" s="14" t="s">
        <v>238</v>
      </c>
    </row>
    <row r="471" spans="1:9" x14ac:dyDescent="0.2">
      <c r="A471" s="41">
        <v>11</v>
      </c>
      <c r="B471" s="36" t="s">
        <v>12</v>
      </c>
      <c r="C471" s="20" t="s">
        <v>180</v>
      </c>
      <c r="D471" s="4">
        <v>1</v>
      </c>
      <c r="E471" s="5">
        <v>3</v>
      </c>
      <c r="F471" s="30">
        <v>4.6999999999999993</v>
      </c>
      <c r="G471" s="18">
        <f>F471-E471</f>
        <v>1.6999999999999993</v>
      </c>
      <c r="H471" s="10" t="s">
        <v>274</v>
      </c>
      <c r="I471" s="14" t="s">
        <v>198</v>
      </c>
    </row>
    <row r="472" spans="1:9" x14ac:dyDescent="0.2">
      <c r="A472" s="41">
        <v>11</v>
      </c>
      <c r="B472" s="36" t="s">
        <v>12</v>
      </c>
      <c r="C472" s="20" t="s">
        <v>253</v>
      </c>
      <c r="D472" s="4">
        <v>1</v>
      </c>
      <c r="E472" s="15">
        <v>13.5</v>
      </c>
      <c r="F472" s="15">
        <v>20</v>
      </c>
      <c r="G472" s="18">
        <f>F472-E472</f>
        <v>6.5</v>
      </c>
      <c r="H472" s="10" t="s">
        <v>274</v>
      </c>
      <c r="I472" s="14" t="s">
        <v>111</v>
      </c>
    </row>
    <row r="473" spans="1:9" x14ac:dyDescent="0.2">
      <c r="A473" s="41">
        <v>11</v>
      </c>
      <c r="B473" s="36" t="s">
        <v>12</v>
      </c>
      <c r="C473" s="20" t="s">
        <v>253</v>
      </c>
      <c r="D473" s="4">
        <v>1</v>
      </c>
      <c r="E473" s="15">
        <v>13.5</v>
      </c>
      <c r="F473" s="15">
        <v>20</v>
      </c>
      <c r="G473" s="18">
        <f>F473-E473</f>
        <v>6.5</v>
      </c>
      <c r="H473" s="10" t="s">
        <v>274</v>
      </c>
      <c r="I473" s="14" t="s">
        <v>111</v>
      </c>
    </row>
    <row r="474" spans="1:9" x14ac:dyDescent="0.2">
      <c r="A474" s="41">
        <v>11</v>
      </c>
      <c r="B474" s="36" t="s">
        <v>12</v>
      </c>
      <c r="C474" s="3" t="s">
        <v>235</v>
      </c>
      <c r="D474" s="4">
        <v>2</v>
      </c>
      <c r="E474" s="5">
        <v>38</v>
      </c>
      <c r="F474" s="30">
        <v>60.702100000000002</v>
      </c>
      <c r="G474" s="18">
        <f>F474-E474</f>
        <v>22.702100000000002</v>
      </c>
      <c r="H474" s="10" t="s">
        <v>274</v>
      </c>
      <c r="I474" s="14" t="s">
        <v>198</v>
      </c>
    </row>
    <row r="475" spans="1:9" x14ac:dyDescent="0.2">
      <c r="A475" s="41">
        <v>11</v>
      </c>
      <c r="B475" s="36" t="s">
        <v>12</v>
      </c>
      <c r="C475" s="3" t="s">
        <v>204</v>
      </c>
      <c r="D475" s="4">
        <v>4</v>
      </c>
      <c r="E475" s="5">
        <v>28</v>
      </c>
      <c r="F475" s="30">
        <v>49.36</v>
      </c>
      <c r="G475" s="18">
        <f>F475-E475</f>
        <v>21.36</v>
      </c>
      <c r="H475" s="10" t="s">
        <v>274</v>
      </c>
      <c r="I475" s="14" t="s">
        <v>198</v>
      </c>
    </row>
    <row r="476" spans="1:9" x14ac:dyDescent="0.2">
      <c r="A476" s="41">
        <v>11</v>
      </c>
      <c r="B476" s="36" t="s">
        <v>12</v>
      </c>
      <c r="C476" s="20" t="s">
        <v>195</v>
      </c>
      <c r="D476" s="4">
        <v>1</v>
      </c>
      <c r="E476" s="15">
        <v>44</v>
      </c>
      <c r="F476" s="15">
        <v>70</v>
      </c>
      <c r="G476" s="18">
        <f>F476-E476</f>
        <v>26</v>
      </c>
      <c r="H476" s="10" t="s">
        <v>274</v>
      </c>
      <c r="I476" s="14" t="s">
        <v>111</v>
      </c>
    </row>
    <row r="477" spans="1:9" x14ac:dyDescent="0.2">
      <c r="A477" s="41">
        <v>11</v>
      </c>
      <c r="B477" s="36" t="s">
        <v>12</v>
      </c>
      <c r="C477" s="3" t="s">
        <v>255</v>
      </c>
      <c r="D477" s="4">
        <v>2</v>
      </c>
      <c r="E477" s="5">
        <v>120</v>
      </c>
      <c r="F477" s="30">
        <v>158.69999999999999</v>
      </c>
      <c r="G477" s="18">
        <f>F477-E477</f>
        <v>38.699999999999989</v>
      </c>
      <c r="H477" s="10" t="s">
        <v>274</v>
      </c>
      <c r="I477" s="14" t="s">
        <v>198</v>
      </c>
    </row>
    <row r="478" spans="1:9" x14ac:dyDescent="0.2">
      <c r="A478" s="41">
        <v>11</v>
      </c>
      <c r="B478" s="36" t="s">
        <v>12</v>
      </c>
      <c r="C478" s="3" t="s">
        <v>59</v>
      </c>
      <c r="D478" s="4">
        <v>1</v>
      </c>
      <c r="E478" s="5">
        <v>80</v>
      </c>
      <c r="F478" s="30">
        <v>102.16660000000002</v>
      </c>
      <c r="G478" s="18">
        <f>F478-E478</f>
        <v>22.166600000000017</v>
      </c>
      <c r="H478" s="10" t="s">
        <v>274</v>
      </c>
      <c r="I478" s="14" t="s">
        <v>198</v>
      </c>
    </row>
    <row r="479" spans="1:9" x14ac:dyDescent="0.2">
      <c r="A479" s="41">
        <v>11</v>
      </c>
      <c r="B479" s="36" t="s">
        <v>12</v>
      </c>
      <c r="C479" s="20" t="s">
        <v>59</v>
      </c>
      <c r="D479" s="4">
        <v>1</v>
      </c>
      <c r="E479" s="15">
        <v>80</v>
      </c>
      <c r="F479" s="15">
        <v>99</v>
      </c>
      <c r="G479" s="18">
        <f>F479-E479</f>
        <v>19</v>
      </c>
      <c r="H479" s="10" t="s">
        <v>274</v>
      </c>
      <c r="I479" s="14" t="s">
        <v>238</v>
      </c>
    </row>
    <row r="480" spans="1:9" x14ac:dyDescent="0.2">
      <c r="A480" s="41">
        <v>11</v>
      </c>
      <c r="B480" s="36" t="s">
        <v>12</v>
      </c>
      <c r="C480" s="13" t="s">
        <v>257</v>
      </c>
      <c r="D480" s="4">
        <v>1</v>
      </c>
      <c r="E480" s="15">
        <v>44</v>
      </c>
      <c r="F480" s="15">
        <v>65</v>
      </c>
      <c r="G480" s="18">
        <f>F480-E480</f>
        <v>21</v>
      </c>
      <c r="H480" s="10" t="s">
        <v>274</v>
      </c>
      <c r="I480" s="14" t="s">
        <v>111</v>
      </c>
    </row>
    <row r="481" spans="1:9" x14ac:dyDescent="0.2">
      <c r="A481" s="41">
        <v>11</v>
      </c>
      <c r="B481" s="36" t="s">
        <v>12</v>
      </c>
      <c r="C481" s="20" t="s">
        <v>259</v>
      </c>
      <c r="D481" s="4">
        <v>1</v>
      </c>
      <c r="E481" s="5">
        <v>0</v>
      </c>
      <c r="F481" s="30">
        <v>27.299500000000002</v>
      </c>
      <c r="G481" s="18">
        <f>F481-E481</f>
        <v>27.299500000000002</v>
      </c>
      <c r="H481" s="10" t="s">
        <v>274</v>
      </c>
      <c r="I481" s="14" t="s">
        <v>198</v>
      </c>
    </row>
    <row r="482" spans="1:9" x14ac:dyDescent="0.2">
      <c r="A482" s="41">
        <v>11</v>
      </c>
      <c r="B482" s="36" t="s">
        <v>12</v>
      </c>
      <c r="C482" s="20" t="s">
        <v>114</v>
      </c>
      <c r="D482" s="4">
        <v>1</v>
      </c>
      <c r="E482" s="15">
        <v>23</v>
      </c>
      <c r="F482" s="15">
        <v>40</v>
      </c>
      <c r="G482" s="18">
        <f>F482-E482</f>
        <v>17</v>
      </c>
      <c r="H482" s="10" t="s">
        <v>274</v>
      </c>
      <c r="I482" s="14" t="s">
        <v>111</v>
      </c>
    </row>
    <row r="483" spans="1:9" x14ac:dyDescent="0.2">
      <c r="A483" s="41">
        <v>11</v>
      </c>
      <c r="B483" s="36" t="s">
        <v>12</v>
      </c>
      <c r="C483" s="3" t="s">
        <v>237</v>
      </c>
      <c r="D483" s="4">
        <v>4</v>
      </c>
      <c r="E483" s="5">
        <v>148</v>
      </c>
      <c r="F483" s="30">
        <v>259.1311</v>
      </c>
      <c r="G483" s="18">
        <f>F483-E483</f>
        <v>111.1311</v>
      </c>
      <c r="H483" s="10" t="s">
        <v>274</v>
      </c>
      <c r="I483" s="14" t="s">
        <v>198</v>
      </c>
    </row>
    <row r="484" spans="1:9" x14ac:dyDescent="0.2">
      <c r="A484" s="41">
        <v>11</v>
      </c>
      <c r="B484" s="36" t="s">
        <v>12</v>
      </c>
      <c r="C484" s="20" t="s">
        <v>260</v>
      </c>
      <c r="D484" s="4">
        <v>1</v>
      </c>
      <c r="E484" s="15">
        <v>37</v>
      </c>
      <c r="F484" s="15">
        <v>90</v>
      </c>
      <c r="G484" s="18">
        <f>F484-E484</f>
        <v>53</v>
      </c>
      <c r="H484" s="10" t="s">
        <v>274</v>
      </c>
      <c r="I484" s="14" t="s">
        <v>111</v>
      </c>
    </row>
    <row r="485" spans="1:9" x14ac:dyDescent="0.2">
      <c r="A485" s="41">
        <v>11</v>
      </c>
      <c r="B485" s="36" t="s">
        <v>12</v>
      </c>
      <c r="C485" s="20" t="s">
        <v>230</v>
      </c>
      <c r="D485" s="4">
        <v>1</v>
      </c>
      <c r="E485" s="15">
        <v>35</v>
      </c>
      <c r="F485" s="15">
        <v>70</v>
      </c>
      <c r="G485" s="18">
        <f>F485-E485</f>
        <v>35</v>
      </c>
      <c r="H485" s="10" t="s">
        <v>274</v>
      </c>
      <c r="I485" s="14" t="s">
        <v>111</v>
      </c>
    </row>
    <row r="486" spans="1:9" x14ac:dyDescent="0.2">
      <c r="A486" s="41">
        <v>11</v>
      </c>
      <c r="B486" s="36" t="s">
        <v>12</v>
      </c>
      <c r="C486" s="3" t="s">
        <v>232</v>
      </c>
      <c r="D486" s="4">
        <v>1</v>
      </c>
      <c r="E486" s="5">
        <v>0</v>
      </c>
      <c r="F486" s="30">
        <v>12.399999999999999</v>
      </c>
      <c r="G486" s="18">
        <f>F486-E486</f>
        <v>12.399999999999999</v>
      </c>
      <c r="H486" s="10" t="s">
        <v>274</v>
      </c>
      <c r="I486" s="14" t="s">
        <v>198</v>
      </c>
    </row>
    <row r="487" spans="1:9" x14ac:dyDescent="0.2">
      <c r="A487" s="41">
        <v>11</v>
      </c>
      <c r="B487" s="36" t="s">
        <v>12</v>
      </c>
      <c r="C487" s="20" t="s">
        <v>209</v>
      </c>
      <c r="D487" s="4">
        <v>1</v>
      </c>
      <c r="E487" s="5">
        <v>1.5</v>
      </c>
      <c r="F487" s="30">
        <v>7.7799999999999994</v>
      </c>
      <c r="G487" s="18">
        <f>F487-E487</f>
        <v>6.2799999999999994</v>
      </c>
      <c r="H487" s="10" t="s">
        <v>274</v>
      </c>
      <c r="I487" s="14" t="s">
        <v>198</v>
      </c>
    </row>
    <row r="488" spans="1:9" x14ac:dyDescent="0.2">
      <c r="A488" s="41">
        <v>11</v>
      </c>
      <c r="B488" s="36" t="s">
        <v>12</v>
      </c>
      <c r="C488" s="20" t="s">
        <v>177</v>
      </c>
      <c r="D488" s="4">
        <v>8</v>
      </c>
      <c r="E488" s="5">
        <v>32</v>
      </c>
      <c r="F488" s="30">
        <v>113.34699999999999</v>
      </c>
      <c r="G488" s="18">
        <f>F488-E488</f>
        <v>81.346999999999994</v>
      </c>
      <c r="H488" s="10" t="s">
        <v>274</v>
      </c>
      <c r="I488" s="14" t="s">
        <v>198</v>
      </c>
    </row>
    <row r="489" spans="1:9" x14ac:dyDescent="0.2">
      <c r="A489" s="41">
        <v>11</v>
      </c>
      <c r="B489" s="36" t="s">
        <v>12</v>
      </c>
      <c r="C489" s="20" t="s">
        <v>223</v>
      </c>
      <c r="D489" s="4">
        <v>1</v>
      </c>
      <c r="E489" s="15">
        <v>30</v>
      </c>
      <c r="F489" s="15">
        <v>55</v>
      </c>
      <c r="G489" s="18">
        <f>F489-E489</f>
        <v>25</v>
      </c>
      <c r="H489" s="10" t="s">
        <v>274</v>
      </c>
      <c r="I489" s="14" t="s">
        <v>111</v>
      </c>
    </row>
    <row r="490" spans="1:9" x14ac:dyDescent="0.2">
      <c r="A490" s="41">
        <v>11</v>
      </c>
      <c r="B490" s="36" t="s">
        <v>12</v>
      </c>
      <c r="C490" s="3" t="s">
        <v>233</v>
      </c>
      <c r="D490" s="4">
        <v>1</v>
      </c>
      <c r="E490" s="5">
        <v>0</v>
      </c>
      <c r="F490" s="30">
        <v>14.324999999999999</v>
      </c>
      <c r="G490" s="18">
        <f>F490-E490</f>
        <v>14.324999999999999</v>
      </c>
      <c r="H490" s="10" t="s">
        <v>274</v>
      </c>
      <c r="I490" s="14" t="s">
        <v>198</v>
      </c>
    </row>
    <row r="491" spans="1:9" x14ac:dyDescent="0.2">
      <c r="A491" s="41">
        <v>11</v>
      </c>
      <c r="B491" s="36" t="s">
        <v>12</v>
      </c>
      <c r="C491" s="20" t="s">
        <v>224</v>
      </c>
      <c r="D491" s="4">
        <v>1</v>
      </c>
      <c r="E491" s="15">
        <v>15</v>
      </c>
      <c r="F491" s="15">
        <v>35</v>
      </c>
      <c r="G491" s="18">
        <f>F491-E491</f>
        <v>20</v>
      </c>
      <c r="H491" s="10" t="s">
        <v>274</v>
      </c>
      <c r="I491" s="14" t="s">
        <v>111</v>
      </c>
    </row>
    <row r="492" spans="1:9" x14ac:dyDescent="0.2">
      <c r="A492" s="41">
        <v>11</v>
      </c>
      <c r="B492" s="36" t="s">
        <v>12</v>
      </c>
      <c r="C492" s="3" t="s">
        <v>234</v>
      </c>
      <c r="D492" s="4">
        <v>1</v>
      </c>
      <c r="E492" s="5">
        <v>10</v>
      </c>
      <c r="F492" s="30">
        <v>14.517499999999998</v>
      </c>
      <c r="G492" s="18">
        <f>F492-E492</f>
        <v>4.5174999999999983</v>
      </c>
      <c r="H492" s="10" t="s">
        <v>274</v>
      </c>
      <c r="I492" s="14" t="s">
        <v>198</v>
      </c>
    </row>
    <row r="493" spans="1:9" x14ac:dyDescent="0.2">
      <c r="A493" s="41">
        <v>11</v>
      </c>
      <c r="B493" s="36" t="s">
        <v>12</v>
      </c>
      <c r="C493" s="3" t="s">
        <v>236</v>
      </c>
      <c r="D493" s="4">
        <v>1</v>
      </c>
      <c r="E493" s="5">
        <v>45</v>
      </c>
      <c r="F493" s="30">
        <v>62.45</v>
      </c>
      <c r="G493" s="18">
        <f>F493-E493</f>
        <v>17.450000000000003</v>
      </c>
      <c r="H493" s="10" t="s">
        <v>274</v>
      </c>
      <c r="I493" s="14" t="s">
        <v>198</v>
      </c>
    </row>
    <row r="494" spans="1:9" x14ac:dyDescent="0.2">
      <c r="A494" s="41">
        <v>11</v>
      </c>
      <c r="B494" s="36" t="s">
        <v>12</v>
      </c>
      <c r="C494" s="20" t="s">
        <v>216</v>
      </c>
      <c r="D494" s="4">
        <v>1</v>
      </c>
      <c r="E494" s="15">
        <v>10</v>
      </c>
      <c r="F494" s="15">
        <v>20</v>
      </c>
      <c r="G494" s="18">
        <f>F494-E494</f>
        <v>10</v>
      </c>
      <c r="H494" s="10" t="s">
        <v>274</v>
      </c>
      <c r="I494" s="14" t="s">
        <v>111</v>
      </c>
    </row>
    <row r="495" spans="1:9" x14ac:dyDescent="0.2">
      <c r="A495" s="41">
        <v>11</v>
      </c>
      <c r="B495" s="36" t="s">
        <v>12</v>
      </c>
      <c r="C495" s="20" t="s">
        <v>225</v>
      </c>
      <c r="D495" s="4">
        <v>1</v>
      </c>
      <c r="E495" s="15">
        <v>6</v>
      </c>
      <c r="F495" s="15">
        <v>10</v>
      </c>
      <c r="G495" s="18">
        <f>F495-E495</f>
        <v>4</v>
      </c>
      <c r="H495" s="10" t="s">
        <v>274</v>
      </c>
      <c r="I495" s="14" t="s">
        <v>111</v>
      </c>
    </row>
    <row r="496" spans="1:9" x14ac:dyDescent="0.2">
      <c r="A496" s="41">
        <v>11</v>
      </c>
      <c r="B496" s="36" t="s">
        <v>12</v>
      </c>
      <c r="C496" s="20" t="s">
        <v>222</v>
      </c>
      <c r="D496" s="4">
        <v>1</v>
      </c>
      <c r="E496" s="15">
        <v>13</v>
      </c>
      <c r="F496" s="15">
        <v>25</v>
      </c>
      <c r="G496" s="18">
        <f>F496-E496</f>
        <v>12</v>
      </c>
      <c r="H496" s="10" t="s">
        <v>274</v>
      </c>
      <c r="I496" s="14" t="s">
        <v>111</v>
      </c>
    </row>
    <row r="497" spans="1:9" x14ac:dyDescent="0.2">
      <c r="A497" s="41">
        <v>11</v>
      </c>
      <c r="B497" s="36" t="s">
        <v>12</v>
      </c>
      <c r="C497" s="20" t="s">
        <v>226</v>
      </c>
      <c r="D497" s="4">
        <v>1</v>
      </c>
      <c r="E497" s="15">
        <v>3</v>
      </c>
      <c r="F497" s="15">
        <v>10</v>
      </c>
      <c r="G497" s="18">
        <f>F497-E497</f>
        <v>7</v>
      </c>
      <c r="H497" s="10" t="s">
        <v>274</v>
      </c>
      <c r="I497" s="14" t="s">
        <v>111</v>
      </c>
    </row>
    <row r="498" spans="1:9" x14ac:dyDescent="0.2">
      <c r="A498" s="41">
        <v>11</v>
      </c>
      <c r="B498" s="36" t="s">
        <v>12</v>
      </c>
      <c r="C498" s="20" t="s">
        <v>231</v>
      </c>
      <c r="D498" s="4">
        <v>1</v>
      </c>
      <c r="E498" s="15">
        <v>42</v>
      </c>
      <c r="F498" s="15">
        <v>70</v>
      </c>
      <c r="G498" s="18">
        <f>F498-E498</f>
        <v>28</v>
      </c>
      <c r="H498" s="10" t="s">
        <v>274</v>
      </c>
      <c r="I498" s="14" t="s">
        <v>111</v>
      </c>
    </row>
    <row r="499" spans="1:9" x14ac:dyDescent="0.2">
      <c r="A499" s="41">
        <v>11</v>
      </c>
      <c r="B499" s="36" t="s">
        <v>12</v>
      </c>
      <c r="C499" s="20" t="s">
        <v>227</v>
      </c>
      <c r="D499" s="4">
        <v>1</v>
      </c>
      <c r="E499" s="15">
        <v>15</v>
      </c>
      <c r="F499" s="15">
        <v>30</v>
      </c>
      <c r="G499" s="18">
        <f>F499-E499</f>
        <v>15</v>
      </c>
      <c r="H499" s="10" t="s">
        <v>274</v>
      </c>
      <c r="I499" s="14" t="s">
        <v>111</v>
      </c>
    </row>
    <row r="500" spans="1:9" x14ac:dyDescent="0.2">
      <c r="A500" s="41">
        <v>11</v>
      </c>
      <c r="B500" s="36" t="s">
        <v>12</v>
      </c>
      <c r="C500" s="3" t="s">
        <v>264</v>
      </c>
      <c r="D500" s="4">
        <v>3</v>
      </c>
      <c r="E500" s="5">
        <v>3</v>
      </c>
      <c r="F500" s="30">
        <v>17.79</v>
      </c>
      <c r="G500" s="18">
        <f>F500-E500</f>
        <v>14.79</v>
      </c>
      <c r="H500" s="10" t="s">
        <v>274</v>
      </c>
      <c r="I500" s="14" t="s">
        <v>198</v>
      </c>
    </row>
    <row r="501" spans="1:9" x14ac:dyDescent="0.2">
      <c r="A501" s="41">
        <v>11</v>
      </c>
      <c r="B501" s="36" t="s">
        <v>12</v>
      </c>
      <c r="C501" s="20" t="s">
        <v>229</v>
      </c>
      <c r="D501" s="4">
        <v>1</v>
      </c>
      <c r="E501" s="15">
        <v>40</v>
      </c>
      <c r="F501" s="15">
        <v>60</v>
      </c>
      <c r="G501" s="18">
        <f>F501-E501</f>
        <v>20</v>
      </c>
      <c r="H501" s="10" t="s">
        <v>274</v>
      </c>
      <c r="I501" s="14" t="s">
        <v>111</v>
      </c>
    </row>
    <row r="502" spans="1:9" x14ac:dyDescent="0.2">
      <c r="A502" s="41">
        <v>12</v>
      </c>
      <c r="B502" s="36" t="s">
        <v>13</v>
      </c>
      <c r="C502" s="20" t="s">
        <v>188</v>
      </c>
      <c r="D502" s="4">
        <v>1</v>
      </c>
      <c r="E502" s="15">
        <v>78</v>
      </c>
      <c r="F502" s="15">
        <v>140</v>
      </c>
      <c r="G502" s="18">
        <f>F502-E502</f>
        <v>62</v>
      </c>
      <c r="H502" s="10" t="s">
        <v>274</v>
      </c>
      <c r="I502" s="14" t="s">
        <v>111</v>
      </c>
    </row>
    <row r="503" spans="1:9" x14ac:dyDescent="0.2">
      <c r="A503" s="41">
        <v>12</v>
      </c>
      <c r="B503" s="36" t="s">
        <v>13</v>
      </c>
      <c r="C503" s="20" t="s">
        <v>240</v>
      </c>
      <c r="D503" s="4">
        <v>1</v>
      </c>
      <c r="E503" s="15">
        <v>15</v>
      </c>
      <c r="F503" s="15">
        <v>25</v>
      </c>
      <c r="G503" s="18">
        <f>F503-E503</f>
        <v>10</v>
      </c>
      <c r="H503" s="10" t="s">
        <v>274</v>
      </c>
      <c r="I503" s="14" t="s">
        <v>111</v>
      </c>
    </row>
    <row r="504" spans="1:9" x14ac:dyDescent="0.2">
      <c r="A504" s="41">
        <v>12</v>
      </c>
      <c r="B504" s="36" t="s">
        <v>13</v>
      </c>
      <c r="C504" s="20" t="s">
        <v>270</v>
      </c>
      <c r="D504" s="4">
        <v>1</v>
      </c>
      <c r="E504" s="15">
        <v>17</v>
      </c>
      <c r="F504" s="15">
        <v>30</v>
      </c>
      <c r="G504" s="18">
        <f>F504-E504</f>
        <v>13</v>
      </c>
      <c r="H504" s="10" t="s">
        <v>274</v>
      </c>
      <c r="I504" s="14" t="s">
        <v>111</v>
      </c>
    </row>
    <row r="505" spans="1:9" x14ac:dyDescent="0.2">
      <c r="A505" s="41">
        <v>12</v>
      </c>
      <c r="B505" s="36" t="s">
        <v>13</v>
      </c>
      <c r="C505" s="20" t="s">
        <v>269</v>
      </c>
      <c r="D505" s="4">
        <v>1</v>
      </c>
      <c r="E505" s="15">
        <v>7.5</v>
      </c>
      <c r="F505" s="15">
        <v>18</v>
      </c>
      <c r="G505" s="18">
        <f>F505-E505</f>
        <v>10.5</v>
      </c>
      <c r="H505" s="10" t="s">
        <v>274</v>
      </c>
      <c r="I505" s="14" t="s">
        <v>111</v>
      </c>
    </row>
    <row r="506" spans="1:9" x14ac:dyDescent="0.2">
      <c r="A506" s="41">
        <v>12</v>
      </c>
      <c r="B506" s="36" t="s">
        <v>13</v>
      </c>
      <c r="C506" s="20" t="s">
        <v>271</v>
      </c>
      <c r="D506" s="4">
        <v>1</v>
      </c>
      <c r="E506" s="15">
        <v>17</v>
      </c>
      <c r="F506" s="15">
        <v>35</v>
      </c>
      <c r="G506" s="18">
        <f>F506-E506</f>
        <v>18</v>
      </c>
      <c r="H506" s="10" t="s">
        <v>274</v>
      </c>
      <c r="I506" s="14" t="s">
        <v>111</v>
      </c>
    </row>
    <row r="507" spans="1:9" x14ac:dyDescent="0.2">
      <c r="A507" s="41">
        <v>12</v>
      </c>
      <c r="B507" s="36" t="s">
        <v>13</v>
      </c>
      <c r="C507" s="20" t="s">
        <v>127</v>
      </c>
      <c r="D507" s="4">
        <v>1</v>
      </c>
      <c r="E507" s="15">
        <v>12</v>
      </c>
      <c r="F507" s="15">
        <v>23</v>
      </c>
      <c r="G507" s="18">
        <f>F507-E507</f>
        <v>11</v>
      </c>
      <c r="H507" s="10" t="s">
        <v>274</v>
      </c>
      <c r="I507" s="14" t="s">
        <v>111</v>
      </c>
    </row>
    <row r="508" spans="1:9" x14ac:dyDescent="0.2">
      <c r="A508" s="41">
        <v>12</v>
      </c>
      <c r="B508" s="36" t="s">
        <v>13</v>
      </c>
      <c r="C508" s="20" t="s">
        <v>115</v>
      </c>
      <c r="D508" s="4">
        <v>1</v>
      </c>
      <c r="E508" s="15">
        <v>3.5</v>
      </c>
      <c r="F508" s="15">
        <v>10</v>
      </c>
      <c r="G508" s="18">
        <f>F508-E508</f>
        <v>6.5</v>
      </c>
      <c r="H508" s="10" t="s">
        <v>274</v>
      </c>
      <c r="I508" s="14" t="s">
        <v>111</v>
      </c>
    </row>
    <row r="509" spans="1:9" x14ac:dyDescent="0.2">
      <c r="A509" s="41">
        <v>12</v>
      </c>
      <c r="B509" s="36" t="s">
        <v>13</v>
      </c>
      <c r="C509" s="20" t="s">
        <v>268</v>
      </c>
      <c r="D509" s="4">
        <v>1</v>
      </c>
      <c r="E509" s="15">
        <v>15</v>
      </c>
      <c r="F509" s="15">
        <v>30</v>
      </c>
      <c r="G509" s="18">
        <f>F509-E509</f>
        <v>15</v>
      </c>
      <c r="H509" s="10" t="s">
        <v>274</v>
      </c>
      <c r="I509" s="14" t="s">
        <v>111</v>
      </c>
    </row>
    <row r="510" spans="1:9" x14ac:dyDescent="0.2">
      <c r="A510" s="41">
        <v>12</v>
      </c>
      <c r="B510" s="36" t="s">
        <v>13</v>
      </c>
      <c r="C510" s="31" t="s">
        <v>239</v>
      </c>
      <c r="D510" s="4">
        <v>2</v>
      </c>
      <c r="E510" s="15">
        <v>15</v>
      </c>
      <c r="F510" s="15">
        <v>18</v>
      </c>
      <c r="G510" s="18">
        <f>F510-E510</f>
        <v>3</v>
      </c>
      <c r="H510" s="10" t="s">
        <v>274</v>
      </c>
      <c r="I510" s="32" t="s">
        <v>241</v>
      </c>
    </row>
    <row r="511" spans="1:9" x14ac:dyDescent="0.2">
      <c r="A511" s="41">
        <v>12</v>
      </c>
      <c r="B511" s="36" t="s">
        <v>13</v>
      </c>
      <c r="C511" s="20" t="s">
        <v>215</v>
      </c>
      <c r="D511" s="4">
        <v>1</v>
      </c>
      <c r="E511" s="15">
        <v>65</v>
      </c>
      <c r="F511" s="15">
        <v>91</v>
      </c>
      <c r="G511" s="18">
        <f>F511-E511</f>
        <v>26</v>
      </c>
      <c r="H511" s="10" t="s">
        <v>274</v>
      </c>
      <c r="I511" s="32" t="s">
        <v>241</v>
      </c>
    </row>
    <row r="512" spans="1:9" x14ac:dyDescent="0.2">
      <c r="A512" s="41">
        <v>12</v>
      </c>
      <c r="B512" s="36" t="s">
        <v>13</v>
      </c>
      <c r="C512" s="20" t="s">
        <v>267</v>
      </c>
      <c r="D512" s="33">
        <v>1</v>
      </c>
      <c r="E512" s="15"/>
      <c r="F512" s="15">
        <v>9.42</v>
      </c>
      <c r="G512" s="18">
        <f>F512-E512</f>
        <v>9.42</v>
      </c>
      <c r="H512" s="10" t="s">
        <v>274</v>
      </c>
      <c r="I512" s="32" t="s">
        <v>241</v>
      </c>
    </row>
    <row r="513" spans="1:9" x14ac:dyDescent="0.2">
      <c r="A513" s="41">
        <v>12</v>
      </c>
      <c r="B513" s="36" t="s">
        <v>13</v>
      </c>
      <c r="C513" s="20" t="s">
        <v>180</v>
      </c>
      <c r="D513" s="4">
        <v>1</v>
      </c>
      <c r="E513" s="15">
        <v>3</v>
      </c>
      <c r="F513" s="15">
        <v>5</v>
      </c>
      <c r="G513" s="18">
        <f>F513-E513</f>
        <v>2</v>
      </c>
      <c r="H513" s="10" t="s">
        <v>274</v>
      </c>
      <c r="I513" s="32" t="s">
        <v>241</v>
      </c>
    </row>
    <row r="514" spans="1:9" x14ac:dyDescent="0.2">
      <c r="A514" s="41">
        <v>12</v>
      </c>
      <c r="B514" s="36" t="s">
        <v>13</v>
      </c>
      <c r="C514" s="20" t="s">
        <v>255</v>
      </c>
      <c r="D514" s="4">
        <v>1</v>
      </c>
      <c r="E514" s="15">
        <v>65</v>
      </c>
      <c r="F514" s="15">
        <v>81</v>
      </c>
      <c r="G514" s="18">
        <f>F514-E514</f>
        <v>16</v>
      </c>
      <c r="H514" s="10" t="s">
        <v>274</v>
      </c>
      <c r="I514" s="32" t="s">
        <v>241</v>
      </c>
    </row>
    <row r="515" spans="1:9" x14ac:dyDescent="0.2">
      <c r="A515" s="41">
        <v>12</v>
      </c>
      <c r="B515" s="36" t="s">
        <v>13</v>
      </c>
      <c r="C515" s="20" t="s">
        <v>255</v>
      </c>
      <c r="D515" s="4">
        <v>1</v>
      </c>
      <c r="E515" s="15">
        <v>65</v>
      </c>
      <c r="F515" s="15">
        <v>81</v>
      </c>
      <c r="G515" s="18">
        <f>F515-E515</f>
        <v>16</v>
      </c>
      <c r="H515" s="10" t="s">
        <v>274</v>
      </c>
      <c r="I515" s="32" t="s">
        <v>241</v>
      </c>
    </row>
    <row r="516" spans="1:9" x14ac:dyDescent="0.2">
      <c r="A516" s="41">
        <v>12</v>
      </c>
      <c r="B516" s="36" t="s">
        <v>13</v>
      </c>
      <c r="C516" s="20" t="s">
        <v>209</v>
      </c>
      <c r="D516" s="4">
        <v>1</v>
      </c>
      <c r="E516" s="15">
        <v>1.5</v>
      </c>
      <c r="F516" s="15">
        <v>7.8</v>
      </c>
      <c r="G516" s="18">
        <f>F516-E516</f>
        <v>6.3</v>
      </c>
      <c r="H516" s="10" t="s">
        <v>274</v>
      </c>
      <c r="I516" s="32" t="s">
        <v>241</v>
      </c>
    </row>
    <row r="517" spans="1:9" x14ac:dyDescent="0.2">
      <c r="A517" s="41">
        <v>12</v>
      </c>
      <c r="B517" s="36" t="s">
        <v>13</v>
      </c>
      <c r="C517" s="20" t="s">
        <v>266</v>
      </c>
      <c r="D517" s="4">
        <v>1</v>
      </c>
      <c r="E517" s="15">
        <v>10</v>
      </c>
      <c r="F517" s="15">
        <v>15.19</v>
      </c>
      <c r="G517" s="18">
        <f>F517-E517</f>
        <v>5.1899999999999995</v>
      </c>
      <c r="H517" s="10" t="s">
        <v>274</v>
      </c>
      <c r="I517" s="32" t="s">
        <v>241</v>
      </c>
    </row>
    <row r="518" spans="1:9" x14ac:dyDescent="0.2">
      <c r="A518" s="41">
        <v>12</v>
      </c>
      <c r="B518" s="36" t="s">
        <v>13</v>
      </c>
      <c r="C518" s="20" t="s">
        <v>265</v>
      </c>
      <c r="D518" s="4">
        <v>1</v>
      </c>
      <c r="E518" s="15">
        <v>4</v>
      </c>
      <c r="F518" s="15">
        <v>9</v>
      </c>
      <c r="G518" s="18">
        <f>F518-E518</f>
        <v>5</v>
      </c>
      <c r="H518" s="10" t="s">
        <v>274</v>
      </c>
      <c r="I518" s="32" t="s">
        <v>241</v>
      </c>
    </row>
    <row r="519" spans="1:9" x14ac:dyDescent="0.2">
      <c r="A519" s="41">
        <v>12</v>
      </c>
      <c r="B519" s="36" t="s">
        <v>13</v>
      </c>
      <c r="C519" s="20" t="s">
        <v>215</v>
      </c>
      <c r="D519" s="4">
        <v>1</v>
      </c>
      <c r="E519" s="15">
        <v>65</v>
      </c>
      <c r="F519" s="15">
        <v>93</v>
      </c>
      <c r="G519" s="18">
        <f>F519-E519</f>
        <v>28</v>
      </c>
      <c r="H519" s="10" t="s">
        <v>274</v>
      </c>
      <c r="I519" s="14" t="s">
        <v>242</v>
      </c>
    </row>
    <row r="520" spans="1:9" x14ac:dyDescent="0.2">
      <c r="A520" s="41">
        <v>12</v>
      </c>
      <c r="B520" s="36" t="s">
        <v>13</v>
      </c>
      <c r="C520" s="20"/>
      <c r="D520" s="4"/>
      <c r="E520" s="15"/>
      <c r="F520" s="15"/>
      <c r="G520" s="18">
        <f>F520-E520</f>
        <v>0</v>
      </c>
      <c r="H520" s="10"/>
      <c r="I520" s="14"/>
    </row>
    <row r="521" spans="1:9" x14ac:dyDescent="0.2">
      <c r="A521" s="41">
        <v>12</v>
      </c>
      <c r="B521" s="36" t="s">
        <v>13</v>
      </c>
      <c r="C521" s="20"/>
      <c r="D521" s="4"/>
      <c r="E521" s="15"/>
      <c r="F521" s="15"/>
      <c r="G521" s="18">
        <f>F521-E521</f>
        <v>0</v>
      </c>
      <c r="H521" s="10"/>
      <c r="I521" s="14"/>
    </row>
    <row r="522" spans="1:9" x14ac:dyDescent="0.2">
      <c r="A522" s="41">
        <v>12</v>
      </c>
      <c r="B522" s="36" t="s">
        <v>13</v>
      </c>
      <c r="C522" s="20"/>
      <c r="D522" s="4"/>
      <c r="E522" s="15"/>
      <c r="F522" s="15"/>
      <c r="G522" s="18">
        <f>F522-E522</f>
        <v>0</v>
      </c>
      <c r="H522" s="10"/>
      <c r="I522" s="14"/>
    </row>
    <row r="523" spans="1:9" x14ac:dyDescent="0.2">
      <c r="A523" s="41">
        <v>12</v>
      </c>
      <c r="B523" s="36" t="s">
        <v>13</v>
      </c>
      <c r="C523" s="20"/>
      <c r="D523" s="4"/>
      <c r="E523" s="15"/>
      <c r="F523" s="15"/>
      <c r="G523" s="18">
        <f>F523-E523</f>
        <v>0</v>
      </c>
      <c r="H523" s="10"/>
      <c r="I523" s="14"/>
    </row>
    <row r="524" spans="1:9" x14ac:dyDescent="0.2">
      <c r="A524" s="41">
        <v>12</v>
      </c>
      <c r="B524" s="36" t="s">
        <v>13</v>
      </c>
      <c r="C524" s="20"/>
      <c r="D524" s="4"/>
      <c r="E524" s="15"/>
      <c r="F524" s="15"/>
      <c r="G524" s="18">
        <f>F524-E524</f>
        <v>0</v>
      </c>
      <c r="H524" s="10"/>
      <c r="I524" s="14"/>
    </row>
    <row r="525" spans="1:9" x14ac:dyDescent="0.2">
      <c r="A525" s="41">
        <v>12</v>
      </c>
      <c r="B525" s="36" t="s">
        <v>13</v>
      </c>
      <c r="C525" s="20"/>
      <c r="D525" s="4"/>
      <c r="E525" s="15"/>
      <c r="F525" s="15"/>
      <c r="G525" s="18">
        <f>F525-E525</f>
        <v>0</v>
      </c>
      <c r="H525" s="10"/>
      <c r="I525" s="14"/>
    </row>
    <row r="526" spans="1:9" x14ac:dyDescent="0.2">
      <c r="A526" s="41">
        <v>12</v>
      </c>
      <c r="B526" s="36" t="s">
        <v>13</v>
      </c>
      <c r="C526" s="20"/>
      <c r="D526" s="4"/>
      <c r="E526" s="15"/>
      <c r="F526" s="15"/>
      <c r="G526" s="18">
        <f>F526-E526</f>
        <v>0</v>
      </c>
      <c r="H526" s="10"/>
      <c r="I526" s="14"/>
    </row>
    <row r="527" spans="1:9" x14ac:dyDescent="0.2">
      <c r="A527" s="41">
        <v>12</v>
      </c>
      <c r="B527" s="36" t="s">
        <v>13</v>
      </c>
      <c r="C527" s="20"/>
      <c r="D527" s="4"/>
      <c r="E527" s="15"/>
      <c r="F527" s="15"/>
      <c r="G527" s="18">
        <f>F527-E527</f>
        <v>0</v>
      </c>
      <c r="H527" s="10"/>
      <c r="I527" s="14"/>
    </row>
    <row r="528" spans="1:9" x14ac:dyDescent="0.2">
      <c r="A528" s="41">
        <v>12</v>
      </c>
      <c r="B528" s="36" t="s">
        <v>13</v>
      </c>
      <c r="C528" s="20"/>
      <c r="D528" s="4"/>
      <c r="E528" s="15"/>
      <c r="F528" s="15"/>
      <c r="G528" s="18">
        <f>F528-E528</f>
        <v>0</v>
      </c>
      <c r="H528" s="10"/>
      <c r="I528" s="14"/>
    </row>
    <row r="529" spans="1:9" x14ac:dyDescent="0.2">
      <c r="A529" s="41">
        <v>12</v>
      </c>
      <c r="B529" s="36" t="s">
        <v>13</v>
      </c>
      <c r="C529" s="20"/>
      <c r="D529" s="4"/>
      <c r="E529" s="15"/>
      <c r="F529" s="15"/>
      <c r="G529" s="18">
        <f>F529-E529</f>
        <v>0</v>
      </c>
      <c r="H529" s="10"/>
      <c r="I529" s="14"/>
    </row>
    <row r="530" spans="1:9" x14ac:dyDescent="0.2">
      <c r="A530" s="41">
        <v>12</v>
      </c>
      <c r="B530" s="36" t="s">
        <v>13</v>
      </c>
      <c r="C530" s="20"/>
      <c r="D530" s="4"/>
      <c r="E530" s="15"/>
      <c r="F530" s="15"/>
      <c r="G530" s="18">
        <f>F530-E530</f>
        <v>0</v>
      </c>
      <c r="H530" s="10"/>
      <c r="I530" s="14"/>
    </row>
    <row r="531" spans="1:9" x14ac:dyDescent="0.2">
      <c r="A531" s="41">
        <v>12</v>
      </c>
      <c r="B531" s="36" t="s">
        <v>13</v>
      </c>
      <c r="C531" s="20"/>
      <c r="D531" s="4"/>
      <c r="E531" s="15"/>
      <c r="F531" s="15"/>
      <c r="G531" s="18"/>
      <c r="H531" s="10"/>
      <c r="I531" s="14"/>
    </row>
    <row r="532" spans="1:9" x14ac:dyDescent="0.2">
      <c r="A532" s="41"/>
      <c r="B532" s="36"/>
      <c r="C532" s="20"/>
      <c r="D532" s="4"/>
      <c r="E532" s="15"/>
      <c r="F532" s="15"/>
      <c r="G532" s="15"/>
      <c r="H532" s="10"/>
      <c r="I532" s="14"/>
    </row>
    <row r="533" spans="1:9" x14ac:dyDescent="0.2">
      <c r="A533" s="41"/>
      <c r="B533" s="36"/>
      <c r="C533" s="20"/>
      <c r="D533" s="4"/>
      <c r="E533" s="15"/>
      <c r="F533" s="15"/>
      <c r="G533" s="15"/>
      <c r="H533" s="10"/>
      <c r="I533" s="14"/>
    </row>
    <row r="534" spans="1:9" x14ac:dyDescent="0.2">
      <c r="A534" s="41"/>
      <c r="B534" s="36"/>
      <c r="C534" s="20"/>
      <c r="D534" s="4">
        <f>SUM(D502:D519)</f>
        <v>19</v>
      </c>
      <c r="E534" s="15"/>
      <c r="F534" s="4">
        <f>SUM(F502:F519)</f>
        <v>721.41000000000008</v>
      </c>
      <c r="G534" s="4">
        <f>SUM(G502:G519)</f>
        <v>262.90999999999997</v>
      </c>
      <c r="H534" s="10"/>
      <c r="I534" s="14"/>
    </row>
    <row r="535" spans="1:9" x14ac:dyDescent="0.2">
      <c r="A535" s="41"/>
      <c r="B535" s="36"/>
      <c r="C535" s="20"/>
      <c r="D535" s="4"/>
      <c r="E535" s="15"/>
      <c r="F535" s="15"/>
      <c r="G535" s="18"/>
      <c r="H535" s="10"/>
      <c r="I535" s="14"/>
    </row>
    <row r="536" spans="1:9" x14ac:dyDescent="0.2">
      <c r="A536" s="41"/>
      <c r="B536" s="36"/>
      <c r="C536" s="20"/>
      <c r="D536" s="4"/>
      <c r="E536" s="15"/>
      <c r="F536" s="15"/>
      <c r="G536" s="18"/>
      <c r="H536" s="10"/>
      <c r="I536" s="14"/>
    </row>
    <row r="537" spans="1:9" x14ac:dyDescent="0.2">
      <c r="A537" s="41"/>
      <c r="B537" s="36"/>
      <c r="C537" s="20"/>
      <c r="D537" s="4"/>
      <c r="E537" s="15"/>
      <c r="F537" s="15"/>
      <c r="G537" s="18"/>
      <c r="H537" s="10"/>
      <c r="I537" s="14"/>
    </row>
    <row r="538" spans="1:9" x14ac:dyDescent="0.2">
      <c r="A538" s="41"/>
      <c r="B538" s="36"/>
      <c r="C538" s="20"/>
      <c r="D538" s="4"/>
      <c r="E538" s="15"/>
      <c r="F538" s="15"/>
      <c r="G538" s="18"/>
      <c r="H538" s="10"/>
      <c r="I538" s="14"/>
    </row>
    <row r="539" spans="1:9" x14ac:dyDescent="0.2">
      <c r="A539" s="41"/>
      <c r="B539" s="36"/>
      <c r="C539" s="20"/>
      <c r="D539" s="4"/>
      <c r="E539" s="15"/>
      <c r="F539" s="15"/>
      <c r="G539" s="18"/>
      <c r="H539" s="10"/>
      <c r="I539" s="14"/>
    </row>
    <row r="540" spans="1:9" x14ac:dyDescent="0.2">
      <c r="A540" s="41"/>
      <c r="B540" s="36"/>
      <c r="C540" s="20"/>
      <c r="D540" s="4"/>
      <c r="E540" s="15"/>
      <c r="F540" s="15"/>
      <c r="G540" s="18"/>
      <c r="H540" s="10"/>
      <c r="I540" s="14"/>
    </row>
    <row r="541" spans="1:9" x14ac:dyDescent="0.2">
      <c r="A541" s="41"/>
      <c r="B541" s="36"/>
      <c r="C541" s="20"/>
      <c r="D541" s="4"/>
      <c r="E541" s="15"/>
      <c r="F541" s="15"/>
      <c r="G541" s="18"/>
      <c r="H541" s="10"/>
      <c r="I541" s="14"/>
    </row>
    <row r="542" spans="1:9" x14ac:dyDescent="0.2">
      <c r="A542" s="41"/>
      <c r="B542" s="36"/>
      <c r="C542" s="20"/>
      <c r="D542" s="4"/>
      <c r="E542" s="15"/>
      <c r="F542" s="15"/>
      <c r="G542" s="18"/>
      <c r="H542" s="10"/>
      <c r="I542" s="14"/>
    </row>
    <row r="543" spans="1:9" x14ac:dyDescent="0.2">
      <c r="A543" s="41"/>
      <c r="B543" s="36"/>
      <c r="C543" s="20"/>
      <c r="D543" s="4"/>
      <c r="E543" s="15"/>
      <c r="F543" s="15"/>
      <c r="G543" s="18"/>
      <c r="H543" s="10"/>
      <c r="I543" s="14"/>
    </row>
    <row r="544" spans="1:9" x14ac:dyDescent="0.2">
      <c r="A544" s="41"/>
      <c r="B544" s="36"/>
      <c r="C544" s="20"/>
      <c r="D544" s="4"/>
      <c r="E544" s="15"/>
      <c r="F544" s="15"/>
      <c r="G544" s="18"/>
      <c r="H544" s="10"/>
      <c r="I544" s="14"/>
    </row>
    <row r="545" spans="1:9" x14ac:dyDescent="0.2">
      <c r="A545" s="41"/>
      <c r="B545" s="36"/>
      <c r="C545" s="20"/>
      <c r="D545" s="4"/>
      <c r="E545" s="15"/>
      <c r="F545" s="15"/>
      <c r="G545" s="18"/>
      <c r="H545" s="10"/>
      <c r="I545" s="14"/>
    </row>
    <row r="546" spans="1:9" x14ac:dyDescent="0.2">
      <c r="A546" s="41"/>
      <c r="B546" s="36"/>
      <c r="C546" s="20"/>
      <c r="D546" s="4"/>
      <c r="E546" s="15"/>
      <c r="F546" s="15"/>
      <c r="G546" s="18"/>
      <c r="H546" s="10"/>
      <c r="I546" s="14"/>
    </row>
    <row r="547" spans="1:9" x14ac:dyDescent="0.2">
      <c r="A547" s="41"/>
      <c r="B547" s="36"/>
      <c r="C547" s="20"/>
      <c r="D547" s="4"/>
      <c r="E547" s="15"/>
      <c r="F547" s="15"/>
      <c r="G547" s="18"/>
      <c r="H547" s="10"/>
      <c r="I547" s="14"/>
    </row>
    <row r="548" spans="1:9" x14ac:dyDescent="0.2">
      <c r="A548" s="41"/>
      <c r="B548" s="36"/>
      <c r="C548" s="20"/>
      <c r="D548" s="4"/>
      <c r="E548" s="15"/>
      <c r="F548" s="15"/>
      <c r="G548" s="18"/>
      <c r="H548" s="10"/>
      <c r="I548" s="14"/>
    </row>
    <row r="549" spans="1:9" x14ac:dyDescent="0.2">
      <c r="A549" s="41"/>
      <c r="B549" s="36"/>
      <c r="C549" s="20"/>
      <c r="D549" s="4"/>
      <c r="E549" s="15"/>
      <c r="F549" s="15"/>
      <c r="G549" s="18"/>
      <c r="H549" s="10"/>
      <c r="I549" s="14"/>
    </row>
    <row r="550" spans="1:9" x14ac:dyDescent="0.2">
      <c r="A550" s="41"/>
      <c r="B550" s="36"/>
      <c r="C550" s="20"/>
      <c r="D550" s="4"/>
      <c r="E550" s="15"/>
      <c r="F550" s="15"/>
      <c r="G550" s="18"/>
      <c r="H550" s="10"/>
      <c r="I550" s="14"/>
    </row>
    <row r="551" spans="1:9" x14ac:dyDescent="0.2">
      <c r="A551" s="41"/>
      <c r="B551" s="36"/>
      <c r="C551" s="20"/>
      <c r="D551" s="4"/>
      <c r="E551" s="15"/>
      <c r="F551" s="15"/>
      <c r="G551" s="18"/>
      <c r="H551" s="10"/>
      <c r="I551" s="14"/>
    </row>
    <row r="552" spans="1:9" x14ac:dyDescent="0.2">
      <c r="A552" s="41"/>
      <c r="B552" s="36"/>
      <c r="C552" s="20"/>
      <c r="D552" s="4"/>
      <c r="E552" s="15"/>
      <c r="F552" s="15"/>
      <c r="G552" s="18"/>
      <c r="H552" s="10"/>
      <c r="I552" s="14"/>
    </row>
    <row r="553" spans="1:9" x14ac:dyDescent="0.2">
      <c r="A553" s="41"/>
      <c r="B553" s="36"/>
      <c r="C553" s="20"/>
      <c r="D553" s="4"/>
      <c r="E553" s="15"/>
      <c r="F553" s="15"/>
      <c r="G553" s="18"/>
      <c r="H553" s="10"/>
      <c r="I553" s="14"/>
    </row>
  </sheetData>
  <autoFilter ref="A1:I531" xr:uid="{00000000-0001-0000-0200-000000000000}">
    <sortState xmlns:xlrd2="http://schemas.microsoft.com/office/spreadsheetml/2017/richdata2" ref="A2:I531">
      <sortCondition ref="A1:A531"/>
    </sortState>
  </autoFilter>
  <dataConsolidate/>
  <phoneticPr fontId="3" type="noConversion"/>
  <conditionalFormatting sqref="A2:A287">
    <cfRule type="expression" dxfId="33" priority="10">
      <formula>G2 = "Vendido"</formula>
    </cfRule>
    <cfRule type="expression" dxfId="32" priority="11">
      <formula>G2 = "Estoque"</formula>
    </cfRule>
    <cfRule type="expression" dxfId="31" priority="12">
      <formula>G2 = "Pendente"</formula>
    </cfRule>
    <cfRule type="expression" dxfId="30" priority="13">
      <formula>G2 = "Tem que compra"</formula>
    </cfRule>
    <cfRule type="expression" dxfId="29" priority="14">
      <formula>G2 = "Atacado"</formula>
    </cfRule>
    <cfRule type="expression" dxfId="28" priority="15">
      <formula>G2 = "Loja"</formula>
    </cfRule>
  </conditionalFormatting>
  <conditionalFormatting sqref="A288:A357">
    <cfRule type="expression" dxfId="27" priority="7">
      <formula>F288 = "Pendente"</formula>
    </cfRule>
    <cfRule type="expression" dxfId="26" priority="8">
      <formula>F288 = "Estoque"</formula>
    </cfRule>
    <cfRule type="expression" dxfId="25" priority="9" stopIfTrue="1">
      <formula>F288 = "Vendido"</formula>
    </cfRule>
  </conditionalFormatting>
  <conditionalFormatting sqref="A358:A553">
    <cfRule type="expression" dxfId="24" priority="1">
      <formula>G358 = "Vendido"</formula>
    </cfRule>
    <cfRule type="expression" dxfId="23" priority="2">
      <formula>G358 = "Estoque"</formula>
    </cfRule>
    <cfRule type="expression" dxfId="22" priority="3">
      <formula>G358 = "Pendente"</formula>
    </cfRule>
    <cfRule type="expression" dxfId="21" priority="4">
      <formula>G358 = "Tem que compra"</formula>
    </cfRule>
    <cfRule type="expression" dxfId="20" priority="5">
      <formula>G358 = "Atacado"</formula>
    </cfRule>
    <cfRule type="expression" dxfId="19" priority="6">
      <formula>G358 = "Loja"</formula>
    </cfRule>
  </conditionalFormatting>
  <conditionalFormatting sqref="B1:B1048576">
    <cfRule type="expression" dxfId="18" priority="16">
      <formula>H1 = "Vendido"</formula>
    </cfRule>
    <cfRule type="expression" dxfId="17" priority="17">
      <formula>H1 = "Estoque"</formula>
    </cfRule>
    <cfRule type="expression" dxfId="16" priority="18">
      <formula>H1 = "Pendente"</formula>
    </cfRule>
    <cfRule type="expression" dxfId="15" priority="19">
      <formula>H1 = "Tem que compra"</formula>
    </cfRule>
    <cfRule type="expression" dxfId="14" priority="20">
      <formula>H1 = "Atacado"</formula>
    </cfRule>
    <cfRule type="expression" dxfId="13" priority="21">
      <formula>H1 = "Loja"</formula>
    </cfRule>
  </conditionalFormatting>
  <conditionalFormatting sqref="C1:C1048576">
    <cfRule type="expression" dxfId="12" priority="107">
      <formula>H1 = "Pendente"</formula>
    </cfRule>
    <cfRule type="expression" dxfId="11" priority="228">
      <formula>H1 = "Estoque"</formula>
    </cfRule>
    <cfRule type="expression" dxfId="10" priority="237" stopIfTrue="1">
      <formula>H1 = "Vendido"</formula>
    </cfRule>
  </conditionalFormatting>
  <conditionalFormatting sqref="C494">
    <cfRule type="expression" dxfId="9" priority="7310">
      <formula>H495 = "Pendente"</formula>
    </cfRule>
    <cfRule type="expression" dxfId="8" priority="7311">
      <formula>H495 = "Estoque"</formula>
    </cfRule>
    <cfRule type="expression" dxfId="7" priority="7312" stopIfTrue="1">
      <formula>H495 = "Vendido"</formula>
    </cfRule>
  </conditionalFormatting>
  <conditionalFormatting sqref="H1:H1048576">
    <cfRule type="expression" dxfId="6" priority="120">
      <formula>H1 = "Estoque"</formula>
    </cfRule>
    <cfRule type="expression" dxfId="5" priority="123">
      <formula>H1 = "Vendido"</formula>
    </cfRule>
    <cfRule type="expression" dxfId="4" priority="124">
      <formula>H1 = "Pendente"</formula>
    </cfRule>
  </conditionalFormatting>
  <conditionalFormatting sqref="I1:I1048576">
    <cfRule type="expression" dxfId="3" priority="108">
      <formula>I1 = "Shopee CPF"</formula>
    </cfRule>
    <cfRule type="expression" dxfId="2" priority="116">
      <formula>I1 = "Magalu"</formula>
    </cfRule>
    <cfRule type="expression" dxfId="1" priority="117">
      <formula>I1 = "BSB"</formula>
    </cfRule>
    <cfRule type="expression" dxfId="0" priority="118">
      <formula>I1 = "Shopee CNPJ"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62566-FF24-4585-B712-7D464BE43E10}">
  <dimension ref="A1:M22"/>
  <sheetViews>
    <sheetView zoomScale="130" zoomScaleNormal="130" workbookViewId="0">
      <selection activeCell="A3" sqref="A3"/>
    </sheetView>
  </sheetViews>
  <sheetFormatPr defaultRowHeight="15" x14ac:dyDescent="0.25"/>
  <cols>
    <col min="1" max="7" width="11.42578125" customWidth="1"/>
    <col min="11" max="13" width="9.85546875" customWidth="1"/>
  </cols>
  <sheetData>
    <row r="1" spans="1:13" ht="27" customHeight="1" x14ac:dyDescent="0.25">
      <c r="A1" s="46" t="s">
        <v>68</v>
      </c>
      <c r="B1" s="46"/>
      <c r="C1" s="46"/>
      <c r="D1" s="2"/>
      <c r="E1" s="46" t="s">
        <v>73</v>
      </c>
      <c r="F1" s="46"/>
      <c r="G1" s="46"/>
      <c r="K1" s="47" t="s">
        <v>69</v>
      </c>
      <c r="L1" s="47"/>
      <c r="M1" s="47"/>
    </row>
    <row r="2" spans="1:13" x14ac:dyDescent="0.25">
      <c r="A2" s="26" t="s">
        <v>66</v>
      </c>
      <c r="B2" s="26" t="s">
        <v>67</v>
      </c>
      <c r="C2" s="26" t="s">
        <v>14</v>
      </c>
      <c r="D2" s="2"/>
      <c r="E2" s="26" t="s">
        <v>66</v>
      </c>
      <c r="F2" s="26" t="s">
        <v>67</v>
      </c>
      <c r="G2" s="26" t="s">
        <v>14</v>
      </c>
      <c r="K2" s="23">
        <v>1</v>
      </c>
      <c r="L2" s="23">
        <v>2</v>
      </c>
      <c r="M2" s="23">
        <v>3</v>
      </c>
    </row>
    <row r="3" spans="1:13" x14ac:dyDescent="0.25">
      <c r="A3" s="1"/>
      <c r="B3" s="1"/>
      <c r="C3" s="1"/>
      <c r="D3" s="2"/>
      <c r="E3" s="1"/>
      <c r="F3" s="1"/>
      <c r="G3" s="1"/>
      <c r="K3" s="23">
        <v>4</v>
      </c>
      <c r="L3" s="23">
        <v>5</v>
      </c>
      <c r="M3" s="23">
        <v>6</v>
      </c>
    </row>
    <row r="4" spans="1:13" x14ac:dyDescent="0.25">
      <c r="A4" s="1"/>
      <c r="B4" s="1"/>
      <c r="C4" s="1"/>
      <c r="D4" s="2"/>
      <c r="E4" s="1"/>
      <c r="F4" s="1"/>
      <c r="G4" s="1"/>
      <c r="K4" s="23">
        <v>7</v>
      </c>
      <c r="L4" s="23">
        <v>8</v>
      </c>
      <c r="M4" s="23">
        <v>9</v>
      </c>
    </row>
    <row r="5" spans="1:13" x14ac:dyDescent="0.25">
      <c r="A5" s="1"/>
      <c r="B5" s="1"/>
      <c r="C5" s="1"/>
      <c r="D5" s="2"/>
      <c r="E5" s="1"/>
      <c r="F5" s="1"/>
      <c r="G5" s="1"/>
      <c r="K5" s="23">
        <v>10</v>
      </c>
      <c r="L5" s="23">
        <v>11</v>
      </c>
      <c r="M5" s="23">
        <v>12</v>
      </c>
    </row>
    <row r="6" spans="1:13" x14ac:dyDescent="0.25">
      <c r="A6" s="1"/>
      <c r="B6" s="1"/>
      <c r="C6" s="1"/>
      <c r="D6" s="2"/>
      <c r="E6" s="1"/>
      <c r="F6" s="1"/>
      <c r="G6" s="1"/>
      <c r="K6" s="23">
        <v>13</v>
      </c>
      <c r="L6" s="23">
        <v>14</v>
      </c>
      <c r="M6" s="23">
        <v>15</v>
      </c>
    </row>
    <row r="7" spans="1:13" x14ac:dyDescent="0.25">
      <c r="A7" s="1"/>
      <c r="B7" s="1"/>
      <c r="C7" s="1"/>
      <c r="D7" s="2"/>
      <c r="E7" s="1"/>
      <c r="F7" s="1"/>
      <c r="G7" s="1"/>
      <c r="K7" s="23">
        <v>16</v>
      </c>
      <c r="L7" s="23">
        <v>17</v>
      </c>
      <c r="M7" s="23">
        <v>18</v>
      </c>
    </row>
    <row r="8" spans="1:13" x14ac:dyDescent="0.25">
      <c r="A8" s="1"/>
      <c r="B8" s="1"/>
      <c r="C8" s="1"/>
      <c r="D8" s="2"/>
      <c r="E8" s="1"/>
      <c r="F8" s="1"/>
      <c r="G8" s="1"/>
      <c r="K8" s="23">
        <v>19</v>
      </c>
      <c r="L8" s="23">
        <v>20</v>
      </c>
      <c r="M8" s="23">
        <v>21</v>
      </c>
    </row>
    <row r="9" spans="1:13" x14ac:dyDescent="0.25">
      <c r="A9" s="1"/>
      <c r="B9" s="1"/>
      <c r="C9" s="1"/>
      <c r="D9" s="2"/>
      <c r="E9" s="1"/>
      <c r="F9" s="1"/>
      <c r="G9" s="1"/>
      <c r="K9" s="23">
        <v>22</v>
      </c>
      <c r="L9" s="23">
        <v>23</v>
      </c>
      <c r="M9" s="23">
        <v>24</v>
      </c>
    </row>
    <row r="10" spans="1:13" x14ac:dyDescent="0.25">
      <c r="A10" s="1"/>
      <c r="B10" s="1"/>
      <c r="C10" s="1"/>
      <c r="D10" s="2"/>
      <c r="E10" s="1"/>
      <c r="F10" s="1"/>
      <c r="G10" s="1"/>
      <c r="K10" s="23">
        <v>25</v>
      </c>
      <c r="L10" s="23">
        <v>26</v>
      </c>
      <c r="M10" s="23">
        <v>27</v>
      </c>
    </row>
    <row r="11" spans="1:13" x14ac:dyDescent="0.25">
      <c r="A11" s="1"/>
      <c r="B11" s="1"/>
      <c r="C11" s="1"/>
      <c r="D11" s="2"/>
      <c r="E11" s="1"/>
      <c r="F11" s="1"/>
      <c r="G11" s="1"/>
      <c r="K11" s="23">
        <v>29</v>
      </c>
      <c r="L11" s="23">
        <v>30</v>
      </c>
      <c r="M11" s="23">
        <v>31</v>
      </c>
    </row>
    <row r="12" spans="1:13" x14ac:dyDescent="0.25">
      <c r="A12" s="1"/>
      <c r="B12" s="1"/>
      <c r="C12" s="1"/>
      <c r="D12" s="2"/>
      <c r="E12" s="1"/>
      <c r="F12" s="1"/>
      <c r="G12" s="1"/>
      <c r="K12" s="48"/>
      <c r="L12" s="48"/>
      <c r="M12" s="48"/>
    </row>
    <row r="13" spans="1:13" x14ac:dyDescent="0.25">
      <c r="A13" s="1"/>
      <c r="B13" s="1"/>
      <c r="C13" s="1"/>
      <c r="D13" s="2"/>
      <c r="E13" s="1"/>
      <c r="F13" s="1"/>
      <c r="G13" s="1"/>
      <c r="K13" s="24"/>
      <c r="L13" s="48" t="s">
        <v>70</v>
      </c>
      <c r="M13" s="48"/>
    </row>
    <row r="14" spans="1:13" x14ac:dyDescent="0.25">
      <c r="A14" s="1"/>
      <c r="B14" s="1"/>
      <c r="C14" s="1"/>
      <c r="D14" s="2"/>
      <c r="E14" s="1"/>
      <c r="F14" s="1"/>
      <c r="G14" s="1"/>
      <c r="K14" s="25"/>
      <c r="L14" s="48" t="s">
        <v>71</v>
      </c>
      <c r="M14" s="48"/>
    </row>
    <row r="15" spans="1:13" x14ac:dyDescent="0.25">
      <c r="A15" s="1"/>
      <c r="B15" s="1"/>
      <c r="C15" s="1"/>
      <c r="D15" s="2"/>
      <c r="E15" s="1"/>
      <c r="F15" s="1"/>
      <c r="G15" s="1"/>
      <c r="K15" s="44" t="s">
        <v>72</v>
      </c>
      <c r="L15" s="44"/>
      <c r="M15" s="44"/>
    </row>
    <row r="16" spans="1:13" x14ac:dyDescent="0.25">
      <c r="A16" s="1"/>
      <c r="B16" s="1"/>
      <c r="C16" s="1"/>
      <c r="D16" s="2"/>
      <c r="E16" s="1"/>
      <c r="F16" s="1"/>
      <c r="G16" s="1"/>
      <c r="K16" s="45"/>
      <c r="L16" s="45"/>
      <c r="M16" s="45"/>
    </row>
    <row r="17" spans="1:13" x14ac:dyDescent="0.25">
      <c r="A17" s="1"/>
      <c r="B17" s="1"/>
      <c r="C17" s="1"/>
      <c r="D17" s="2"/>
      <c r="E17" s="1"/>
      <c r="F17" s="1"/>
      <c r="G17" s="1"/>
      <c r="K17" s="45"/>
      <c r="L17" s="45"/>
      <c r="M17" s="45"/>
    </row>
    <row r="18" spans="1:13" x14ac:dyDescent="0.25">
      <c r="A18" s="1"/>
      <c r="B18" s="1"/>
      <c r="C18" s="1"/>
      <c r="D18" s="2"/>
      <c r="E18" s="1"/>
      <c r="F18" s="1"/>
      <c r="G18" s="1"/>
    </row>
    <row r="19" spans="1:13" x14ac:dyDescent="0.25">
      <c r="A19" s="1"/>
      <c r="B19" s="1"/>
      <c r="C19" s="1"/>
      <c r="D19" s="2"/>
      <c r="E19" s="1"/>
      <c r="F19" s="1"/>
      <c r="G19" s="1"/>
    </row>
    <row r="20" spans="1:13" x14ac:dyDescent="0.25">
      <c r="A20" s="1"/>
      <c r="B20" s="1"/>
      <c r="C20" s="1"/>
      <c r="D20" s="2"/>
      <c r="E20" s="1"/>
      <c r="F20" s="1"/>
      <c r="G20" s="1"/>
    </row>
    <row r="21" spans="1:13" x14ac:dyDescent="0.25">
      <c r="A21" s="1"/>
      <c r="B21" s="1"/>
      <c r="C21" s="1"/>
      <c r="D21" s="2"/>
      <c r="E21" s="1"/>
      <c r="F21" s="1"/>
      <c r="G21" s="1"/>
    </row>
    <row r="22" spans="1:13" x14ac:dyDescent="0.25">
      <c r="A22" s="1"/>
      <c r="B22" s="1"/>
      <c r="C22" s="1"/>
      <c r="D22" s="2"/>
      <c r="E22" s="1"/>
      <c r="F22" s="1"/>
      <c r="G22" s="1"/>
    </row>
  </sheetData>
  <mergeCells count="7">
    <mergeCell ref="K15:M17"/>
    <mergeCell ref="A1:C1"/>
    <mergeCell ref="E1:G1"/>
    <mergeCell ref="K1:M1"/>
    <mergeCell ref="K12:M12"/>
    <mergeCell ref="L14:M14"/>
    <mergeCell ref="L13:M1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Vendas</vt:lpstr>
      <vt:lpstr>Rifas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cunha</dc:creator>
  <cp:lastModifiedBy>leo</cp:lastModifiedBy>
  <dcterms:created xsi:type="dcterms:W3CDTF">2021-01-28T11:21:43Z</dcterms:created>
  <dcterms:modified xsi:type="dcterms:W3CDTF">2026-07-13T21:45:25Z</dcterms:modified>
</cp:coreProperties>
</file>