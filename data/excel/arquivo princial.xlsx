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o\Documents\https-github.com-leonccunha21-mei-pro-web\data\excel\"/>
    </mc:Choice>
  </mc:AlternateContent>
  <xr:revisionPtr revIDLastSave="0" documentId="13_ncr:1_{E1D26C62-7B9D-45A7-AD0F-24744C40E701}" xr6:coauthVersionLast="47" xr6:coauthVersionMax="47" xr10:uidLastSave="{00000000-0000-0000-0000-000000000000}"/>
  <bookViews>
    <workbookView xWindow="-120" yWindow="-120" windowWidth="20730" windowHeight="11160" tabRatio="821" activeTab="3" xr2:uid="{00000000-000D-0000-FFFF-FFFF00000000}"/>
  </bookViews>
  <sheets>
    <sheet name="Vendas 2024" sheetId="1" r:id="rId1"/>
    <sheet name="Vendas 2025" sheetId="2" r:id="rId2"/>
    <sheet name="Vendas 2026" sheetId="3" r:id="rId3"/>
    <sheet name="PROD" sheetId="4" r:id="rId4"/>
    <sheet name="Nota Fiscal" sheetId="5" r:id="rId5"/>
    <sheet name="Devedores" sheetId="6" state="hidden" r:id="rId6"/>
    <sheet name="jogos" sheetId="7" state="hidden" r:id="rId7"/>
    <sheet name="Relatorio" sheetId="8" r:id="rId8"/>
    <sheet name="Relatório Mensal" sheetId="9" r:id="rId9"/>
  </sheets>
  <externalReferences>
    <externalReference r:id="rId10"/>
  </externalReferences>
  <definedNames>
    <definedName name="_xlnm._FilterDatabase" localSheetId="5">Devedores!$I$2:$K$15</definedName>
    <definedName name="_xlnm._FilterDatabase" localSheetId="6">jogos!$F$1:$H$130</definedName>
    <definedName name="_xlnm._FilterDatabase" localSheetId="7">Relatorio!$X$1:$Y$88</definedName>
    <definedName name="Produtos" localSheetId="1">Table_1[[#All],[Produtos]]</definedName>
    <definedName name="Produtos" localSheetId="2">Table_1[[#All],[Produtos]]</definedName>
    <definedName name="Produtos">Table_1[[#All],[Produtos]]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3" l="1"/>
  <c r="M4" i="3"/>
  <c r="M5" i="3"/>
  <c r="M6" i="3"/>
  <c r="M7" i="3"/>
  <c r="M8" i="3"/>
  <c r="M9" i="3"/>
  <c r="M13" i="3"/>
  <c r="M16" i="3"/>
  <c r="M18" i="3"/>
  <c r="M22" i="3"/>
  <c r="M23" i="3"/>
  <c r="M27" i="3"/>
  <c r="M28" i="3"/>
  <c r="M30" i="3"/>
  <c r="M31" i="3"/>
  <c r="M34" i="3"/>
  <c r="M35" i="3"/>
  <c r="M36" i="3"/>
  <c r="M37" i="3"/>
  <c r="M39" i="3"/>
  <c r="M41" i="3"/>
  <c r="M42" i="3"/>
  <c r="M43" i="3"/>
  <c r="M44" i="3"/>
  <c r="M45" i="3"/>
  <c r="M46" i="3"/>
  <c r="M47" i="3"/>
  <c r="M48" i="3"/>
  <c r="M49" i="3"/>
  <c r="M55" i="3"/>
  <c r="M57" i="3"/>
  <c r="M58" i="3"/>
  <c r="M59" i="3"/>
  <c r="M60" i="3"/>
  <c r="M61" i="3"/>
  <c r="M62" i="3"/>
  <c r="M67" i="3"/>
  <c r="M68" i="3"/>
  <c r="M73" i="3"/>
  <c r="M74" i="3"/>
  <c r="M81" i="3"/>
  <c r="M83" i="3"/>
  <c r="M89" i="3"/>
  <c r="M91" i="3"/>
  <c r="M92" i="3"/>
  <c r="M93" i="3"/>
  <c r="M98" i="3"/>
  <c r="M100" i="3"/>
  <c r="M101" i="3"/>
  <c r="M111" i="3"/>
  <c r="M112" i="3"/>
  <c r="M118" i="3"/>
  <c r="M119" i="3"/>
  <c r="M124" i="3"/>
  <c r="M127" i="3"/>
  <c r="M133" i="3"/>
  <c r="M139" i="3"/>
  <c r="M142" i="3"/>
  <c r="M143" i="3"/>
  <c r="M151" i="3"/>
  <c r="M155" i="3"/>
  <c r="M163" i="3"/>
  <c r="M164" i="3"/>
  <c r="M165" i="3"/>
  <c r="M167" i="3"/>
  <c r="M168" i="3"/>
  <c r="M169" i="3"/>
  <c r="M170" i="3"/>
  <c r="M171" i="3"/>
  <c r="M172" i="3"/>
  <c r="M181" i="3"/>
  <c r="M193" i="3"/>
  <c r="M196" i="3"/>
  <c r="M201" i="3"/>
  <c r="M208" i="3"/>
  <c r="M219" i="3"/>
  <c r="M220" i="3"/>
  <c r="M221" i="3"/>
  <c r="M222" i="3"/>
  <c r="M225" i="3"/>
  <c r="M226" i="3"/>
  <c r="M245" i="3"/>
  <c r="M252" i="3"/>
  <c r="M253" i="3"/>
  <c r="M254" i="3"/>
  <c r="M258" i="3"/>
  <c r="M265" i="3"/>
  <c r="M275" i="3"/>
  <c r="M276" i="3"/>
  <c r="M288" i="3"/>
  <c r="M290" i="3"/>
  <c r="M291" i="3"/>
  <c r="M292" i="3"/>
  <c r="M296" i="3"/>
  <c r="M297" i="3"/>
  <c r="M298" i="3"/>
  <c r="M299" i="3"/>
  <c r="M300" i="3"/>
  <c r="M301" i="3"/>
  <c r="M302" i="3"/>
  <c r="M303" i="3"/>
  <c r="M307" i="3"/>
  <c r="M308" i="3"/>
  <c r="M318" i="3"/>
  <c r="M320" i="3"/>
  <c r="M329" i="3"/>
  <c r="M331" i="3"/>
  <c r="M332" i="3"/>
  <c r="M333" i="3"/>
  <c r="M335" i="3"/>
  <c r="M336" i="3"/>
  <c r="M339" i="3"/>
  <c r="M340" i="3"/>
  <c r="M341" i="3"/>
  <c r="M343" i="3"/>
  <c r="M345" i="3"/>
  <c r="M347" i="3"/>
  <c r="M348" i="3"/>
  <c r="M349" i="3"/>
  <c r="M350" i="3"/>
  <c r="M354" i="3"/>
  <c r="M355" i="3"/>
  <c r="M363" i="3"/>
  <c r="M364" i="3"/>
  <c r="M371" i="3"/>
  <c r="M373" i="3"/>
  <c r="M374" i="3"/>
  <c r="M375" i="3"/>
  <c r="M376" i="3"/>
  <c r="M377" i="3"/>
  <c r="M378" i="3"/>
  <c r="M383" i="3"/>
  <c r="M384" i="3"/>
  <c r="M388" i="3"/>
  <c r="M404" i="3"/>
  <c r="M412" i="3"/>
  <c r="M413" i="3"/>
  <c r="M414" i="3"/>
  <c r="M424" i="3"/>
  <c r="M427" i="3"/>
  <c r="M428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G452" i="3"/>
  <c r="G449" i="3"/>
  <c r="G448" i="3"/>
  <c r="G447" i="3"/>
  <c r="G446" i="3"/>
  <c r="G445" i="3"/>
  <c r="G439" i="3"/>
  <c r="G435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G429" i="3" l="1"/>
  <c r="E346" i="4"/>
  <c r="V5" i="3"/>
  <c r="U3" i="3"/>
  <c r="U4" i="3"/>
  <c r="U5" i="3"/>
  <c r="U6" i="3"/>
  <c r="X6" i="3" s="1"/>
  <c r="U7" i="3"/>
  <c r="X7" i="3" s="1"/>
  <c r="U8" i="3"/>
  <c r="X8" i="3" s="1"/>
  <c r="U9" i="3"/>
  <c r="X9" i="3" s="1"/>
  <c r="U10" i="3"/>
  <c r="X10" i="3" s="1"/>
  <c r="U11" i="3"/>
  <c r="X11" i="3" s="1"/>
  <c r="U12" i="3"/>
  <c r="X12" i="3" s="1"/>
  <c r="U13" i="3"/>
  <c r="U14" i="3"/>
  <c r="X14" i="3" s="1"/>
  <c r="U2" i="3"/>
  <c r="X2" i="3" s="1"/>
  <c r="V3" i="3"/>
  <c r="V4" i="3"/>
  <c r="V6" i="3"/>
  <c r="V7" i="3"/>
  <c r="V8" i="3"/>
  <c r="V9" i="3"/>
  <c r="V10" i="3"/>
  <c r="V11" i="3"/>
  <c r="V12" i="3"/>
  <c r="V13" i="3"/>
  <c r="V14" i="3"/>
  <c r="V2" i="3"/>
  <c r="X3" i="3"/>
  <c r="X4" i="3"/>
  <c r="X5" i="3"/>
  <c r="X13" i="3"/>
  <c r="I429" i="3"/>
  <c r="I413" i="3"/>
  <c r="I412" i="3"/>
  <c r="I394" i="3"/>
  <c r="O38" i="5"/>
  <c r="W33" i="5"/>
  <c r="X33" i="5"/>
  <c r="W34" i="5"/>
  <c r="X34" i="5"/>
  <c r="W35" i="5"/>
  <c r="X35" i="5"/>
  <c r="W36" i="5"/>
  <c r="X36" i="5"/>
  <c r="O34" i="5"/>
  <c r="O35" i="5"/>
  <c r="O36" i="5"/>
  <c r="K34" i="5"/>
  <c r="K35" i="5"/>
  <c r="K36" i="5"/>
  <c r="G370" i="3"/>
  <c r="E341" i="4"/>
  <c r="E340" i="4"/>
  <c r="G302" i="3"/>
  <c r="I257" i="3"/>
  <c r="P46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K20" i="5"/>
  <c r="X20" i="5" s="1"/>
  <c r="K21" i="5"/>
  <c r="X21" i="5" s="1"/>
  <c r="K22" i="5"/>
  <c r="X22" i="5" s="1"/>
  <c r="K23" i="5"/>
  <c r="X23" i="5" s="1"/>
  <c r="K24" i="5"/>
  <c r="X24" i="5" s="1"/>
  <c r="K25" i="5"/>
  <c r="X25" i="5" s="1"/>
  <c r="K26" i="5"/>
  <c r="X26" i="5" s="1"/>
  <c r="K27" i="5"/>
  <c r="X27" i="5" s="1"/>
  <c r="K28" i="5"/>
  <c r="X28" i="5" s="1"/>
  <c r="K29" i="5"/>
  <c r="X29" i="5" s="1"/>
  <c r="K30" i="5"/>
  <c r="X30" i="5" s="1"/>
  <c r="K31" i="5"/>
  <c r="X31" i="5" s="1"/>
  <c r="K32" i="5"/>
  <c r="X32" i="5" s="1"/>
  <c r="K33" i="5"/>
  <c r="W19" i="5"/>
  <c r="K19" i="5"/>
  <c r="X19" i="5" s="1"/>
  <c r="I216" i="3"/>
  <c r="E337" i="4"/>
  <c r="I152" i="3"/>
  <c r="I153" i="3"/>
  <c r="G153" i="3"/>
  <c r="I125" i="3"/>
  <c r="J46" i="5" l="1"/>
  <c r="W46" i="5"/>
  <c r="C3" i="8"/>
  <c r="K122" i="3"/>
  <c r="G122" i="3"/>
  <c r="H122" i="3" s="1"/>
  <c r="F29" i="9"/>
  <c r="E29" i="9"/>
  <c r="D29" i="9"/>
  <c r="F28" i="9"/>
  <c r="E28" i="9"/>
  <c r="D28" i="9"/>
  <c r="F27" i="9"/>
  <c r="E27" i="9"/>
  <c r="D27" i="9"/>
  <c r="F26" i="9"/>
  <c r="E26" i="9"/>
  <c r="D26" i="9"/>
  <c r="F25" i="9"/>
  <c r="E25" i="9"/>
  <c r="D25" i="9"/>
  <c r="F24" i="9"/>
  <c r="E24" i="9"/>
  <c r="D24" i="9"/>
  <c r="F23" i="9"/>
  <c r="E23" i="9"/>
  <c r="D23" i="9"/>
  <c r="F22" i="9"/>
  <c r="E22" i="9"/>
  <c r="D22" i="9"/>
  <c r="F21" i="9"/>
  <c r="E21" i="9"/>
  <c r="D21" i="9"/>
  <c r="F20" i="9"/>
  <c r="E20" i="9"/>
  <c r="D20" i="9"/>
  <c r="F19" i="9"/>
  <c r="E19" i="9"/>
  <c r="D19" i="9"/>
  <c r="F18" i="9"/>
  <c r="E18" i="9"/>
  <c r="D18" i="9"/>
  <c r="F15" i="9"/>
  <c r="E15" i="9"/>
  <c r="D15" i="9"/>
  <c r="F14" i="9"/>
  <c r="E14" i="9"/>
  <c r="D14" i="9"/>
  <c r="F13" i="9"/>
  <c r="E13" i="9"/>
  <c r="D13" i="9"/>
  <c r="F12" i="9"/>
  <c r="E12" i="9"/>
  <c r="D12" i="9"/>
  <c r="F11" i="9"/>
  <c r="E11" i="9"/>
  <c r="D11" i="9"/>
  <c r="F10" i="9"/>
  <c r="E10" i="9"/>
  <c r="D10" i="9"/>
  <c r="F9" i="9"/>
  <c r="E9" i="9"/>
  <c r="D9" i="9"/>
  <c r="F8" i="9"/>
  <c r="E8" i="9"/>
  <c r="D8" i="9"/>
  <c r="F7" i="9"/>
  <c r="E7" i="9"/>
  <c r="D7" i="9"/>
  <c r="F6" i="9"/>
  <c r="E6" i="9"/>
  <c r="D6" i="9"/>
  <c r="F5" i="9"/>
  <c r="E5" i="9"/>
  <c r="D5" i="9"/>
  <c r="F4" i="9"/>
  <c r="E4" i="9"/>
  <c r="D4" i="9"/>
  <c r="Y49" i="8"/>
  <c r="Y48" i="8"/>
  <c r="Y47" i="8"/>
  <c r="Y46" i="8"/>
  <c r="Y45" i="8"/>
  <c r="Y44" i="8"/>
  <c r="Y43" i="8"/>
  <c r="Y42" i="8"/>
  <c r="Y41" i="8"/>
  <c r="Y40" i="8"/>
  <c r="Y39" i="8"/>
  <c r="Y38" i="8"/>
  <c r="Y37" i="8"/>
  <c r="Y36" i="8"/>
  <c r="Y35" i="8"/>
  <c r="Y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E9" i="8"/>
  <c r="D9" i="8"/>
  <c r="C9" i="8"/>
  <c r="Y8" i="8"/>
  <c r="E8" i="8"/>
  <c r="D8" i="8"/>
  <c r="C8" i="8"/>
  <c r="Y7" i="8"/>
  <c r="Y6" i="8"/>
  <c r="Y5" i="8"/>
  <c r="B5" i="8"/>
  <c r="Y4" i="8"/>
  <c r="D4" i="8"/>
  <c r="E4" i="8" s="1"/>
  <c r="C4" i="8"/>
  <c r="B4" i="8"/>
  <c r="Y3" i="8"/>
  <c r="D3" i="8"/>
  <c r="B3" i="8"/>
  <c r="Y2" i="8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7" i="7"/>
  <c r="B76" i="7"/>
  <c r="B75" i="7"/>
  <c r="B74" i="7"/>
  <c r="B73" i="7"/>
  <c r="B72" i="7"/>
  <c r="B71" i="7"/>
  <c r="B70" i="7"/>
  <c r="B69" i="7"/>
  <c r="B68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AD474" i="6"/>
  <c r="AD473" i="6"/>
  <c r="AD472" i="6"/>
  <c r="AD471" i="6"/>
  <c r="AD470" i="6"/>
  <c r="AD469" i="6"/>
  <c r="AD468" i="6"/>
  <c r="AD467" i="6"/>
  <c r="AD466" i="6"/>
  <c r="AD465" i="6"/>
  <c r="AD464" i="6"/>
  <c r="AD463" i="6"/>
  <c r="AD462" i="6"/>
  <c r="AD461" i="6"/>
  <c r="AD460" i="6"/>
  <c r="AD459" i="6"/>
  <c r="AD458" i="6"/>
  <c r="AD457" i="6"/>
  <c r="AD456" i="6"/>
  <c r="AD455" i="6"/>
  <c r="AD454" i="6"/>
  <c r="AD453" i="6"/>
  <c r="AD452" i="6"/>
  <c r="AD451" i="6"/>
  <c r="AD450" i="6"/>
  <c r="AD449" i="6"/>
  <c r="AD448" i="6"/>
  <c r="AD447" i="6"/>
  <c r="AD446" i="6"/>
  <c r="AD445" i="6"/>
  <c r="AD444" i="6"/>
  <c r="AD443" i="6"/>
  <c r="AD442" i="6"/>
  <c r="AD441" i="6"/>
  <c r="AD440" i="6"/>
  <c r="AD439" i="6"/>
  <c r="AD438" i="6"/>
  <c r="AD437" i="6"/>
  <c r="AD436" i="6"/>
  <c r="AD435" i="6"/>
  <c r="AD434" i="6"/>
  <c r="AD433" i="6"/>
  <c r="AD432" i="6"/>
  <c r="AD431" i="6"/>
  <c r="AD430" i="6"/>
  <c r="AD429" i="6"/>
  <c r="AD428" i="6"/>
  <c r="AD427" i="6"/>
  <c r="AD426" i="6"/>
  <c r="AD425" i="6"/>
  <c r="AD424" i="6"/>
  <c r="AD423" i="6"/>
  <c r="AD422" i="6"/>
  <c r="AD421" i="6"/>
  <c r="AD420" i="6"/>
  <c r="AD419" i="6"/>
  <c r="AD418" i="6"/>
  <c r="AD417" i="6"/>
  <c r="AD416" i="6"/>
  <c r="AD415" i="6"/>
  <c r="AD414" i="6"/>
  <c r="AD413" i="6"/>
  <c r="AD412" i="6"/>
  <c r="AD411" i="6"/>
  <c r="AD410" i="6"/>
  <c r="AD409" i="6"/>
  <c r="AD408" i="6"/>
  <c r="AD407" i="6"/>
  <c r="AD406" i="6"/>
  <c r="AD405" i="6"/>
  <c r="AD404" i="6"/>
  <c r="AD403" i="6"/>
  <c r="AD402" i="6"/>
  <c r="AD401" i="6"/>
  <c r="AD400" i="6"/>
  <c r="AD399" i="6"/>
  <c r="AD398" i="6"/>
  <c r="AD397" i="6"/>
  <c r="AD396" i="6"/>
  <c r="AD395" i="6"/>
  <c r="AD394" i="6"/>
  <c r="AD393" i="6"/>
  <c r="AD392" i="6"/>
  <c r="AD391" i="6"/>
  <c r="AD390" i="6"/>
  <c r="AD389" i="6"/>
  <c r="AD388" i="6"/>
  <c r="AD387" i="6"/>
  <c r="AD386" i="6"/>
  <c r="AD385" i="6"/>
  <c r="AD384" i="6"/>
  <c r="AD383" i="6"/>
  <c r="AD382" i="6"/>
  <c r="AD381" i="6"/>
  <c r="AD380" i="6"/>
  <c r="AD379" i="6"/>
  <c r="AD378" i="6"/>
  <c r="AD377" i="6"/>
  <c r="AD376" i="6"/>
  <c r="AD375" i="6"/>
  <c r="AD374" i="6"/>
  <c r="AD373" i="6"/>
  <c r="AD372" i="6"/>
  <c r="AD371" i="6"/>
  <c r="AD370" i="6"/>
  <c r="AD369" i="6"/>
  <c r="AD368" i="6"/>
  <c r="AD367" i="6"/>
  <c r="AD366" i="6"/>
  <c r="AD365" i="6"/>
  <c r="AD364" i="6"/>
  <c r="AD363" i="6"/>
  <c r="AD362" i="6"/>
  <c r="AD361" i="6"/>
  <c r="AD360" i="6"/>
  <c r="AD359" i="6"/>
  <c r="AD358" i="6"/>
  <c r="AD357" i="6"/>
  <c r="AD356" i="6"/>
  <c r="AD355" i="6"/>
  <c r="AD354" i="6"/>
  <c r="AD353" i="6"/>
  <c r="AD352" i="6"/>
  <c r="AD351" i="6"/>
  <c r="AD350" i="6"/>
  <c r="AD349" i="6"/>
  <c r="AD348" i="6"/>
  <c r="AD347" i="6"/>
  <c r="AD346" i="6"/>
  <c r="AD345" i="6"/>
  <c r="AD344" i="6"/>
  <c r="AD343" i="6"/>
  <c r="AD342" i="6"/>
  <c r="AD341" i="6"/>
  <c r="AD340" i="6"/>
  <c r="AD339" i="6"/>
  <c r="AD338" i="6"/>
  <c r="AD337" i="6"/>
  <c r="AD336" i="6"/>
  <c r="AD335" i="6"/>
  <c r="AD334" i="6"/>
  <c r="AD333" i="6"/>
  <c r="AD332" i="6"/>
  <c r="AD331" i="6"/>
  <c r="AD330" i="6"/>
  <c r="AD329" i="6"/>
  <c r="AD328" i="6"/>
  <c r="AD327" i="6"/>
  <c r="AD326" i="6"/>
  <c r="AD325" i="6"/>
  <c r="AD324" i="6"/>
  <c r="AD323" i="6"/>
  <c r="AD322" i="6"/>
  <c r="AD321" i="6"/>
  <c r="AD320" i="6"/>
  <c r="AD319" i="6"/>
  <c r="AD318" i="6"/>
  <c r="AD317" i="6"/>
  <c r="AD316" i="6"/>
  <c r="AD315" i="6"/>
  <c r="AD314" i="6"/>
  <c r="AD313" i="6"/>
  <c r="AD312" i="6"/>
  <c r="AD311" i="6"/>
  <c r="AD310" i="6"/>
  <c r="AD309" i="6"/>
  <c r="AD308" i="6"/>
  <c r="AD307" i="6"/>
  <c r="AD306" i="6"/>
  <c r="AD305" i="6"/>
  <c r="AD304" i="6"/>
  <c r="AD303" i="6"/>
  <c r="AD302" i="6"/>
  <c r="AD301" i="6"/>
  <c r="AD300" i="6"/>
  <c r="AD299" i="6"/>
  <c r="AD298" i="6"/>
  <c r="AD297" i="6"/>
  <c r="AD296" i="6"/>
  <c r="AD295" i="6"/>
  <c r="AD294" i="6"/>
  <c r="AD293" i="6"/>
  <c r="AD292" i="6"/>
  <c r="AD291" i="6"/>
  <c r="AD290" i="6"/>
  <c r="AD289" i="6"/>
  <c r="AD288" i="6"/>
  <c r="AD287" i="6"/>
  <c r="AD286" i="6"/>
  <c r="AD285" i="6"/>
  <c r="AD284" i="6"/>
  <c r="AD283" i="6"/>
  <c r="AD282" i="6"/>
  <c r="AD281" i="6"/>
  <c r="AD280" i="6"/>
  <c r="AD279" i="6"/>
  <c r="AD278" i="6"/>
  <c r="AD277" i="6"/>
  <c r="AD276" i="6"/>
  <c r="AD275" i="6"/>
  <c r="AD274" i="6"/>
  <c r="AD273" i="6"/>
  <c r="AD272" i="6"/>
  <c r="AD271" i="6"/>
  <c r="AD270" i="6"/>
  <c r="AD269" i="6"/>
  <c r="AD268" i="6"/>
  <c r="AD267" i="6"/>
  <c r="AD266" i="6"/>
  <c r="AD265" i="6"/>
  <c r="AD264" i="6"/>
  <c r="AD263" i="6"/>
  <c r="AD262" i="6"/>
  <c r="AD261" i="6"/>
  <c r="AD260" i="6"/>
  <c r="AD259" i="6"/>
  <c r="AD258" i="6"/>
  <c r="AD257" i="6"/>
  <c r="AD256" i="6"/>
  <c r="AD255" i="6"/>
  <c r="AD254" i="6"/>
  <c r="AD253" i="6"/>
  <c r="AD252" i="6"/>
  <c r="AD251" i="6"/>
  <c r="AD250" i="6"/>
  <c r="AD249" i="6"/>
  <c r="AD248" i="6"/>
  <c r="AD247" i="6"/>
  <c r="AD246" i="6"/>
  <c r="AD245" i="6"/>
  <c r="AD244" i="6"/>
  <c r="AD243" i="6"/>
  <c r="AD242" i="6"/>
  <c r="AD241" i="6"/>
  <c r="AD240" i="6"/>
  <c r="AD239" i="6"/>
  <c r="AD238" i="6"/>
  <c r="AD237" i="6"/>
  <c r="AD236" i="6"/>
  <c r="AD235" i="6"/>
  <c r="AD234" i="6"/>
  <c r="AD233" i="6"/>
  <c r="AD232" i="6"/>
  <c r="AD231" i="6"/>
  <c r="AD230" i="6"/>
  <c r="AD229" i="6"/>
  <c r="AD228" i="6"/>
  <c r="AD227" i="6"/>
  <c r="AD226" i="6"/>
  <c r="AD225" i="6"/>
  <c r="AD224" i="6"/>
  <c r="AD223" i="6"/>
  <c r="AD222" i="6"/>
  <c r="AD221" i="6"/>
  <c r="AD220" i="6"/>
  <c r="AD219" i="6"/>
  <c r="AD218" i="6"/>
  <c r="AD217" i="6"/>
  <c r="AD216" i="6"/>
  <c r="AD215" i="6"/>
  <c r="AD214" i="6"/>
  <c r="AD213" i="6"/>
  <c r="AD212" i="6"/>
  <c r="AD211" i="6"/>
  <c r="AD210" i="6"/>
  <c r="AD209" i="6"/>
  <c r="AD208" i="6"/>
  <c r="AD207" i="6"/>
  <c r="AD206" i="6"/>
  <c r="AD205" i="6"/>
  <c r="AD204" i="6"/>
  <c r="AD203" i="6"/>
  <c r="AD202" i="6"/>
  <c r="AD201" i="6"/>
  <c r="AD200" i="6"/>
  <c r="AD199" i="6"/>
  <c r="AD198" i="6"/>
  <c r="AD197" i="6"/>
  <c r="AD196" i="6"/>
  <c r="AD195" i="6"/>
  <c r="AD194" i="6"/>
  <c r="AD193" i="6"/>
  <c r="AD192" i="6"/>
  <c r="AD191" i="6"/>
  <c r="AD190" i="6"/>
  <c r="AD189" i="6"/>
  <c r="AD188" i="6"/>
  <c r="AD187" i="6"/>
  <c r="AD186" i="6"/>
  <c r="AD185" i="6"/>
  <c r="AD184" i="6"/>
  <c r="AD183" i="6"/>
  <c r="AD182" i="6"/>
  <c r="AD181" i="6"/>
  <c r="AD180" i="6"/>
  <c r="AD179" i="6"/>
  <c r="AD178" i="6"/>
  <c r="AD177" i="6"/>
  <c r="AD176" i="6"/>
  <c r="AD175" i="6"/>
  <c r="AD174" i="6"/>
  <c r="AD173" i="6"/>
  <c r="AD172" i="6"/>
  <c r="AD171" i="6"/>
  <c r="AD170" i="6"/>
  <c r="AD169" i="6"/>
  <c r="AD168" i="6"/>
  <c r="AD167" i="6"/>
  <c r="AD166" i="6"/>
  <c r="AD165" i="6"/>
  <c r="AD164" i="6"/>
  <c r="AD163" i="6"/>
  <c r="AD162" i="6"/>
  <c r="AD161" i="6"/>
  <c r="AD160" i="6"/>
  <c r="AD159" i="6"/>
  <c r="AD158" i="6"/>
  <c r="AD157" i="6"/>
  <c r="AD156" i="6"/>
  <c r="AD155" i="6"/>
  <c r="AD154" i="6"/>
  <c r="AD153" i="6"/>
  <c r="AD152" i="6"/>
  <c r="AD151" i="6"/>
  <c r="AD150" i="6"/>
  <c r="AD149" i="6"/>
  <c r="AD148" i="6"/>
  <c r="AD147" i="6"/>
  <c r="AD146" i="6"/>
  <c r="AD145" i="6"/>
  <c r="AD144" i="6"/>
  <c r="AD143" i="6"/>
  <c r="AD142" i="6"/>
  <c r="AD141" i="6"/>
  <c r="AD140" i="6"/>
  <c r="AD139" i="6"/>
  <c r="AD138" i="6"/>
  <c r="AD137" i="6"/>
  <c r="AD136" i="6"/>
  <c r="AD135" i="6"/>
  <c r="AD134" i="6"/>
  <c r="AD133" i="6"/>
  <c r="AD132" i="6"/>
  <c r="AD131" i="6"/>
  <c r="AD130" i="6"/>
  <c r="AD129" i="6"/>
  <c r="AD128" i="6"/>
  <c r="AD127" i="6"/>
  <c r="AD126" i="6"/>
  <c r="AD125" i="6"/>
  <c r="AD124" i="6"/>
  <c r="AD123" i="6"/>
  <c r="AD122" i="6"/>
  <c r="AD121" i="6"/>
  <c r="AD120" i="6"/>
  <c r="AD119" i="6"/>
  <c r="AD118" i="6"/>
  <c r="AD117" i="6"/>
  <c r="AD116" i="6"/>
  <c r="AD115" i="6"/>
  <c r="AD114" i="6"/>
  <c r="AD113" i="6"/>
  <c r="AD112" i="6"/>
  <c r="AD111" i="6"/>
  <c r="AD110" i="6"/>
  <c r="AD109" i="6"/>
  <c r="AD108" i="6"/>
  <c r="AD107" i="6"/>
  <c r="AD106" i="6"/>
  <c r="AD105" i="6"/>
  <c r="AD104" i="6"/>
  <c r="AD103" i="6"/>
  <c r="AD102" i="6"/>
  <c r="AD101" i="6"/>
  <c r="AD100" i="6"/>
  <c r="AD99" i="6"/>
  <c r="AD98" i="6"/>
  <c r="AD97" i="6"/>
  <c r="AD96" i="6"/>
  <c r="AD95" i="6"/>
  <c r="AD94" i="6"/>
  <c r="AD93" i="6"/>
  <c r="AD92" i="6"/>
  <c r="AD91" i="6"/>
  <c r="AD90" i="6"/>
  <c r="AD89" i="6"/>
  <c r="AD88" i="6"/>
  <c r="AD87" i="6"/>
  <c r="AD86" i="6"/>
  <c r="AD85" i="6"/>
  <c r="AD84" i="6"/>
  <c r="AD83" i="6"/>
  <c r="AD82" i="6"/>
  <c r="AD81" i="6"/>
  <c r="AD80" i="6"/>
  <c r="AD79" i="6"/>
  <c r="AD78" i="6"/>
  <c r="AD77" i="6"/>
  <c r="AD76" i="6"/>
  <c r="AD75" i="6"/>
  <c r="AD74" i="6"/>
  <c r="AD73" i="6"/>
  <c r="AD72" i="6"/>
  <c r="AD71" i="6"/>
  <c r="AD70" i="6"/>
  <c r="AD69" i="6"/>
  <c r="AD68" i="6"/>
  <c r="AD67" i="6"/>
  <c r="AD66" i="6"/>
  <c r="AD65" i="6"/>
  <c r="AD64" i="6"/>
  <c r="AD63" i="6"/>
  <c r="AD62" i="6"/>
  <c r="AD61" i="6"/>
  <c r="AD60" i="6"/>
  <c r="AD59" i="6"/>
  <c r="AD58" i="6"/>
  <c r="AD57" i="6"/>
  <c r="AD56" i="6"/>
  <c r="AD55" i="6"/>
  <c r="AD54" i="6"/>
  <c r="AD53" i="6"/>
  <c r="AD52" i="6"/>
  <c r="AD51" i="6"/>
  <c r="AD50" i="6"/>
  <c r="AD49" i="6"/>
  <c r="AD48" i="6"/>
  <c r="AD47" i="6"/>
  <c r="AD46" i="6"/>
  <c r="AD45" i="6"/>
  <c r="AD44" i="6"/>
  <c r="AD43" i="6"/>
  <c r="AD42" i="6"/>
  <c r="AD41" i="6"/>
  <c r="AD40" i="6"/>
  <c r="AD39" i="6"/>
  <c r="AD38" i="6"/>
  <c r="AD37" i="6"/>
  <c r="AD36" i="6"/>
  <c r="AD35" i="6"/>
  <c r="AD34" i="6"/>
  <c r="AD33" i="6"/>
  <c r="AD32" i="6"/>
  <c r="G32" i="6"/>
  <c r="F32" i="6"/>
  <c r="E32" i="6"/>
  <c r="D32" i="6"/>
  <c r="C32" i="6"/>
  <c r="AD31" i="6"/>
  <c r="AD30" i="6"/>
  <c r="AD29" i="6"/>
  <c r="AD28" i="6"/>
  <c r="AD27" i="6"/>
  <c r="AD26" i="6"/>
  <c r="AD25" i="6"/>
  <c r="AD24" i="6"/>
  <c r="AD23" i="6"/>
  <c r="AD22" i="6"/>
  <c r="AD21" i="6"/>
  <c r="AD20" i="6"/>
  <c r="AD19" i="6"/>
  <c r="AD18" i="6"/>
  <c r="AD17" i="6"/>
  <c r="J17" i="6"/>
  <c r="AD16" i="6"/>
  <c r="AD15" i="6"/>
  <c r="G15" i="6"/>
  <c r="F15" i="6"/>
  <c r="D15" i="6"/>
  <c r="C16" i="6" s="1"/>
  <c r="E16" i="6" s="1"/>
  <c r="C15" i="6"/>
  <c r="AD14" i="6"/>
  <c r="AD13" i="6"/>
  <c r="X13" i="6"/>
  <c r="AD12" i="6"/>
  <c r="E12" i="6"/>
  <c r="AD11" i="6"/>
  <c r="E11" i="6"/>
  <c r="AD10" i="6"/>
  <c r="E10" i="6"/>
  <c r="AD9" i="6"/>
  <c r="E9" i="6"/>
  <c r="AD8" i="6"/>
  <c r="U8" i="6"/>
  <c r="U12" i="6" s="1"/>
  <c r="T8" i="6"/>
  <c r="T12" i="6" s="1"/>
  <c r="E8" i="6"/>
  <c r="AD7" i="6"/>
  <c r="E7" i="6"/>
  <c r="AD6" i="6"/>
  <c r="E6" i="6"/>
  <c r="AD5" i="6"/>
  <c r="AD4" i="6"/>
  <c r="AD3" i="6"/>
  <c r="O3" i="6"/>
  <c r="O5" i="6" s="1"/>
  <c r="AD2" i="6"/>
  <c r="X2" i="6"/>
  <c r="X3" i="6" s="1"/>
  <c r="W47" i="5"/>
  <c r="P36" i="5"/>
  <c r="P35" i="5"/>
  <c r="P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O24" i="5"/>
  <c r="P23" i="5"/>
  <c r="O23" i="5"/>
  <c r="P22" i="5"/>
  <c r="O22" i="5"/>
  <c r="P21" i="5"/>
  <c r="O21" i="5"/>
  <c r="P20" i="5"/>
  <c r="O20" i="5"/>
  <c r="P19" i="5"/>
  <c r="O19" i="5"/>
  <c r="V15" i="5"/>
  <c r="S15" i="5"/>
  <c r="P15" i="5"/>
  <c r="P14" i="5"/>
  <c r="P13" i="5"/>
  <c r="P12" i="5"/>
  <c r="P11" i="5"/>
  <c r="U5" i="5"/>
  <c r="S48" i="5" s="1"/>
  <c r="H5" i="5"/>
  <c r="F48" i="5" s="1"/>
  <c r="U3" i="5"/>
  <c r="D346" i="4"/>
  <c r="C346" i="4" s="1"/>
  <c r="D345" i="4"/>
  <c r="C345" i="4" s="1"/>
  <c r="D344" i="4"/>
  <c r="C344" i="4" s="1"/>
  <c r="D343" i="4"/>
  <c r="C343" i="4" s="1"/>
  <c r="D342" i="4"/>
  <c r="C342" i="4" s="1"/>
  <c r="D341" i="4"/>
  <c r="C341" i="4" s="1"/>
  <c r="D340" i="4"/>
  <c r="C340" i="4" s="1"/>
  <c r="D339" i="4"/>
  <c r="C339" i="4" s="1"/>
  <c r="D338" i="4"/>
  <c r="C338" i="4" s="1"/>
  <c r="D337" i="4"/>
  <c r="C337" i="4" s="1"/>
  <c r="D336" i="4"/>
  <c r="C336" i="4" s="1"/>
  <c r="D335" i="4"/>
  <c r="C335" i="4" s="1"/>
  <c r="D334" i="4"/>
  <c r="C334" i="4" s="1"/>
  <c r="D333" i="4"/>
  <c r="C333" i="4" s="1"/>
  <c r="D332" i="4"/>
  <c r="C332" i="4" s="1"/>
  <c r="D331" i="4"/>
  <c r="C331" i="4" s="1"/>
  <c r="D330" i="4"/>
  <c r="C330" i="4" s="1"/>
  <c r="D329" i="4"/>
  <c r="C329" i="4" s="1"/>
  <c r="D328" i="4"/>
  <c r="C328" i="4" s="1"/>
  <c r="D327" i="4"/>
  <c r="C327" i="4" s="1"/>
  <c r="D326" i="4"/>
  <c r="C326" i="4" s="1"/>
  <c r="D325" i="4"/>
  <c r="C325" i="4" s="1"/>
  <c r="D324" i="4"/>
  <c r="C324" i="4" s="1"/>
  <c r="D323" i="4"/>
  <c r="C323" i="4" s="1"/>
  <c r="D322" i="4"/>
  <c r="C322" i="4" s="1"/>
  <c r="D321" i="4"/>
  <c r="C321" i="4" s="1"/>
  <c r="D320" i="4"/>
  <c r="C320" i="4" s="1"/>
  <c r="D319" i="4"/>
  <c r="C319" i="4" s="1"/>
  <c r="D318" i="4"/>
  <c r="C318" i="4" s="1"/>
  <c r="D317" i="4"/>
  <c r="C317" i="4" s="1"/>
  <c r="D316" i="4"/>
  <c r="C316" i="4" s="1"/>
  <c r="D315" i="4"/>
  <c r="C315" i="4" s="1"/>
  <c r="D314" i="4"/>
  <c r="C314" i="4" s="1"/>
  <c r="D313" i="4"/>
  <c r="C313" i="4" s="1"/>
  <c r="D312" i="4"/>
  <c r="C312" i="4" s="1"/>
  <c r="D311" i="4"/>
  <c r="C311" i="4" s="1"/>
  <c r="D310" i="4"/>
  <c r="C310" i="4" s="1"/>
  <c r="D309" i="4"/>
  <c r="C309" i="4" s="1"/>
  <c r="D308" i="4"/>
  <c r="C308" i="4" s="1"/>
  <c r="D307" i="4"/>
  <c r="C307" i="4" s="1"/>
  <c r="D306" i="4"/>
  <c r="C306" i="4" s="1"/>
  <c r="D305" i="4"/>
  <c r="C305" i="4" s="1"/>
  <c r="D304" i="4"/>
  <c r="C304" i="4" s="1"/>
  <c r="D303" i="4"/>
  <c r="C303" i="4" s="1"/>
  <c r="D302" i="4"/>
  <c r="C302" i="4" s="1"/>
  <c r="D301" i="4"/>
  <c r="C301" i="4" s="1"/>
  <c r="D300" i="4"/>
  <c r="C300" i="4" s="1"/>
  <c r="D299" i="4"/>
  <c r="C299" i="4" s="1"/>
  <c r="D298" i="4"/>
  <c r="C298" i="4" s="1"/>
  <c r="D297" i="4"/>
  <c r="C297" i="4" s="1"/>
  <c r="D296" i="4"/>
  <c r="C296" i="4" s="1"/>
  <c r="D295" i="4"/>
  <c r="C295" i="4" s="1"/>
  <c r="D294" i="4"/>
  <c r="C294" i="4" s="1"/>
  <c r="D293" i="4"/>
  <c r="C293" i="4" s="1"/>
  <c r="D292" i="4"/>
  <c r="C292" i="4" s="1"/>
  <c r="D291" i="4"/>
  <c r="C291" i="4" s="1"/>
  <c r="D290" i="4"/>
  <c r="C290" i="4" s="1"/>
  <c r="D289" i="4"/>
  <c r="C289" i="4" s="1"/>
  <c r="D288" i="4"/>
  <c r="C288" i="4" s="1"/>
  <c r="D287" i="4"/>
  <c r="C287" i="4" s="1"/>
  <c r="D286" i="4"/>
  <c r="C286" i="4" s="1"/>
  <c r="D285" i="4"/>
  <c r="C285" i="4" s="1"/>
  <c r="D284" i="4"/>
  <c r="C284" i="4" s="1"/>
  <c r="D283" i="4"/>
  <c r="C283" i="4" s="1"/>
  <c r="D282" i="4"/>
  <c r="C282" i="4" s="1"/>
  <c r="D281" i="4"/>
  <c r="C281" i="4" s="1"/>
  <c r="D280" i="4"/>
  <c r="C280" i="4" s="1"/>
  <c r="D279" i="4"/>
  <c r="C279" i="4" s="1"/>
  <c r="D278" i="4"/>
  <c r="C278" i="4" s="1"/>
  <c r="D277" i="4"/>
  <c r="C277" i="4" s="1"/>
  <c r="D276" i="4"/>
  <c r="C276" i="4" s="1"/>
  <c r="D275" i="4"/>
  <c r="C275" i="4" s="1"/>
  <c r="D274" i="4"/>
  <c r="C274" i="4" s="1"/>
  <c r="D273" i="4"/>
  <c r="C273" i="4" s="1"/>
  <c r="D272" i="4"/>
  <c r="C272" i="4" s="1"/>
  <c r="D271" i="4"/>
  <c r="C271" i="4" s="1"/>
  <c r="D270" i="4"/>
  <c r="C270" i="4" s="1"/>
  <c r="D269" i="4"/>
  <c r="C269" i="4" s="1"/>
  <c r="D268" i="4"/>
  <c r="C268" i="4" s="1"/>
  <c r="D267" i="4"/>
  <c r="C267" i="4" s="1"/>
  <c r="D266" i="4"/>
  <c r="C266" i="4" s="1"/>
  <c r="D265" i="4"/>
  <c r="C265" i="4" s="1"/>
  <c r="D264" i="4"/>
  <c r="C264" i="4" s="1"/>
  <c r="D263" i="4"/>
  <c r="C263" i="4" s="1"/>
  <c r="D262" i="4"/>
  <c r="C262" i="4" s="1"/>
  <c r="D261" i="4"/>
  <c r="C261" i="4" s="1"/>
  <c r="D260" i="4"/>
  <c r="C260" i="4" s="1"/>
  <c r="D259" i="4"/>
  <c r="C259" i="4" s="1"/>
  <c r="D258" i="4"/>
  <c r="C258" i="4" s="1"/>
  <c r="D257" i="4"/>
  <c r="C257" i="4" s="1"/>
  <c r="D256" i="4"/>
  <c r="C256" i="4" s="1"/>
  <c r="D255" i="4"/>
  <c r="C255" i="4" s="1"/>
  <c r="D254" i="4"/>
  <c r="C254" i="4" s="1"/>
  <c r="D253" i="4"/>
  <c r="C253" i="4" s="1"/>
  <c r="D252" i="4"/>
  <c r="C252" i="4" s="1"/>
  <c r="D251" i="4"/>
  <c r="C251" i="4" s="1"/>
  <c r="D250" i="4"/>
  <c r="C250" i="4" s="1"/>
  <c r="D249" i="4"/>
  <c r="C249" i="4" s="1"/>
  <c r="D248" i="4"/>
  <c r="C248" i="4" s="1"/>
  <c r="E247" i="4"/>
  <c r="D247" i="4"/>
  <c r="C247" i="4" s="1"/>
  <c r="D246" i="4"/>
  <c r="C246" i="4" s="1"/>
  <c r="D245" i="4"/>
  <c r="C245" i="4" s="1"/>
  <c r="D244" i="4"/>
  <c r="C244" i="4" s="1"/>
  <c r="D243" i="4"/>
  <c r="C243" i="4" s="1"/>
  <c r="D242" i="4"/>
  <c r="C242" i="4" s="1"/>
  <c r="D241" i="4"/>
  <c r="C241" i="4" s="1"/>
  <c r="D240" i="4"/>
  <c r="C240" i="4" s="1"/>
  <c r="D239" i="4"/>
  <c r="C239" i="4" s="1"/>
  <c r="D238" i="4"/>
  <c r="C238" i="4" s="1"/>
  <c r="D237" i="4"/>
  <c r="C237" i="4" s="1"/>
  <c r="D236" i="4"/>
  <c r="C236" i="4" s="1"/>
  <c r="D235" i="4"/>
  <c r="C235" i="4" s="1"/>
  <c r="D234" i="4"/>
  <c r="C234" i="4" s="1"/>
  <c r="E233" i="4"/>
  <c r="D233" i="4"/>
  <c r="C233" i="4" s="1"/>
  <c r="D232" i="4"/>
  <c r="C232" i="4" s="1"/>
  <c r="D231" i="4"/>
  <c r="C231" i="4" s="1"/>
  <c r="D230" i="4"/>
  <c r="C230" i="4" s="1"/>
  <c r="D229" i="4"/>
  <c r="C229" i="4" s="1"/>
  <c r="D228" i="4"/>
  <c r="C228" i="4" s="1"/>
  <c r="D227" i="4"/>
  <c r="C227" i="4" s="1"/>
  <c r="D226" i="4"/>
  <c r="C226" i="4" s="1"/>
  <c r="D225" i="4"/>
  <c r="C225" i="4" s="1"/>
  <c r="D224" i="4"/>
  <c r="C224" i="4" s="1"/>
  <c r="D223" i="4"/>
  <c r="C223" i="4" s="1"/>
  <c r="D222" i="4"/>
  <c r="C222" i="4" s="1"/>
  <c r="D221" i="4"/>
  <c r="C221" i="4" s="1"/>
  <c r="D220" i="4"/>
  <c r="C220" i="4" s="1"/>
  <c r="D219" i="4"/>
  <c r="C219" i="4" s="1"/>
  <c r="D218" i="4"/>
  <c r="C218" i="4" s="1"/>
  <c r="D217" i="4"/>
  <c r="C217" i="4" s="1"/>
  <c r="D216" i="4"/>
  <c r="C216" i="4" s="1"/>
  <c r="D215" i="4"/>
  <c r="C215" i="4" s="1"/>
  <c r="D214" i="4"/>
  <c r="C214" i="4" s="1"/>
  <c r="D213" i="4"/>
  <c r="C213" i="4" s="1"/>
  <c r="D212" i="4"/>
  <c r="C212" i="4" s="1"/>
  <c r="D211" i="4"/>
  <c r="C211" i="4" s="1"/>
  <c r="D210" i="4"/>
  <c r="C210" i="4" s="1"/>
  <c r="D209" i="4"/>
  <c r="C209" i="4" s="1"/>
  <c r="D208" i="4"/>
  <c r="C208" i="4" s="1"/>
  <c r="E207" i="4"/>
  <c r="D207" i="4"/>
  <c r="C207" i="4" s="1"/>
  <c r="D206" i="4"/>
  <c r="C206" i="4" s="1"/>
  <c r="D205" i="4"/>
  <c r="C205" i="4" s="1"/>
  <c r="D204" i="4"/>
  <c r="C204" i="4" s="1"/>
  <c r="D203" i="4"/>
  <c r="C203" i="4" s="1"/>
  <c r="D202" i="4"/>
  <c r="C202" i="4" s="1"/>
  <c r="D201" i="4"/>
  <c r="C201" i="4" s="1"/>
  <c r="D200" i="4"/>
  <c r="C200" i="4" s="1"/>
  <c r="E199" i="4"/>
  <c r="D199" i="4"/>
  <c r="C199" i="4" s="1"/>
  <c r="E198" i="4"/>
  <c r="D198" i="4"/>
  <c r="C198" i="4" s="1"/>
  <c r="D197" i="4"/>
  <c r="C197" i="4" s="1"/>
  <c r="D196" i="4"/>
  <c r="C196" i="4" s="1"/>
  <c r="D195" i="4"/>
  <c r="C195" i="4" s="1"/>
  <c r="D194" i="4"/>
  <c r="C194" i="4" s="1"/>
  <c r="D193" i="4"/>
  <c r="C193" i="4" s="1"/>
  <c r="D192" i="4"/>
  <c r="C192" i="4" s="1"/>
  <c r="D191" i="4"/>
  <c r="C191" i="4" s="1"/>
  <c r="D190" i="4"/>
  <c r="C190" i="4" s="1"/>
  <c r="D189" i="4"/>
  <c r="C189" i="4" s="1"/>
  <c r="D188" i="4"/>
  <c r="C188" i="4" s="1"/>
  <c r="D187" i="4"/>
  <c r="C187" i="4" s="1"/>
  <c r="D186" i="4"/>
  <c r="C186" i="4" s="1"/>
  <c r="D185" i="4"/>
  <c r="C185" i="4" s="1"/>
  <c r="D184" i="4"/>
  <c r="C184" i="4" s="1"/>
  <c r="D183" i="4"/>
  <c r="C183" i="4" s="1"/>
  <c r="D182" i="4"/>
  <c r="C182" i="4" s="1"/>
  <c r="D181" i="4"/>
  <c r="C181" i="4" s="1"/>
  <c r="D180" i="4"/>
  <c r="C180" i="4" s="1"/>
  <c r="D179" i="4"/>
  <c r="C179" i="4" s="1"/>
  <c r="D178" i="4"/>
  <c r="C178" i="4" s="1"/>
  <c r="D177" i="4"/>
  <c r="C177" i="4" s="1"/>
  <c r="D176" i="4"/>
  <c r="C176" i="4" s="1"/>
  <c r="D175" i="4"/>
  <c r="C175" i="4" s="1"/>
  <c r="D174" i="4"/>
  <c r="C174" i="4" s="1"/>
  <c r="D173" i="4"/>
  <c r="C173" i="4" s="1"/>
  <c r="D172" i="4"/>
  <c r="C172" i="4" s="1"/>
  <c r="D171" i="4"/>
  <c r="C171" i="4" s="1"/>
  <c r="D170" i="4"/>
  <c r="C170" i="4" s="1"/>
  <c r="D169" i="4"/>
  <c r="C169" i="4" s="1"/>
  <c r="D168" i="4"/>
  <c r="C168" i="4" s="1"/>
  <c r="D167" i="4"/>
  <c r="C167" i="4" s="1"/>
  <c r="D166" i="4"/>
  <c r="C166" i="4" s="1"/>
  <c r="D165" i="4"/>
  <c r="C165" i="4" s="1"/>
  <c r="D164" i="4"/>
  <c r="C164" i="4" s="1"/>
  <c r="D163" i="4"/>
  <c r="C163" i="4" s="1"/>
  <c r="D162" i="4"/>
  <c r="C162" i="4" s="1"/>
  <c r="D161" i="4"/>
  <c r="C161" i="4" s="1"/>
  <c r="D160" i="4"/>
  <c r="C160" i="4" s="1"/>
  <c r="D159" i="4"/>
  <c r="C159" i="4" s="1"/>
  <c r="D158" i="4"/>
  <c r="C158" i="4" s="1"/>
  <c r="D157" i="4"/>
  <c r="C157" i="4" s="1"/>
  <c r="D156" i="4"/>
  <c r="C156" i="4" s="1"/>
  <c r="D155" i="4"/>
  <c r="C155" i="4" s="1"/>
  <c r="D154" i="4"/>
  <c r="C154" i="4" s="1"/>
  <c r="D153" i="4"/>
  <c r="C153" i="4" s="1"/>
  <c r="D152" i="4"/>
  <c r="C152" i="4" s="1"/>
  <c r="D151" i="4"/>
  <c r="C151" i="4" s="1"/>
  <c r="D150" i="4"/>
  <c r="C150" i="4" s="1"/>
  <c r="D149" i="4"/>
  <c r="C149" i="4" s="1"/>
  <c r="D148" i="4"/>
  <c r="C148" i="4" s="1"/>
  <c r="D147" i="4"/>
  <c r="C147" i="4" s="1"/>
  <c r="D146" i="4"/>
  <c r="C146" i="4" s="1"/>
  <c r="E145" i="4"/>
  <c r="D145" i="4"/>
  <c r="C145" i="4" s="1"/>
  <c r="D144" i="4"/>
  <c r="C144" i="4" s="1"/>
  <c r="D143" i="4"/>
  <c r="C143" i="4" s="1"/>
  <c r="D142" i="4"/>
  <c r="C142" i="4" s="1"/>
  <c r="D141" i="4"/>
  <c r="C141" i="4" s="1"/>
  <c r="D140" i="4"/>
  <c r="C140" i="4" s="1"/>
  <c r="D139" i="4"/>
  <c r="C139" i="4" s="1"/>
  <c r="D138" i="4"/>
  <c r="C138" i="4" s="1"/>
  <c r="D137" i="4"/>
  <c r="C137" i="4" s="1"/>
  <c r="D136" i="4"/>
  <c r="C136" i="4" s="1"/>
  <c r="D135" i="4"/>
  <c r="C135" i="4" s="1"/>
  <c r="D134" i="4"/>
  <c r="C134" i="4" s="1"/>
  <c r="D133" i="4"/>
  <c r="C133" i="4" s="1"/>
  <c r="D132" i="4"/>
  <c r="C132" i="4" s="1"/>
  <c r="D131" i="4"/>
  <c r="C131" i="4" s="1"/>
  <c r="D130" i="4"/>
  <c r="C130" i="4" s="1"/>
  <c r="D129" i="4"/>
  <c r="C129" i="4" s="1"/>
  <c r="D128" i="4"/>
  <c r="C128" i="4" s="1"/>
  <c r="D127" i="4"/>
  <c r="C127" i="4" s="1"/>
  <c r="D126" i="4"/>
  <c r="C126" i="4" s="1"/>
  <c r="D125" i="4"/>
  <c r="C125" i="4" s="1"/>
  <c r="D124" i="4"/>
  <c r="C124" i="4" s="1"/>
  <c r="D123" i="4"/>
  <c r="C123" i="4" s="1"/>
  <c r="D122" i="4"/>
  <c r="C122" i="4" s="1"/>
  <c r="D121" i="4"/>
  <c r="C121" i="4" s="1"/>
  <c r="D120" i="4"/>
  <c r="C120" i="4" s="1"/>
  <c r="D119" i="4"/>
  <c r="C119" i="4" s="1"/>
  <c r="D118" i="4"/>
  <c r="C118" i="4" s="1"/>
  <c r="D117" i="4"/>
  <c r="C117" i="4" s="1"/>
  <c r="D116" i="4"/>
  <c r="C116" i="4" s="1"/>
  <c r="D115" i="4"/>
  <c r="C115" i="4" s="1"/>
  <c r="D114" i="4"/>
  <c r="C114" i="4" s="1"/>
  <c r="D113" i="4"/>
  <c r="C113" i="4" s="1"/>
  <c r="D112" i="4"/>
  <c r="C112" i="4" s="1"/>
  <c r="D111" i="4"/>
  <c r="C111" i="4" s="1"/>
  <c r="D110" i="4"/>
  <c r="C110" i="4" s="1"/>
  <c r="D109" i="4"/>
  <c r="C109" i="4" s="1"/>
  <c r="D108" i="4"/>
  <c r="C108" i="4" s="1"/>
  <c r="D107" i="4"/>
  <c r="C107" i="4" s="1"/>
  <c r="D106" i="4"/>
  <c r="C106" i="4" s="1"/>
  <c r="D105" i="4"/>
  <c r="C105" i="4" s="1"/>
  <c r="D104" i="4"/>
  <c r="C104" i="4" s="1"/>
  <c r="D103" i="4"/>
  <c r="C103" i="4" s="1"/>
  <c r="D102" i="4"/>
  <c r="C102" i="4" s="1"/>
  <c r="D101" i="4"/>
  <c r="C101" i="4" s="1"/>
  <c r="D100" i="4"/>
  <c r="C100" i="4" s="1"/>
  <c r="D99" i="4"/>
  <c r="C99" i="4" s="1"/>
  <c r="D98" i="4"/>
  <c r="C98" i="4" s="1"/>
  <c r="D97" i="4"/>
  <c r="C97" i="4" s="1"/>
  <c r="D96" i="4"/>
  <c r="C96" i="4" s="1"/>
  <c r="D95" i="4"/>
  <c r="C95" i="4" s="1"/>
  <c r="D94" i="4"/>
  <c r="C94" i="4" s="1"/>
  <c r="D93" i="4"/>
  <c r="C93" i="4" s="1"/>
  <c r="D92" i="4"/>
  <c r="C92" i="4" s="1"/>
  <c r="D91" i="4"/>
  <c r="C91" i="4" s="1"/>
  <c r="D90" i="4"/>
  <c r="C90" i="4" s="1"/>
  <c r="D89" i="4"/>
  <c r="C89" i="4" s="1"/>
  <c r="D88" i="4"/>
  <c r="C88" i="4" s="1"/>
  <c r="D87" i="4"/>
  <c r="C87" i="4" s="1"/>
  <c r="D86" i="4"/>
  <c r="C86" i="4" s="1"/>
  <c r="D85" i="4"/>
  <c r="C85" i="4" s="1"/>
  <c r="D84" i="4"/>
  <c r="C84" i="4" s="1"/>
  <c r="D83" i="4"/>
  <c r="C83" i="4" s="1"/>
  <c r="D82" i="4"/>
  <c r="C82" i="4" s="1"/>
  <c r="D81" i="4"/>
  <c r="C81" i="4" s="1"/>
  <c r="D80" i="4"/>
  <c r="C80" i="4" s="1"/>
  <c r="D79" i="4"/>
  <c r="C79" i="4" s="1"/>
  <c r="D78" i="4"/>
  <c r="C78" i="4" s="1"/>
  <c r="D77" i="4"/>
  <c r="C77" i="4" s="1"/>
  <c r="E76" i="4"/>
  <c r="D76" i="4"/>
  <c r="C76" i="4" s="1"/>
  <c r="D75" i="4"/>
  <c r="C75" i="4" s="1"/>
  <c r="D74" i="4"/>
  <c r="C74" i="4" s="1"/>
  <c r="D73" i="4"/>
  <c r="C73" i="4" s="1"/>
  <c r="D72" i="4"/>
  <c r="C72" i="4" s="1"/>
  <c r="D71" i="4"/>
  <c r="C71" i="4" s="1"/>
  <c r="D70" i="4"/>
  <c r="C70" i="4" s="1"/>
  <c r="D69" i="4"/>
  <c r="C69" i="4" s="1"/>
  <c r="D68" i="4"/>
  <c r="C68" i="4" s="1"/>
  <c r="D67" i="4"/>
  <c r="C67" i="4" s="1"/>
  <c r="D66" i="4"/>
  <c r="C66" i="4" s="1"/>
  <c r="D65" i="4"/>
  <c r="C65" i="4" s="1"/>
  <c r="D64" i="4"/>
  <c r="C64" i="4" s="1"/>
  <c r="D63" i="4"/>
  <c r="C63" i="4" s="1"/>
  <c r="D62" i="4"/>
  <c r="C62" i="4" s="1"/>
  <c r="D61" i="4"/>
  <c r="C61" i="4" s="1"/>
  <c r="D60" i="4"/>
  <c r="C60" i="4" s="1"/>
  <c r="D59" i="4"/>
  <c r="C59" i="4" s="1"/>
  <c r="D58" i="4"/>
  <c r="C58" i="4" s="1"/>
  <c r="D57" i="4"/>
  <c r="C57" i="4" s="1"/>
  <c r="D56" i="4"/>
  <c r="C56" i="4" s="1"/>
  <c r="D55" i="4"/>
  <c r="C55" i="4" s="1"/>
  <c r="D54" i="4"/>
  <c r="C54" i="4" s="1"/>
  <c r="D53" i="4"/>
  <c r="C53" i="4" s="1"/>
  <c r="D52" i="4"/>
  <c r="C52" i="4" s="1"/>
  <c r="D51" i="4"/>
  <c r="C51" i="4" s="1"/>
  <c r="D50" i="4"/>
  <c r="C50" i="4" s="1"/>
  <c r="D49" i="4"/>
  <c r="C49" i="4" s="1"/>
  <c r="D48" i="4"/>
  <c r="C48" i="4" s="1"/>
  <c r="D47" i="4"/>
  <c r="C47" i="4" s="1"/>
  <c r="D46" i="4"/>
  <c r="C46" i="4" s="1"/>
  <c r="D45" i="4"/>
  <c r="C45" i="4" s="1"/>
  <c r="D44" i="4"/>
  <c r="C44" i="4" s="1"/>
  <c r="D43" i="4"/>
  <c r="C43" i="4" s="1"/>
  <c r="D42" i="4"/>
  <c r="C42" i="4" s="1"/>
  <c r="D41" i="4"/>
  <c r="C41" i="4" s="1"/>
  <c r="D40" i="4"/>
  <c r="C40" i="4" s="1"/>
  <c r="D39" i="4"/>
  <c r="C39" i="4" s="1"/>
  <c r="D38" i="4"/>
  <c r="C38" i="4" s="1"/>
  <c r="D37" i="4"/>
  <c r="C37" i="4" s="1"/>
  <c r="D36" i="4"/>
  <c r="C36" i="4" s="1"/>
  <c r="D35" i="4"/>
  <c r="C35" i="4" s="1"/>
  <c r="D34" i="4"/>
  <c r="C34" i="4" s="1"/>
  <c r="D33" i="4"/>
  <c r="C33" i="4" s="1"/>
  <c r="D32" i="4"/>
  <c r="C32" i="4" s="1"/>
  <c r="D31" i="4"/>
  <c r="C31" i="4" s="1"/>
  <c r="D30" i="4"/>
  <c r="C30" i="4" s="1"/>
  <c r="D29" i="4"/>
  <c r="C29" i="4" s="1"/>
  <c r="D28" i="4"/>
  <c r="C28" i="4" s="1"/>
  <c r="D27" i="4"/>
  <c r="C27" i="4" s="1"/>
  <c r="D26" i="4"/>
  <c r="C26" i="4" s="1"/>
  <c r="D25" i="4"/>
  <c r="C25" i="4" s="1"/>
  <c r="E24" i="4"/>
  <c r="D24" i="4"/>
  <c r="C24" i="4" s="1"/>
  <c r="D23" i="4"/>
  <c r="C23" i="4" s="1"/>
  <c r="D22" i="4"/>
  <c r="C22" i="4" s="1"/>
  <c r="D21" i="4"/>
  <c r="C21" i="4" s="1"/>
  <c r="D20" i="4"/>
  <c r="C20" i="4" s="1"/>
  <c r="D19" i="4"/>
  <c r="C19" i="4" s="1"/>
  <c r="D18" i="4"/>
  <c r="C18" i="4" s="1"/>
  <c r="D17" i="4"/>
  <c r="C17" i="4" s="1"/>
  <c r="D16" i="4"/>
  <c r="C16" i="4" s="1"/>
  <c r="D15" i="4"/>
  <c r="C15" i="4" s="1"/>
  <c r="D14" i="4"/>
  <c r="C14" i="4" s="1"/>
  <c r="D13" i="4"/>
  <c r="C13" i="4" s="1"/>
  <c r="D12" i="4"/>
  <c r="C12" i="4" s="1"/>
  <c r="D11" i="4"/>
  <c r="C11" i="4" s="1"/>
  <c r="D10" i="4"/>
  <c r="C10" i="4" s="1"/>
  <c r="D9" i="4"/>
  <c r="C9" i="4" s="1"/>
  <c r="D8" i="4"/>
  <c r="C8" i="4" s="1"/>
  <c r="D7" i="4"/>
  <c r="C7" i="4" s="1"/>
  <c r="D6" i="4"/>
  <c r="C6" i="4" s="1"/>
  <c r="D5" i="4"/>
  <c r="C5" i="4" s="1"/>
  <c r="D4" i="4"/>
  <c r="C4" i="4" s="1"/>
  <c r="D3" i="4"/>
  <c r="C3" i="4" s="1"/>
  <c r="D2" i="4"/>
  <c r="C2" i="4" s="1"/>
  <c r="G1110" i="3"/>
  <c r="H1110" i="3" s="1"/>
  <c r="G1109" i="3"/>
  <c r="H1109" i="3" s="1"/>
  <c r="G1108" i="3"/>
  <c r="H1108" i="3" s="1"/>
  <c r="G1107" i="3"/>
  <c r="H1107" i="3" s="1"/>
  <c r="G1106" i="3"/>
  <c r="H1106" i="3" s="1"/>
  <c r="G1105" i="3"/>
  <c r="H1105" i="3" s="1"/>
  <c r="G1104" i="3"/>
  <c r="H1104" i="3" s="1"/>
  <c r="G1103" i="3"/>
  <c r="H1103" i="3" s="1"/>
  <c r="G1102" i="3"/>
  <c r="H1102" i="3" s="1"/>
  <c r="G1101" i="3"/>
  <c r="H1101" i="3" s="1"/>
  <c r="G1100" i="3"/>
  <c r="H1100" i="3" s="1"/>
  <c r="G1099" i="3"/>
  <c r="H1099" i="3" s="1"/>
  <c r="G1098" i="3"/>
  <c r="H1098" i="3" s="1"/>
  <c r="G1097" i="3"/>
  <c r="H1097" i="3" s="1"/>
  <c r="G1096" i="3"/>
  <c r="H1096" i="3" s="1"/>
  <c r="G1095" i="3"/>
  <c r="H1095" i="3" s="1"/>
  <c r="G1094" i="3"/>
  <c r="H1094" i="3" s="1"/>
  <c r="G1093" i="3"/>
  <c r="H1093" i="3" s="1"/>
  <c r="G1092" i="3"/>
  <c r="H1092" i="3" s="1"/>
  <c r="G1091" i="3"/>
  <c r="H1091" i="3" s="1"/>
  <c r="G1090" i="3"/>
  <c r="H1090" i="3" s="1"/>
  <c r="G1089" i="3"/>
  <c r="H1089" i="3" s="1"/>
  <c r="G1088" i="3"/>
  <c r="H1088" i="3" s="1"/>
  <c r="G1087" i="3"/>
  <c r="H1087" i="3" s="1"/>
  <c r="G1086" i="3"/>
  <c r="H1086" i="3" s="1"/>
  <c r="G1085" i="3"/>
  <c r="H1085" i="3" s="1"/>
  <c r="G1084" i="3"/>
  <c r="H1084" i="3" s="1"/>
  <c r="G1083" i="3"/>
  <c r="H1083" i="3" s="1"/>
  <c r="G1082" i="3"/>
  <c r="H1082" i="3" s="1"/>
  <c r="G1081" i="3"/>
  <c r="H1081" i="3" s="1"/>
  <c r="G1080" i="3"/>
  <c r="H1080" i="3" s="1"/>
  <c r="G1079" i="3"/>
  <c r="H1079" i="3" s="1"/>
  <c r="G1078" i="3"/>
  <c r="H1078" i="3" s="1"/>
  <c r="G1077" i="3"/>
  <c r="H1077" i="3" s="1"/>
  <c r="G1076" i="3"/>
  <c r="H1076" i="3" s="1"/>
  <c r="G1075" i="3"/>
  <c r="H1075" i="3" s="1"/>
  <c r="G1074" i="3"/>
  <c r="H1074" i="3" s="1"/>
  <c r="G1073" i="3"/>
  <c r="H1073" i="3" s="1"/>
  <c r="G1072" i="3"/>
  <c r="H1072" i="3" s="1"/>
  <c r="G1071" i="3"/>
  <c r="H1071" i="3" s="1"/>
  <c r="G1070" i="3"/>
  <c r="H1070" i="3" s="1"/>
  <c r="G1069" i="3"/>
  <c r="H1069" i="3" s="1"/>
  <c r="G1068" i="3"/>
  <c r="H1068" i="3" s="1"/>
  <c r="G1067" i="3"/>
  <c r="H1067" i="3" s="1"/>
  <c r="G1066" i="3"/>
  <c r="H1066" i="3" s="1"/>
  <c r="G1065" i="3"/>
  <c r="H1065" i="3" s="1"/>
  <c r="G1064" i="3"/>
  <c r="H1064" i="3" s="1"/>
  <c r="G1063" i="3"/>
  <c r="H1063" i="3" s="1"/>
  <c r="G1062" i="3"/>
  <c r="H1062" i="3" s="1"/>
  <c r="G1061" i="3"/>
  <c r="H1061" i="3" s="1"/>
  <c r="G1060" i="3"/>
  <c r="H1060" i="3" s="1"/>
  <c r="G1059" i="3"/>
  <c r="H1059" i="3" s="1"/>
  <c r="G1058" i="3"/>
  <c r="H1058" i="3" s="1"/>
  <c r="G1057" i="3"/>
  <c r="H1057" i="3" s="1"/>
  <c r="G1056" i="3"/>
  <c r="H1056" i="3" s="1"/>
  <c r="G1055" i="3"/>
  <c r="H1055" i="3" s="1"/>
  <c r="G1054" i="3"/>
  <c r="H1054" i="3" s="1"/>
  <c r="G1053" i="3"/>
  <c r="H1053" i="3" s="1"/>
  <c r="G1052" i="3"/>
  <c r="H1052" i="3" s="1"/>
  <c r="G1051" i="3"/>
  <c r="H1051" i="3" s="1"/>
  <c r="G1050" i="3"/>
  <c r="H1050" i="3" s="1"/>
  <c r="G1049" i="3"/>
  <c r="H1049" i="3" s="1"/>
  <c r="G1048" i="3"/>
  <c r="H1048" i="3" s="1"/>
  <c r="G1047" i="3"/>
  <c r="H1047" i="3" s="1"/>
  <c r="G1046" i="3"/>
  <c r="H1046" i="3" s="1"/>
  <c r="G1045" i="3"/>
  <c r="H1045" i="3" s="1"/>
  <c r="G1044" i="3"/>
  <c r="H1044" i="3" s="1"/>
  <c r="G1043" i="3"/>
  <c r="H1043" i="3" s="1"/>
  <c r="G1042" i="3"/>
  <c r="H1042" i="3" s="1"/>
  <c r="G1041" i="3"/>
  <c r="H1041" i="3" s="1"/>
  <c r="G1040" i="3"/>
  <c r="H1040" i="3" s="1"/>
  <c r="G1039" i="3"/>
  <c r="H1039" i="3" s="1"/>
  <c r="G1038" i="3"/>
  <c r="H1038" i="3" s="1"/>
  <c r="G1037" i="3"/>
  <c r="H1037" i="3" s="1"/>
  <c r="G1036" i="3"/>
  <c r="H1036" i="3" s="1"/>
  <c r="G1035" i="3"/>
  <c r="H1035" i="3" s="1"/>
  <c r="G1034" i="3"/>
  <c r="H1034" i="3" s="1"/>
  <c r="G1033" i="3"/>
  <c r="H1033" i="3" s="1"/>
  <c r="G1032" i="3"/>
  <c r="H1032" i="3" s="1"/>
  <c r="G1031" i="3"/>
  <c r="H1031" i="3" s="1"/>
  <c r="G1030" i="3"/>
  <c r="H1030" i="3" s="1"/>
  <c r="G1029" i="3"/>
  <c r="H1029" i="3" s="1"/>
  <c r="G1028" i="3"/>
  <c r="H1028" i="3" s="1"/>
  <c r="G1027" i="3"/>
  <c r="H1027" i="3" s="1"/>
  <c r="G1026" i="3"/>
  <c r="H1026" i="3" s="1"/>
  <c r="G1025" i="3"/>
  <c r="H1025" i="3" s="1"/>
  <c r="G1024" i="3"/>
  <c r="H1024" i="3" s="1"/>
  <c r="G1023" i="3"/>
  <c r="H1023" i="3" s="1"/>
  <c r="G1022" i="3"/>
  <c r="H1022" i="3" s="1"/>
  <c r="G1021" i="3"/>
  <c r="H1021" i="3" s="1"/>
  <c r="G1020" i="3"/>
  <c r="H1020" i="3" s="1"/>
  <c r="G1019" i="3"/>
  <c r="H1019" i="3" s="1"/>
  <c r="G1018" i="3"/>
  <c r="H1018" i="3" s="1"/>
  <c r="G1017" i="3"/>
  <c r="H1017" i="3" s="1"/>
  <c r="G1016" i="3"/>
  <c r="H1016" i="3" s="1"/>
  <c r="G1015" i="3"/>
  <c r="H1015" i="3" s="1"/>
  <c r="G1014" i="3"/>
  <c r="H1014" i="3" s="1"/>
  <c r="G1013" i="3"/>
  <c r="H1013" i="3" s="1"/>
  <c r="G1012" i="3"/>
  <c r="H1012" i="3" s="1"/>
  <c r="G1011" i="3"/>
  <c r="H1011" i="3" s="1"/>
  <c r="G1010" i="3"/>
  <c r="H1010" i="3" s="1"/>
  <c r="G1009" i="3"/>
  <c r="H1009" i="3" s="1"/>
  <c r="G1008" i="3"/>
  <c r="H1008" i="3" s="1"/>
  <c r="G1007" i="3"/>
  <c r="H1007" i="3" s="1"/>
  <c r="G1006" i="3"/>
  <c r="H1006" i="3" s="1"/>
  <c r="G1005" i="3"/>
  <c r="H1005" i="3" s="1"/>
  <c r="G1004" i="3"/>
  <c r="H1004" i="3" s="1"/>
  <c r="G1003" i="3"/>
  <c r="H1003" i="3" s="1"/>
  <c r="G1002" i="3"/>
  <c r="H1002" i="3" s="1"/>
  <c r="G1001" i="3"/>
  <c r="H1001" i="3" s="1"/>
  <c r="G1000" i="3"/>
  <c r="H1000" i="3" s="1"/>
  <c r="G999" i="3"/>
  <c r="H999" i="3" s="1"/>
  <c r="G998" i="3"/>
  <c r="H998" i="3" s="1"/>
  <c r="G997" i="3"/>
  <c r="H997" i="3" s="1"/>
  <c r="G996" i="3"/>
  <c r="H996" i="3" s="1"/>
  <c r="G995" i="3"/>
  <c r="H995" i="3" s="1"/>
  <c r="G994" i="3"/>
  <c r="H994" i="3" s="1"/>
  <c r="G993" i="3"/>
  <c r="H993" i="3" s="1"/>
  <c r="G992" i="3"/>
  <c r="H992" i="3" s="1"/>
  <c r="G991" i="3"/>
  <c r="H991" i="3" s="1"/>
  <c r="G990" i="3"/>
  <c r="H990" i="3" s="1"/>
  <c r="G989" i="3"/>
  <c r="H989" i="3" s="1"/>
  <c r="G988" i="3"/>
  <c r="H988" i="3" s="1"/>
  <c r="G987" i="3"/>
  <c r="H987" i="3" s="1"/>
  <c r="G986" i="3"/>
  <c r="H986" i="3" s="1"/>
  <c r="G985" i="3"/>
  <c r="H985" i="3" s="1"/>
  <c r="G984" i="3"/>
  <c r="H984" i="3" s="1"/>
  <c r="G983" i="3"/>
  <c r="H983" i="3" s="1"/>
  <c r="G982" i="3"/>
  <c r="H982" i="3" s="1"/>
  <c r="G981" i="3"/>
  <c r="H981" i="3" s="1"/>
  <c r="G980" i="3"/>
  <c r="H980" i="3" s="1"/>
  <c r="G979" i="3"/>
  <c r="H979" i="3" s="1"/>
  <c r="G978" i="3"/>
  <c r="H978" i="3" s="1"/>
  <c r="G977" i="3"/>
  <c r="H977" i="3" s="1"/>
  <c r="G976" i="3"/>
  <c r="H976" i="3" s="1"/>
  <c r="G975" i="3"/>
  <c r="H975" i="3" s="1"/>
  <c r="G974" i="3"/>
  <c r="H974" i="3" s="1"/>
  <c r="G973" i="3"/>
  <c r="H973" i="3" s="1"/>
  <c r="G972" i="3"/>
  <c r="H972" i="3" s="1"/>
  <c r="G971" i="3"/>
  <c r="H971" i="3" s="1"/>
  <c r="G970" i="3"/>
  <c r="H970" i="3" s="1"/>
  <c r="G969" i="3"/>
  <c r="H969" i="3" s="1"/>
  <c r="G968" i="3"/>
  <c r="H968" i="3" s="1"/>
  <c r="G967" i="3"/>
  <c r="H967" i="3" s="1"/>
  <c r="G966" i="3"/>
  <c r="H966" i="3" s="1"/>
  <c r="G965" i="3"/>
  <c r="H965" i="3" s="1"/>
  <c r="G964" i="3"/>
  <c r="H964" i="3" s="1"/>
  <c r="G963" i="3"/>
  <c r="H963" i="3" s="1"/>
  <c r="G962" i="3"/>
  <c r="H962" i="3" s="1"/>
  <c r="G961" i="3"/>
  <c r="H961" i="3" s="1"/>
  <c r="G960" i="3"/>
  <c r="H960" i="3" s="1"/>
  <c r="G959" i="3"/>
  <c r="H959" i="3" s="1"/>
  <c r="G958" i="3"/>
  <c r="H958" i="3" s="1"/>
  <c r="G957" i="3"/>
  <c r="H957" i="3" s="1"/>
  <c r="G956" i="3"/>
  <c r="H956" i="3" s="1"/>
  <c r="G955" i="3"/>
  <c r="H955" i="3" s="1"/>
  <c r="G954" i="3"/>
  <c r="H954" i="3" s="1"/>
  <c r="G953" i="3"/>
  <c r="H953" i="3" s="1"/>
  <c r="G952" i="3"/>
  <c r="H952" i="3" s="1"/>
  <c r="G951" i="3"/>
  <c r="H951" i="3" s="1"/>
  <c r="G950" i="3"/>
  <c r="H950" i="3" s="1"/>
  <c r="G949" i="3"/>
  <c r="H949" i="3" s="1"/>
  <c r="G948" i="3"/>
  <c r="H948" i="3" s="1"/>
  <c r="G947" i="3"/>
  <c r="H947" i="3" s="1"/>
  <c r="G946" i="3"/>
  <c r="H946" i="3" s="1"/>
  <c r="G945" i="3"/>
  <c r="H945" i="3" s="1"/>
  <c r="G944" i="3"/>
  <c r="H944" i="3" s="1"/>
  <c r="G943" i="3"/>
  <c r="H943" i="3" s="1"/>
  <c r="G942" i="3"/>
  <c r="H942" i="3" s="1"/>
  <c r="G941" i="3"/>
  <c r="H941" i="3" s="1"/>
  <c r="G940" i="3"/>
  <c r="H940" i="3" s="1"/>
  <c r="G939" i="3"/>
  <c r="H939" i="3" s="1"/>
  <c r="G938" i="3"/>
  <c r="H938" i="3" s="1"/>
  <c r="G937" i="3"/>
  <c r="H937" i="3" s="1"/>
  <c r="G936" i="3"/>
  <c r="H936" i="3" s="1"/>
  <c r="G935" i="3"/>
  <c r="H935" i="3" s="1"/>
  <c r="G934" i="3"/>
  <c r="H934" i="3" s="1"/>
  <c r="G933" i="3"/>
  <c r="H933" i="3" s="1"/>
  <c r="G932" i="3"/>
  <c r="H932" i="3" s="1"/>
  <c r="G931" i="3"/>
  <c r="H931" i="3" s="1"/>
  <c r="G930" i="3"/>
  <c r="H930" i="3" s="1"/>
  <c r="G929" i="3"/>
  <c r="H929" i="3" s="1"/>
  <c r="G928" i="3"/>
  <c r="H928" i="3" s="1"/>
  <c r="G927" i="3"/>
  <c r="H927" i="3" s="1"/>
  <c r="G926" i="3"/>
  <c r="H926" i="3" s="1"/>
  <c r="G925" i="3"/>
  <c r="H925" i="3" s="1"/>
  <c r="G924" i="3"/>
  <c r="H924" i="3" s="1"/>
  <c r="G923" i="3"/>
  <c r="H923" i="3" s="1"/>
  <c r="G922" i="3"/>
  <c r="H922" i="3" s="1"/>
  <c r="G921" i="3"/>
  <c r="H921" i="3" s="1"/>
  <c r="G920" i="3"/>
  <c r="H920" i="3" s="1"/>
  <c r="G919" i="3"/>
  <c r="H919" i="3" s="1"/>
  <c r="G918" i="3"/>
  <c r="H918" i="3" s="1"/>
  <c r="G917" i="3"/>
  <c r="H917" i="3" s="1"/>
  <c r="G916" i="3"/>
  <c r="H916" i="3" s="1"/>
  <c r="G915" i="3"/>
  <c r="H915" i="3" s="1"/>
  <c r="G914" i="3"/>
  <c r="H914" i="3" s="1"/>
  <c r="G913" i="3"/>
  <c r="H913" i="3" s="1"/>
  <c r="G912" i="3"/>
  <c r="H912" i="3" s="1"/>
  <c r="G911" i="3"/>
  <c r="H911" i="3" s="1"/>
  <c r="G910" i="3"/>
  <c r="H910" i="3" s="1"/>
  <c r="G909" i="3"/>
  <c r="H909" i="3" s="1"/>
  <c r="G908" i="3"/>
  <c r="H908" i="3" s="1"/>
  <c r="G907" i="3"/>
  <c r="H907" i="3" s="1"/>
  <c r="G906" i="3"/>
  <c r="H906" i="3" s="1"/>
  <c r="G905" i="3"/>
  <c r="H905" i="3" s="1"/>
  <c r="G904" i="3"/>
  <c r="H904" i="3" s="1"/>
  <c r="G903" i="3"/>
  <c r="H903" i="3" s="1"/>
  <c r="G902" i="3"/>
  <c r="H902" i="3" s="1"/>
  <c r="G901" i="3"/>
  <c r="H901" i="3" s="1"/>
  <c r="G900" i="3"/>
  <c r="H900" i="3" s="1"/>
  <c r="G899" i="3"/>
  <c r="H899" i="3" s="1"/>
  <c r="G898" i="3"/>
  <c r="H898" i="3" s="1"/>
  <c r="G897" i="3"/>
  <c r="H897" i="3" s="1"/>
  <c r="G896" i="3"/>
  <c r="H896" i="3" s="1"/>
  <c r="G895" i="3"/>
  <c r="H895" i="3" s="1"/>
  <c r="G894" i="3"/>
  <c r="H894" i="3" s="1"/>
  <c r="G893" i="3"/>
  <c r="H893" i="3" s="1"/>
  <c r="G892" i="3"/>
  <c r="H892" i="3" s="1"/>
  <c r="G891" i="3"/>
  <c r="H891" i="3" s="1"/>
  <c r="G890" i="3"/>
  <c r="H890" i="3" s="1"/>
  <c r="G889" i="3"/>
  <c r="H889" i="3" s="1"/>
  <c r="G888" i="3"/>
  <c r="H888" i="3" s="1"/>
  <c r="G887" i="3"/>
  <c r="H887" i="3" s="1"/>
  <c r="G886" i="3"/>
  <c r="H886" i="3" s="1"/>
  <c r="G885" i="3"/>
  <c r="H885" i="3" s="1"/>
  <c r="G884" i="3"/>
  <c r="H884" i="3" s="1"/>
  <c r="G883" i="3"/>
  <c r="H883" i="3" s="1"/>
  <c r="G882" i="3"/>
  <c r="H882" i="3" s="1"/>
  <c r="G881" i="3"/>
  <c r="H881" i="3" s="1"/>
  <c r="G880" i="3"/>
  <c r="H880" i="3" s="1"/>
  <c r="G879" i="3"/>
  <c r="H879" i="3" s="1"/>
  <c r="G878" i="3"/>
  <c r="H878" i="3" s="1"/>
  <c r="G877" i="3"/>
  <c r="H877" i="3" s="1"/>
  <c r="G876" i="3"/>
  <c r="H876" i="3" s="1"/>
  <c r="G875" i="3"/>
  <c r="H875" i="3" s="1"/>
  <c r="G874" i="3"/>
  <c r="H874" i="3" s="1"/>
  <c r="G873" i="3"/>
  <c r="H873" i="3" s="1"/>
  <c r="G872" i="3"/>
  <c r="H872" i="3" s="1"/>
  <c r="G871" i="3"/>
  <c r="H871" i="3" s="1"/>
  <c r="G870" i="3"/>
  <c r="H870" i="3" s="1"/>
  <c r="G869" i="3"/>
  <c r="H869" i="3" s="1"/>
  <c r="G868" i="3"/>
  <c r="H868" i="3" s="1"/>
  <c r="G867" i="3"/>
  <c r="H867" i="3" s="1"/>
  <c r="G866" i="3"/>
  <c r="H866" i="3" s="1"/>
  <c r="G865" i="3"/>
  <c r="H865" i="3" s="1"/>
  <c r="G864" i="3"/>
  <c r="H864" i="3" s="1"/>
  <c r="G863" i="3"/>
  <c r="H863" i="3" s="1"/>
  <c r="G862" i="3"/>
  <c r="H862" i="3" s="1"/>
  <c r="G861" i="3"/>
  <c r="H861" i="3" s="1"/>
  <c r="G860" i="3"/>
  <c r="H860" i="3" s="1"/>
  <c r="G859" i="3"/>
  <c r="H859" i="3" s="1"/>
  <c r="G858" i="3"/>
  <c r="H858" i="3" s="1"/>
  <c r="G857" i="3"/>
  <c r="H857" i="3" s="1"/>
  <c r="G856" i="3"/>
  <c r="H856" i="3" s="1"/>
  <c r="G855" i="3"/>
  <c r="H855" i="3" s="1"/>
  <c r="G854" i="3"/>
  <c r="H854" i="3" s="1"/>
  <c r="G853" i="3"/>
  <c r="H853" i="3" s="1"/>
  <c r="G852" i="3"/>
  <c r="H852" i="3" s="1"/>
  <c r="G851" i="3"/>
  <c r="H851" i="3" s="1"/>
  <c r="G850" i="3"/>
  <c r="H850" i="3" s="1"/>
  <c r="G849" i="3"/>
  <c r="H849" i="3" s="1"/>
  <c r="G848" i="3"/>
  <c r="H848" i="3" s="1"/>
  <c r="G847" i="3"/>
  <c r="H847" i="3" s="1"/>
  <c r="G846" i="3"/>
  <c r="H846" i="3" s="1"/>
  <c r="G845" i="3"/>
  <c r="H845" i="3" s="1"/>
  <c r="G844" i="3"/>
  <c r="H844" i="3" s="1"/>
  <c r="G843" i="3"/>
  <c r="H843" i="3" s="1"/>
  <c r="G842" i="3"/>
  <c r="H842" i="3" s="1"/>
  <c r="G841" i="3"/>
  <c r="H841" i="3" s="1"/>
  <c r="G840" i="3"/>
  <c r="H840" i="3" s="1"/>
  <c r="G839" i="3"/>
  <c r="H839" i="3" s="1"/>
  <c r="G838" i="3"/>
  <c r="H838" i="3" s="1"/>
  <c r="G837" i="3"/>
  <c r="H837" i="3" s="1"/>
  <c r="G836" i="3"/>
  <c r="H836" i="3" s="1"/>
  <c r="G835" i="3"/>
  <c r="H835" i="3" s="1"/>
  <c r="G834" i="3"/>
  <c r="H834" i="3" s="1"/>
  <c r="G833" i="3"/>
  <c r="H833" i="3" s="1"/>
  <c r="G832" i="3"/>
  <c r="H832" i="3" s="1"/>
  <c r="G831" i="3"/>
  <c r="H831" i="3" s="1"/>
  <c r="G830" i="3"/>
  <c r="H830" i="3" s="1"/>
  <c r="G829" i="3"/>
  <c r="H829" i="3" s="1"/>
  <c r="G828" i="3"/>
  <c r="H828" i="3" s="1"/>
  <c r="G827" i="3"/>
  <c r="H827" i="3" s="1"/>
  <c r="G826" i="3"/>
  <c r="H826" i="3" s="1"/>
  <c r="G825" i="3"/>
  <c r="H825" i="3" s="1"/>
  <c r="G824" i="3"/>
  <c r="H824" i="3" s="1"/>
  <c r="G823" i="3"/>
  <c r="H823" i="3" s="1"/>
  <c r="G822" i="3"/>
  <c r="H822" i="3" s="1"/>
  <c r="G821" i="3"/>
  <c r="H821" i="3" s="1"/>
  <c r="G820" i="3"/>
  <c r="H820" i="3" s="1"/>
  <c r="G819" i="3"/>
  <c r="H819" i="3" s="1"/>
  <c r="G818" i="3"/>
  <c r="H818" i="3" s="1"/>
  <c r="G817" i="3"/>
  <c r="H817" i="3" s="1"/>
  <c r="G816" i="3"/>
  <c r="H816" i="3" s="1"/>
  <c r="G815" i="3"/>
  <c r="H815" i="3" s="1"/>
  <c r="G814" i="3"/>
  <c r="H814" i="3" s="1"/>
  <c r="G813" i="3"/>
  <c r="H813" i="3" s="1"/>
  <c r="G812" i="3"/>
  <c r="H812" i="3" s="1"/>
  <c r="G811" i="3"/>
  <c r="H811" i="3" s="1"/>
  <c r="G810" i="3"/>
  <c r="H810" i="3" s="1"/>
  <c r="G809" i="3"/>
  <c r="H809" i="3" s="1"/>
  <c r="G808" i="3"/>
  <c r="H808" i="3" s="1"/>
  <c r="G807" i="3"/>
  <c r="H807" i="3" s="1"/>
  <c r="G806" i="3"/>
  <c r="H806" i="3" s="1"/>
  <c r="G805" i="3"/>
  <c r="H805" i="3" s="1"/>
  <c r="G804" i="3"/>
  <c r="H804" i="3" s="1"/>
  <c r="G803" i="3"/>
  <c r="H803" i="3" s="1"/>
  <c r="G802" i="3"/>
  <c r="H802" i="3" s="1"/>
  <c r="G801" i="3"/>
  <c r="H801" i="3" s="1"/>
  <c r="G800" i="3"/>
  <c r="H800" i="3" s="1"/>
  <c r="G799" i="3"/>
  <c r="H799" i="3" s="1"/>
  <c r="G798" i="3"/>
  <c r="H798" i="3" s="1"/>
  <c r="G797" i="3"/>
  <c r="H797" i="3" s="1"/>
  <c r="G796" i="3"/>
  <c r="H796" i="3" s="1"/>
  <c r="G795" i="3"/>
  <c r="H795" i="3" s="1"/>
  <c r="G794" i="3"/>
  <c r="H794" i="3" s="1"/>
  <c r="G793" i="3"/>
  <c r="H793" i="3" s="1"/>
  <c r="G792" i="3"/>
  <c r="H792" i="3" s="1"/>
  <c r="G791" i="3"/>
  <c r="H791" i="3" s="1"/>
  <c r="G790" i="3"/>
  <c r="H790" i="3" s="1"/>
  <c r="G789" i="3"/>
  <c r="H789" i="3" s="1"/>
  <c r="G788" i="3"/>
  <c r="H788" i="3" s="1"/>
  <c r="G787" i="3"/>
  <c r="H787" i="3" s="1"/>
  <c r="G786" i="3"/>
  <c r="H786" i="3" s="1"/>
  <c r="G785" i="3"/>
  <c r="H785" i="3" s="1"/>
  <c r="G784" i="3"/>
  <c r="H784" i="3" s="1"/>
  <c r="G783" i="3"/>
  <c r="H783" i="3" s="1"/>
  <c r="G782" i="3"/>
  <c r="H782" i="3" s="1"/>
  <c r="G781" i="3"/>
  <c r="H781" i="3" s="1"/>
  <c r="G780" i="3"/>
  <c r="H780" i="3" s="1"/>
  <c r="G779" i="3"/>
  <c r="H779" i="3" s="1"/>
  <c r="G778" i="3"/>
  <c r="H778" i="3" s="1"/>
  <c r="G777" i="3"/>
  <c r="H777" i="3" s="1"/>
  <c r="G776" i="3"/>
  <c r="H776" i="3" s="1"/>
  <c r="G775" i="3"/>
  <c r="H775" i="3" s="1"/>
  <c r="G774" i="3"/>
  <c r="H774" i="3" s="1"/>
  <c r="G773" i="3"/>
  <c r="H773" i="3" s="1"/>
  <c r="G772" i="3"/>
  <c r="H772" i="3" s="1"/>
  <c r="G771" i="3"/>
  <c r="H771" i="3" s="1"/>
  <c r="G770" i="3"/>
  <c r="H770" i="3" s="1"/>
  <c r="G769" i="3"/>
  <c r="H769" i="3" s="1"/>
  <c r="G768" i="3"/>
  <c r="H768" i="3" s="1"/>
  <c r="G767" i="3"/>
  <c r="H767" i="3" s="1"/>
  <c r="G766" i="3"/>
  <c r="H766" i="3" s="1"/>
  <c r="G765" i="3"/>
  <c r="H765" i="3" s="1"/>
  <c r="G764" i="3"/>
  <c r="H764" i="3" s="1"/>
  <c r="G763" i="3"/>
  <c r="H763" i="3" s="1"/>
  <c r="G762" i="3"/>
  <c r="H762" i="3" s="1"/>
  <c r="G761" i="3"/>
  <c r="H761" i="3" s="1"/>
  <c r="G760" i="3"/>
  <c r="H760" i="3" s="1"/>
  <c r="G759" i="3"/>
  <c r="H759" i="3" s="1"/>
  <c r="G758" i="3"/>
  <c r="H758" i="3" s="1"/>
  <c r="G757" i="3"/>
  <c r="H757" i="3" s="1"/>
  <c r="G756" i="3"/>
  <c r="H756" i="3" s="1"/>
  <c r="G755" i="3"/>
  <c r="H755" i="3" s="1"/>
  <c r="G754" i="3"/>
  <c r="H754" i="3" s="1"/>
  <c r="G753" i="3"/>
  <c r="H753" i="3" s="1"/>
  <c r="G752" i="3"/>
  <c r="H752" i="3" s="1"/>
  <c r="G751" i="3"/>
  <c r="H751" i="3" s="1"/>
  <c r="G750" i="3"/>
  <c r="H750" i="3" s="1"/>
  <c r="G749" i="3"/>
  <c r="H749" i="3" s="1"/>
  <c r="G748" i="3"/>
  <c r="H748" i="3" s="1"/>
  <c r="G747" i="3"/>
  <c r="H747" i="3" s="1"/>
  <c r="G746" i="3"/>
  <c r="H746" i="3" s="1"/>
  <c r="G745" i="3"/>
  <c r="H745" i="3" s="1"/>
  <c r="G744" i="3"/>
  <c r="H744" i="3" s="1"/>
  <c r="G743" i="3"/>
  <c r="H743" i="3" s="1"/>
  <c r="G742" i="3"/>
  <c r="H742" i="3" s="1"/>
  <c r="G741" i="3"/>
  <c r="H741" i="3" s="1"/>
  <c r="G740" i="3"/>
  <c r="H740" i="3" s="1"/>
  <c r="G739" i="3"/>
  <c r="H739" i="3" s="1"/>
  <c r="G738" i="3"/>
  <c r="H738" i="3" s="1"/>
  <c r="G737" i="3"/>
  <c r="H737" i="3" s="1"/>
  <c r="G736" i="3"/>
  <c r="H736" i="3" s="1"/>
  <c r="G735" i="3"/>
  <c r="H735" i="3" s="1"/>
  <c r="G734" i="3"/>
  <c r="H734" i="3" s="1"/>
  <c r="G733" i="3"/>
  <c r="H733" i="3" s="1"/>
  <c r="G732" i="3"/>
  <c r="H732" i="3" s="1"/>
  <c r="G731" i="3"/>
  <c r="H731" i="3" s="1"/>
  <c r="G730" i="3"/>
  <c r="H730" i="3" s="1"/>
  <c r="G729" i="3"/>
  <c r="H729" i="3" s="1"/>
  <c r="G728" i="3"/>
  <c r="H728" i="3" s="1"/>
  <c r="G727" i="3"/>
  <c r="H727" i="3" s="1"/>
  <c r="G726" i="3"/>
  <c r="H726" i="3" s="1"/>
  <c r="G725" i="3"/>
  <c r="H725" i="3" s="1"/>
  <c r="G724" i="3"/>
  <c r="H724" i="3" s="1"/>
  <c r="G723" i="3"/>
  <c r="H723" i="3" s="1"/>
  <c r="G722" i="3"/>
  <c r="H722" i="3" s="1"/>
  <c r="G721" i="3"/>
  <c r="H721" i="3" s="1"/>
  <c r="G720" i="3"/>
  <c r="H720" i="3" s="1"/>
  <c r="G719" i="3"/>
  <c r="H719" i="3" s="1"/>
  <c r="G718" i="3"/>
  <c r="H718" i="3" s="1"/>
  <c r="G717" i="3"/>
  <c r="H717" i="3" s="1"/>
  <c r="G716" i="3"/>
  <c r="H716" i="3" s="1"/>
  <c r="G715" i="3"/>
  <c r="H715" i="3" s="1"/>
  <c r="G714" i="3"/>
  <c r="H714" i="3" s="1"/>
  <c r="G713" i="3"/>
  <c r="H713" i="3" s="1"/>
  <c r="G712" i="3"/>
  <c r="H712" i="3" s="1"/>
  <c r="G711" i="3"/>
  <c r="H711" i="3" s="1"/>
  <c r="G710" i="3"/>
  <c r="H710" i="3" s="1"/>
  <c r="G709" i="3"/>
  <c r="H709" i="3" s="1"/>
  <c r="G708" i="3"/>
  <c r="H708" i="3" s="1"/>
  <c r="G707" i="3"/>
  <c r="H707" i="3" s="1"/>
  <c r="G706" i="3"/>
  <c r="H706" i="3" s="1"/>
  <c r="G705" i="3"/>
  <c r="H705" i="3" s="1"/>
  <c r="G704" i="3"/>
  <c r="H704" i="3" s="1"/>
  <c r="G703" i="3"/>
  <c r="H703" i="3" s="1"/>
  <c r="G702" i="3"/>
  <c r="H702" i="3" s="1"/>
  <c r="G701" i="3"/>
  <c r="H701" i="3" s="1"/>
  <c r="G700" i="3"/>
  <c r="H700" i="3" s="1"/>
  <c r="G699" i="3"/>
  <c r="H699" i="3" s="1"/>
  <c r="G698" i="3"/>
  <c r="H698" i="3" s="1"/>
  <c r="G697" i="3"/>
  <c r="H697" i="3" s="1"/>
  <c r="G696" i="3"/>
  <c r="H696" i="3" s="1"/>
  <c r="G695" i="3"/>
  <c r="H695" i="3" s="1"/>
  <c r="G694" i="3"/>
  <c r="H694" i="3" s="1"/>
  <c r="G693" i="3"/>
  <c r="H693" i="3" s="1"/>
  <c r="G692" i="3"/>
  <c r="H692" i="3" s="1"/>
  <c r="G691" i="3"/>
  <c r="H691" i="3" s="1"/>
  <c r="G690" i="3"/>
  <c r="H690" i="3" s="1"/>
  <c r="G689" i="3"/>
  <c r="H689" i="3" s="1"/>
  <c r="G688" i="3"/>
  <c r="H688" i="3" s="1"/>
  <c r="G687" i="3"/>
  <c r="H687" i="3" s="1"/>
  <c r="G686" i="3"/>
  <c r="H686" i="3" s="1"/>
  <c r="G685" i="3"/>
  <c r="H685" i="3" s="1"/>
  <c r="G684" i="3"/>
  <c r="H684" i="3" s="1"/>
  <c r="G683" i="3"/>
  <c r="H683" i="3" s="1"/>
  <c r="G682" i="3"/>
  <c r="H682" i="3" s="1"/>
  <c r="G681" i="3"/>
  <c r="H681" i="3" s="1"/>
  <c r="G680" i="3"/>
  <c r="H680" i="3" s="1"/>
  <c r="G679" i="3"/>
  <c r="H679" i="3" s="1"/>
  <c r="G678" i="3"/>
  <c r="H678" i="3" s="1"/>
  <c r="G677" i="3"/>
  <c r="H677" i="3" s="1"/>
  <c r="G676" i="3"/>
  <c r="H676" i="3" s="1"/>
  <c r="G675" i="3"/>
  <c r="H675" i="3" s="1"/>
  <c r="G674" i="3"/>
  <c r="H674" i="3" s="1"/>
  <c r="G673" i="3"/>
  <c r="H673" i="3" s="1"/>
  <c r="G672" i="3"/>
  <c r="H672" i="3" s="1"/>
  <c r="G671" i="3"/>
  <c r="H671" i="3" s="1"/>
  <c r="G670" i="3"/>
  <c r="H670" i="3" s="1"/>
  <c r="G669" i="3"/>
  <c r="H669" i="3" s="1"/>
  <c r="G668" i="3"/>
  <c r="H668" i="3" s="1"/>
  <c r="G667" i="3"/>
  <c r="H667" i="3" s="1"/>
  <c r="G666" i="3"/>
  <c r="H666" i="3" s="1"/>
  <c r="G665" i="3"/>
  <c r="H665" i="3" s="1"/>
  <c r="G664" i="3"/>
  <c r="H664" i="3" s="1"/>
  <c r="G663" i="3"/>
  <c r="H663" i="3" s="1"/>
  <c r="G662" i="3"/>
  <c r="H662" i="3" s="1"/>
  <c r="G661" i="3"/>
  <c r="H661" i="3" s="1"/>
  <c r="G660" i="3"/>
  <c r="H660" i="3" s="1"/>
  <c r="G659" i="3"/>
  <c r="H659" i="3" s="1"/>
  <c r="G658" i="3"/>
  <c r="H658" i="3" s="1"/>
  <c r="G657" i="3"/>
  <c r="H657" i="3" s="1"/>
  <c r="G656" i="3"/>
  <c r="H656" i="3" s="1"/>
  <c r="G655" i="3"/>
  <c r="H655" i="3" s="1"/>
  <c r="G654" i="3"/>
  <c r="H654" i="3" s="1"/>
  <c r="G653" i="3"/>
  <c r="H653" i="3" s="1"/>
  <c r="G652" i="3"/>
  <c r="H652" i="3" s="1"/>
  <c r="G651" i="3"/>
  <c r="H651" i="3" s="1"/>
  <c r="G650" i="3"/>
  <c r="H650" i="3" s="1"/>
  <c r="G649" i="3"/>
  <c r="H649" i="3" s="1"/>
  <c r="G648" i="3"/>
  <c r="H648" i="3" s="1"/>
  <c r="G647" i="3"/>
  <c r="H647" i="3" s="1"/>
  <c r="G646" i="3"/>
  <c r="H646" i="3" s="1"/>
  <c r="G645" i="3"/>
  <c r="H645" i="3" s="1"/>
  <c r="G644" i="3"/>
  <c r="H644" i="3" s="1"/>
  <c r="G643" i="3"/>
  <c r="H643" i="3" s="1"/>
  <c r="G642" i="3"/>
  <c r="H642" i="3" s="1"/>
  <c r="G641" i="3"/>
  <c r="H641" i="3" s="1"/>
  <c r="G640" i="3"/>
  <c r="H640" i="3" s="1"/>
  <c r="G639" i="3"/>
  <c r="H639" i="3" s="1"/>
  <c r="G638" i="3"/>
  <c r="H638" i="3" s="1"/>
  <c r="G637" i="3"/>
  <c r="H637" i="3" s="1"/>
  <c r="G636" i="3"/>
  <c r="H636" i="3" s="1"/>
  <c r="G635" i="3"/>
  <c r="H635" i="3" s="1"/>
  <c r="G634" i="3"/>
  <c r="H634" i="3" s="1"/>
  <c r="G633" i="3"/>
  <c r="H633" i="3" s="1"/>
  <c r="G632" i="3"/>
  <c r="H632" i="3" s="1"/>
  <c r="G631" i="3"/>
  <c r="H631" i="3" s="1"/>
  <c r="G630" i="3"/>
  <c r="H630" i="3" s="1"/>
  <c r="G629" i="3"/>
  <c r="H629" i="3" s="1"/>
  <c r="G628" i="3"/>
  <c r="H628" i="3" s="1"/>
  <c r="G627" i="3"/>
  <c r="H627" i="3" s="1"/>
  <c r="G626" i="3"/>
  <c r="H626" i="3" s="1"/>
  <c r="G625" i="3"/>
  <c r="H625" i="3" s="1"/>
  <c r="G624" i="3"/>
  <c r="H624" i="3" s="1"/>
  <c r="G623" i="3"/>
  <c r="H623" i="3" s="1"/>
  <c r="G622" i="3"/>
  <c r="H622" i="3" s="1"/>
  <c r="G621" i="3"/>
  <c r="H621" i="3" s="1"/>
  <c r="G620" i="3"/>
  <c r="H620" i="3" s="1"/>
  <c r="G619" i="3"/>
  <c r="H619" i="3" s="1"/>
  <c r="G618" i="3"/>
  <c r="H618" i="3" s="1"/>
  <c r="G617" i="3"/>
  <c r="H617" i="3" s="1"/>
  <c r="G616" i="3"/>
  <c r="H616" i="3" s="1"/>
  <c r="G615" i="3"/>
  <c r="H615" i="3" s="1"/>
  <c r="G614" i="3"/>
  <c r="H614" i="3" s="1"/>
  <c r="G613" i="3"/>
  <c r="H613" i="3" s="1"/>
  <c r="G612" i="3"/>
  <c r="H612" i="3" s="1"/>
  <c r="G611" i="3"/>
  <c r="H611" i="3" s="1"/>
  <c r="G610" i="3"/>
  <c r="H610" i="3" s="1"/>
  <c r="G609" i="3"/>
  <c r="H609" i="3" s="1"/>
  <c r="G608" i="3"/>
  <c r="H608" i="3" s="1"/>
  <c r="G607" i="3"/>
  <c r="H607" i="3" s="1"/>
  <c r="G606" i="3"/>
  <c r="H606" i="3" s="1"/>
  <c r="G605" i="3"/>
  <c r="H605" i="3" s="1"/>
  <c r="G604" i="3"/>
  <c r="H604" i="3" s="1"/>
  <c r="G603" i="3"/>
  <c r="H603" i="3" s="1"/>
  <c r="G602" i="3"/>
  <c r="H602" i="3" s="1"/>
  <c r="G601" i="3"/>
  <c r="H601" i="3" s="1"/>
  <c r="G600" i="3"/>
  <c r="H600" i="3" s="1"/>
  <c r="G599" i="3"/>
  <c r="H599" i="3" s="1"/>
  <c r="G598" i="3"/>
  <c r="H598" i="3" s="1"/>
  <c r="G597" i="3"/>
  <c r="H597" i="3" s="1"/>
  <c r="G596" i="3"/>
  <c r="H596" i="3" s="1"/>
  <c r="G595" i="3"/>
  <c r="H595" i="3" s="1"/>
  <c r="G594" i="3"/>
  <c r="H594" i="3" s="1"/>
  <c r="G593" i="3"/>
  <c r="H593" i="3" s="1"/>
  <c r="G592" i="3"/>
  <c r="H592" i="3" s="1"/>
  <c r="G591" i="3"/>
  <c r="H591" i="3" s="1"/>
  <c r="G590" i="3"/>
  <c r="H590" i="3" s="1"/>
  <c r="G589" i="3"/>
  <c r="H589" i="3" s="1"/>
  <c r="G588" i="3"/>
  <c r="H588" i="3" s="1"/>
  <c r="G587" i="3"/>
  <c r="H587" i="3" s="1"/>
  <c r="G586" i="3"/>
  <c r="H586" i="3" s="1"/>
  <c r="G585" i="3"/>
  <c r="H585" i="3" s="1"/>
  <c r="G584" i="3"/>
  <c r="H584" i="3" s="1"/>
  <c r="G583" i="3"/>
  <c r="H583" i="3" s="1"/>
  <c r="G582" i="3"/>
  <c r="H582" i="3" s="1"/>
  <c r="G581" i="3"/>
  <c r="H581" i="3" s="1"/>
  <c r="G580" i="3"/>
  <c r="H580" i="3" s="1"/>
  <c r="G579" i="3"/>
  <c r="H579" i="3" s="1"/>
  <c r="G578" i="3"/>
  <c r="H578" i="3" s="1"/>
  <c r="G577" i="3"/>
  <c r="H577" i="3" s="1"/>
  <c r="G576" i="3"/>
  <c r="H576" i="3" s="1"/>
  <c r="G575" i="3"/>
  <c r="H575" i="3" s="1"/>
  <c r="G574" i="3"/>
  <c r="H574" i="3" s="1"/>
  <c r="G573" i="3"/>
  <c r="H573" i="3" s="1"/>
  <c r="G572" i="3"/>
  <c r="H572" i="3" s="1"/>
  <c r="G571" i="3"/>
  <c r="H571" i="3" s="1"/>
  <c r="G570" i="3"/>
  <c r="H570" i="3" s="1"/>
  <c r="G569" i="3"/>
  <c r="H569" i="3" s="1"/>
  <c r="G568" i="3"/>
  <c r="H568" i="3" s="1"/>
  <c r="G567" i="3"/>
  <c r="H567" i="3" s="1"/>
  <c r="G566" i="3"/>
  <c r="H566" i="3" s="1"/>
  <c r="G565" i="3"/>
  <c r="H565" i="3" s="1"/>
  <c r="G564" i="3"/>
  <c r="H564" i="3" s="1"/>
  <c r="G563" i="3"/>
  <c r="H563" i="3" s="1"/>
  <c r="G562" i="3"/>
  <c r="H562" i="3" s="1"/>
  <c r="G561" i="3"/>
  <c r="H561" i="3" s="1"/>
  <c r="G560" i="3"/>
  <c r="H560" i="3" s="1"/>
  <c r="G559" i="3"/>
  <c r="H559" i="3" s="1"/>
  <c r="G558" i="3"/>
  <c r="H558" i="3" s="1"/>
  <c r="G557" i="3"/>
  <c r="H557" i="3" s="1"/>
  <c r="G556" i="3"/>
  <c r="H556" i="3" s="1"/>
  <c r="G555" i="3"/>
  <c r="H555" i="3" s="1"/>
  <c r="G554" i="3"/>
  <c r="H554" i="3" s="1"/>
  <c r="G553" i="3"/>
  <c r="H553" i="3" s="1"/>
  <c r="G552" i="3"/>
  <c r="H552" i="3" s="1"/>
  <c r="G551" i="3"/>
  <c r="H551" i="3" s="1"/>
  <c r="G550" i="3"/>
  <c r="H550" i="3" s="1"/>
  <c r="G549" i="3"/>
  <c r="H549" i="3" s="1"/>
  <c r="G548" i="3"/>
  <c r="H548" i="3" s="1"/>
  <c r="G547" i="3"/>
  <c r="H547" i="3" s="1"/>
  <c r="G546" i="3"/>
  <c r="H546" i="3" s="1"/>
  <c r="G545" i="3"/>
  <c r="H545" i="3" s="1"/>
  <c r="G544" i="3"/>
  <c r="H544" i="3" s="1"/>
  <c r="G543" i="3"/>
  <c r="H543" i="3" s="1"/>
  <c r="G542" i="3"/>
  <c r="H542" i="3" s="1"/>
  <c r="G541" i="3"/>
  <c r="H541" i="3" s="1"/>
  <c r="G540" i="3"/>
  <c r="H540" i="3" s="1"/>
  <c r="G539" i="3"/>
  <c r="H539" i="3" s="1"/>
  <c r="G538" i="3"/>
  <c r="H538" i="3" s="1"/>
  <c r="G537" i="3"/>
  <c r="H537" i="3" s="1"/>
  <c r="G536" i="3"/>
  <c r="H536" i="3" s="1"/>
  <c r="G535" i="3"/>
  <c r="H535" i="3" s="1"/>
  <c r="G534" i="3"/>
  <c r="H534" i="3" s="1"/>
  <c r="G533" i="3"/>
  <c r="H533" i="3" s="1"/>
  <c r="G532" i="3"/>
  <c r="H532" i="3" s="1"/>
  <c r="G531" i="3"/>
  <c r="H531" i="3" s="1"/>
  <c r="G530" i="3"/>
  <c r="H530" i="3" s="1"/>
  <c r="G529" i="3"/>
  <c r="H529" i="3" s="1"/>
  <c r="G528" i="3"/>
  <c r="H528" i="3" s="1"/>
  <c r="G527" i="3"/>
  <c r="H527" i="3" s="1"/>
  <c r="G526" i="3"/>
  <c r="H526" i="3" s="1"/>
  <c r="G525" i="3"/>
  <c r="H525" i="3" s="1"/>
  <c r="G524" i="3"/>
  <c r="H524" i="3" s="1"/>
  <c r="G523" i="3"/>
  <c r="H523" i="3" s="1"/>
  <c r="G522" i="3"/>
  <c r="H522" i="3" s="1"/>
  <c r="G521" i="3"/>
  <c r="H521" i="3" s="1"/>
  <c r="G520" i="3"/>
  <c r="H520" i="3" s="1"/>
  <c r="G519" i="3"/>
  <c r="H519" i="3" s="1"/>
  <c r="G518" i="3"/>
  <c r="H518" i="3" s="1"/>
  <c r="G517" i="3"/>
  <c r="H517" i="3" s="1"/>
  <c r="G516" i="3"/>
  <c r="H516" i="3" s="1"/>
  <c r="G515" i="3"/>
  <c r="H515" i="3" s="1"/>
  <c r="G514" i="3"/>
  <c r="H514" i="3" s="1"/>
  <c r="G513" i="3"/>
  <c r="H513" i="3" s="1"/>
  <c r="G512" i="3"/>
  <c r="H512" i="3" s="1"/>
  <c r="G511" i="3"/>
  <c r="H511" i="3" s="1"/>
  <c r="G510" i="3"/>
  <c r="H510" i="3" s="1"/>
  <c r="G509" i="3"/>
  <c r="H509" i="3" s="1"/>
  <c r="G508" i="3"/>
  <c r="H508" i="3" s="1"/>
  <c r="G507" i="3"/>
  <c r="H507" i="3" s="1"/>
  <c r="G506" i="3"/>
  <c r="H506" i="3" s="1"/>
  <c r="G505" i="3"/>
  <c r="H505" i="3" s="1"/>
  <c r="G504" i="3"/>
  <c r="H504" i="3" s="1"/>
  <c r="G503" i="3"/>
  <c r="H503" i="3" s="1"/>
  <c r="G502" i="3"/>
  <c r="H502" i="3" s="1"/>
  <c r="G501" i="3"/>
  <c r="H501" i="3" s="1"/>
  <c r="G500" i="3"/>
  <c r="H500" i="3" s="1"/>
  <c r="G499" i="3"/>
  <c r="H499" i="3" s="1"/>
  <c r="G498" i="3"/>
  <c r="H498" i="3" s="1"/>
  <c r="G497" i="3"/>
  <c r="H497" i="3" s="1"/>
  <c r="G496" i="3"/>
  <c r="H496" i="3" s="1"/>
  <c r="G495" i="3"/>
  <c r="H495" i="3" s="1"/>
  <c r="G494" i="3"/>
  <c r="H494" i="3" s="1"/>
  <c r="G493" i="3"/>
  <c r="H493" i="3" s="1"/>
  <c r="G492" i="3"/>
  <c r="H492" i="3" s="1"/>
  <c r="G491" i="3"/>
  <c r="H491" i="3" s="1"/>
  <c r="G490" i="3"/>
  <c r="H490" i="3" s="1"/>
  <c r="G489" i="3"/>
  <c r="H489" i="3" s="1"/>
  <c r="G488" i="3"/>
  <c r="H488" i="3" s="1"/>
  <c r="G487" i="3"/>
  <c r="H487" i="3" s="1"/>
  <c r="G486" i="3"/>
  <c r="H486" i="3" s="1"/>
  <c r="G485" i="3"/>
  <c r="H485" i="3" s="1"/>
  <c r="G484" i="3"/>
  <c r="H484" i="3" s="1"/>
  <c r="G483" i="3"/>
  <c r="H483" i="3" s="1"/>
  <c r="G482" i="3"/>
  <c r="H482" i="3" s="1"/>
  <c r="G481" i="3"/>
  <c r="H481" i="3" s="1"/>
  <c r="G480" i="3"/>
  <c r="H480" i="3" s="1"/>
  <c r="G479" i="3"/>
  <c r="H479" i="3" s="1"/>
  <c r="G478" i="3"/>
  <c r="H478" i="3" s="1"/>
  <c r="G477" i="3"/>
  <c r="H477" i="3" s="1"/>
  <c r="G476" i="3"/>
  <c r="H476" i="3" s="1"/>
  <c r="G475" i="3"/>
  <c r="H475" i="3" s="1"/>
  <c r="G474" i="3"/>
  <c r="H474" i="3" s="1"/>
  <c r="G473" i="3"/>
  <c r="H473" i="3" s="1"/>
  <c r="G472" i="3"/>
  <c r="H472" i="3" s="1"/>
  <c r="G471" i="3"/>
  <c r="H471" i="3" s="1"/>
  <c r="G470" i="3"/>
  <c r="H470" i="3" s="1"/>
  <c r="G469" i="3"/>
  <c r="H469" i="3" s="1"/>
  <c r="G468" i="3"/>
  <c r="H468" i="3" s="1"/>
  <c r="G467" i="3"/>
  <c r="H467" i="3" s="1"/>
  <c r="G466" i="3"/>
  <c r="H466" i="3" s="1"/>
  <c r="G465" i="3"/>
  <c r="H465" i="3" s="1"/>
  <c r="G464" i="3"/>
  <c r="H464" i="3" s="1"/>
  <c r="G463" i="3"/>
  <c r="H463" i="3" s="1"/>
  <c r="G462" i="3"/>
  <c r="H462" i="3" s="1"/>
  <c r="G461" i="3"/>
  <c r="H461" i="3" s="1"/>
  <c r="G460" i="3"/>
  <c r="H460" i="3" s="1"/>
  <c r="G459" i="3"/>
  <c r="H459" i="3" s="1"/>
  <c r="G458" i="3"/>
  <c r="H458" i="3" s="1"/>
  <c r="G457" i="3"/>
  <c r="H457" i="3" s="1"/>
  <c r="G456" i="3"/>
  <c r="H456" i="3" s="1"/>
  <c r="G455" i="3"/>
  <c r="H455" i="3" s="1"/>
  <c r="G454" i="3"/>
  <c r="H454" i="3" s="1"/>
  <c r="G453" i="3"/>
  <c r="H453" i="3" s="1"/>
  <c r="K431" i="3"/>
  <c r="H431" i="3"/>
  <c r="K430" i="3"/>
  <c r="G430" i="3"/>
  <c r="H430" i="3" s="1"/>
  <c r="K429" i="3"/>
  <c r="H429" i="3"/>
  <c r="K428" i="3"/>
  <c r="H428" i="3"/>
  <c r="K427" i="3"/>
  <c r="H427" i="3"/>
  <c r="K426" i="3"/>
  <c r="G426" i="3"/>
  <c r="H426" i="3" s="1"/>
  <c r="K425" i="3"/>
  <c r="G425" i="3"/>
  <c r="H425" i="3" s="1"/>
  <c r="K424" i="3"/>
  <c r="H424" i="3"/>
  <c r="K423" i="3"/>
  <c r="G423" i="3"/>
  <c r="H423" i="3" s="1"/>
  <c r="K422" i="3"/>
  <c r="G422" i="3"/>
  <c r="H422" i="3" s="1"/>
  <c r="K421" i="3"/>
  <c r="G421" i="3"/>
  <c r="H421" i="3" s="1"/>
  <c r="K420" i="3"/>
  <c r="G420" i="3"/>
  <c r="H420" i="3" s="1"/>
  <c r="K419" i="3"/>
  <c r="G419" i="3"/>
  <c r="H419" i="3" s="1"/>
  <c r="K418" i="3"/>
  <c r="G418" i="3"/>
  <c r="H418" i="3" s="1"/>
  <c r="K417" i="3"/>
  <c r="G417" i="3"/>
  <c r="H417" i="3" s="1"/>
  <c r="K416" i="3"/>
  <c r="G416" i="3"/>
  <c r="H416" i="3" s="1"/>
  <c r="K415" i="3"/>
  <c r="G415" i="3"/>
  <c r="H415" i="3" s="1"/>
  <c r="K414" i="3"/>
  <c r="H414" i="3"/>
  <c r="K413" i="3"/>
  <c r="H413" i="3"/>
  <c r="K412" i="3"/>
  <c r="H412" i="3"/>
  <c r="K411" i="3"/>
  <c r="G411" i="3"/>
  <c r="H411" i="3" s="1"/>
  <c r="K410" i="3"/>
  <c r="G410" i="3"/>
  <c r="H410" i="3" s="1"/>
  <c r="K409" i="3"/>
  <c r="G409" i="3"/>
  <c r="H409" i="3" s="1"/>
  <c r="K408" i="3"/>
  <c r="G408" i="3"/>
  <c r="H408" i="3" s="1"/>
  <c r="K407" i="3"/>
  <c r="G407" i="3"/>
  <c r="H407" i="3" s="1"/>
  <c r="K406" i="3"/>
  <c r="G406" i="3"/>
  <c r="H406" i="3" s="1"/>
  <c r="K405" i="3"/>
  <c r="G405" i="3"/>
  <c r="H405" i="3" s="1"/>
  <c r="K404" i="3"/>
  <c r="H404" i="3"/>
  <c r="K403" i="3"/>
  <c r="G403" i="3"/>
  <c r="H403" i="3" s="1"/>
  <c r="K402" i="3"/>
  <c r="G402" i="3"/>
  <c r="H402" i="3" s="1"/>
  <c r="K401" i="3"/>
  <c r="G401" i="3"/>
  <c r="H401" i="3" s="1"/>
  <c r="K400" i="3"/>
  <c r="G400" i="3"/>
  <c r="H400" i="3" s="1"/>
  <c r="K399" i="3"/>
  <c r="G399" i="3"/>
  <c r="H399" i="3" s="1"/>
  <c r="K398" i="3"/>
  <c r="G398" i="3"/>
  <c r="H398" i="3" s="1"/>
  <c r="K397" i="3"/>
  <c r="G397" i="3"/>
  <c r="H397" i="3" s="1"/>
  <c r="K396" i="3"/>
  <c r="G396" i="3"/>
  <c r="H396" i="3" s="1"/>
  <c r="K395" i="3"/>
  <c r="G395" i="3"/>
  <c r="H395" i="3" s="1"/>
  <c r="K394" i="3"/>
  <c r="G394" i="3"/>
  <c r="H394" i="3" s="1"/>
  <c r="K393" i="3"/>
  <c r="G393" i="3"/>
  <c r="H393" i="3" s="1"/>
  <c r="K392" i="3"/>
  <c r="G392" i="3"/>
  <c r="H392" i="3" s="1"/>
  <c r="K391" i="3"/>
  <c r="G391" i="3"/>
  <c r="H391" i="3" s="1"/>
  <c r="K390" i="3"/>
  <c r="G390" i="3"/>
  <c r="H390" i="3" s="1"/>
  <c r="K389" i="3"/>
  <c r="G389" i="3"/>
  <c r="H389" i="3" s="1"/>
  <c r="K388" i="3"/>
  <c r="H388" i="3"/>
  <c r="K387" i="3"/>
  <c r="G387" i="3"/>
  <c r="H387" i="3" s="1"/>
  <c r="K386" i="3"/>
  <c r="G386" i="3"/>
  <c r="H386" i="3" s="1"/>
  <c r="K385" i="3"/>
  <c r="G385" i="3"/>
  <c r="H385" i="3" s="1"/>
  <c r="K384" i="3"/>
  <c r="H384" i="3"/>
  <c r="K383" i="3"/>
  <c r="H383" i="3"/>
  <c r="K382" i="3"/>
  <c r="G382" i="3"/>
  <c r="H382" i="3" s="1"/>
  <c r="K381" i="3"/>
  <c r="G381" i="3"/>
  <c r="H381" i="3" s="1"/>
  <c r="K380" i="3"/>
  <c r="G380" i="3"/>
  <c r="H380" i="3" s="1"/>
  <c r="K379" i="3"/>
  <c r="G379" i="3"/>
  <c r="H379" i="3" s="1"/>
  <c r="K378" i="3"/>
  <c r="H378" i="3"/>
  <c r="K377" i="3"/>
  <c r="H377" i="3"/>
  <c r="K376" i="3"/>
  <c r="H376" i="3"/>
  <c r="K375" i="3"/>
  <c r="H375" i="3"/>
  <c r="K374" i="3"/>
  <c r="H374" i="3"/>
  <c r="K373" i="3"/>
  <c r="H373" i="3"/>
  <c r="K372" i="3"/>
  <c r="G372" i="3"/>
  <c r="H372" i="3" s="1"/>
  <c r="K371" i="3"/>
  <c r="H371" i="3"/>
  <c r="K370" i="3"/>
  <c r="H370" i="3"/>
  <c r="K369" i="3"/>
  <c r="G369" i="3"/>
  <c r="H369" i="3" s="1"/>
  <c r="K368" i="3"/>
  <c r="G368" i="3"/>
  <c r="H368" i="3" s="1"/>
  <c r="K367" i="3"/>
  <c r="G367" i="3"/>
  <c r="H367" i="3" s="1"/>
  <c r="K366" i="3"/>
  <c r="G366" i="3"/>
  <c r="H366" i="3" s="1"/>
  <c r="K365" i="3"/>
  <c r="G365" i="3"/>
  <c r="H365" i="3" s="1"/>
  <c r="K364" i="3"/>
  <c r="H364" i="3"/>
  <c r="K363" i="3"/>
  <c r="H363" i="3"/>
  <c r="K362" i="3"/>
  <c r="G362" i="3"/>
  <c r="H362" i="3" s="1"/>
  <c r="K361" i="3"/>
  <c r="G361" i="3"/>
  <c r="H361" i="3" s="1"/>
  <c r="K360" i="3"/>
  <c r="G360" i="3"/>
  <c r="H360" i="3" s="1"/>
  <c r="K359" i="3"/>
  <c r="G359" i="3"/>
  <c r="H359" i="3" s="1"/>
  <c r="K358" i="3"/>
  <c r="G358" i="3"/>
  <c r="H358" i="3" s="1"/>
  <c r="K357" i="3"/>
  <c r="G357" i="3"/>
  <c r="H357" i="3" s="1"/>
  <c r="K356" i="3"/>
  <c r="G356" i="3"/>
  <c r="H356" i="3" s="1"/>
  <c r="K355" i="3"/>
  <c r="H355" i="3"/>
  <c r="K354" i="3"/>
  <c r="H354" i="3"/>
  <c r="K353" i="3"/>
  <c r="G353" i="3"/>
  <c r="H353" i="3" s="1"/>
  <c r="K352" i="3"/>
  <c r="G352" i="3"/>
  <c r="H352" i="3" s="1"/>
  <c r="K351" i="3"/>
  <c r="G351" i="3"/>
  <c r="H351" i="3" s="1"/>
  <c r="K350" i="3"/>
  <c r="H350" i="3"/>
  <c r="K349" i="3"/>
  <c r="H349" i="3"/>
  <c r="K348" i="3"/>
  <c r="H348" i="3"/>
  <c r="K347" i="3"/>
  <c r="H347" i="3"/>
  <c r="K346" i="3"/>
  <c r="G346" i="3"/>
  <c r="H346" i="3" s="1"/>
  <c r="K345" i="3"/>
  <c r="H345" i="3"/>
  <c r="K344" i="3"/>
  <c r="G344" i="3"/>
  <c r="H344" i="3" s="1"/>
  <c r="K343" i="3"/>
  <c r="H343" i="3"/>
  <c r="K342" i="3"/>
  <c r="G342" i="3"/>
  <c r="H342" i="3" s="1"/>
  <c r="K341" i="3"/>
  <c r="H341" i="3"/>
  <c r="K340" i="3"/>
  <c r="H340" i="3"/>
  <c r="K339" i="3"/>
  <c r="H339" i="3"/>
  <c r="K338" i="3"/>
  <c r="G338" i="3"/>
  <c r="H338" i="3" s="1"/>
  <c r="K337" i="3"/>
  <c r="G337" i="3"/>
  <c r="H337" i="3" s="1"/>
  <c r="K336" i="3"/>
  <c r="H336" i="3"/>
  <c r="K335" i="3"/>
  <c r="H335" i="3"/>
  <c r="K334" i="3"/>
  <c r="G334" i="3"/>
  <c r="H334" i="3" s="1"/>
  <c r="K333" i="3"/>
  <c r="H333" i="3"/>
  <c r="K332" i="3"/>
  <c r="H332" i="3"/>
  <c r="K331" i="3"/>
  <c r="H331" i="3"/>
  <c r="K330" i="3"/>
  <c r="G330" i="3"/>
  <c r="H330" i="3" s="1"/>
  <c r="K329" i="3"/>
  <c r="H329" i="3"/>
  <c r="K328" i="3"/>
  <c r="G328" i="3"/>
  <c r="H328" i="3" s="1"/>
  <c r="K327" i="3"/>
  <c r="G327" i="3"/>
  <c r="H327" i="3" s="1"/>
  <c r="K326" i="3"/>
  <c r="G326" i="3"/>
  <c r="H326" i="3" s="1"/>
  <c r="K325" i="3"/>
  <c r="G325" i="3"/>
  <c r="H325" i="3" s="1"/>
  <c r="K324" i="3"/>
  <c r="G324" i="3"/>
  <c r="H324" i="3" s="1"/>
  <c r="K323" i="3"/>
  <c r="G323" i="3"/>
  <c r="H323" i="3" s="1"/>
  <c r="K322" i="3"/>
  <c r="G322" i="3"/>
  <c r="H322" i="3" s="1"/>
  <c r="K321" i="3"/>
  <c r="G321" i="3"/>
  <c r="H321" i="3" s="1"/>
  <c r="K320" i="3"/>
  <c r="H320" i="3"/>
  <c r="K319" i="3"/>
  <c r="G319" i="3"/>
  <c r="H319" i="3" s="1"/>
  <c r="K318" i="3"/>
  <c r="H318" i="3"/>
  <c r="K317" i="3"/>
  <c r="G317" i="3"/>
  <c r="H317" i="3" s="1"/>
  <c r="K316" i="3"/>
  <c r="G316" i="3"/>
  <c r="H316" i="3" s="1"/>
  <c r="K315" i="3"/>
  <c r="G315" i="3"/>
  <c r="H315" i="3" s="1"/>
  <c r="K314" i="3"/>
  <c r="G314" i="3"/>
  <c r="H314" i="3" s="1"/>
  <c r="K313" i="3"/>
  <c r="G313" i="3"/>
  <c r="H313" i="3" s="1"/>
  <c r="K312" i="3"/>
  <c r="G312" i="3"/>
  <c r="H312" i="3" s="1"/>
  <c r="K311" i="3"/>
  <c r="G311" i="3"/>
  <c r="H311" i="3" s="1"/>
  <c r="K310" i="3"/>
  <c r="G310" i="3"/>
  <c r="H310" i="3" s="1"/>
  <c r="K309" i="3"/>
  <c r="G309" i="3"/>
  <c r="H309" i="3" s="1"/>
  <c r="K308" i="3"/>
  <c r="H308" i="3"/>
  <c r="K307" i="3"/>
  <c r="H307" i="3"/>
  <c r="K306" i="3"/>
  <c r="G306" i="3"/>
  <c r="H306" i="3" s="1"/>
  <c r="K305" i="3"/>
  <c r="G305" i="3"/>
  <c r="H305" i="3" s="1"/>
  <c r="K304" i="3"/>
  <c r="G304" i="3"/>
  <c r="H304" i="3" s="1"/>
  <c r="K303" i="3"/>
  <c r="H303" i="3"/>
  <c r="K302" i="3"/>
  <c r="H302" i="3"/>
  <c r="K301" i="3"/>
  <c r="H301" i="3"/>
  <c r="K300" i="3"/>
  <c r="H300" i="3"/>
  <c r="K299" i="3"/>
  <c r="H299" i="3"/>
  <c r="K298" i="3"/>
  <c r="H298" i="3"/>
  <c r="K297" i="3"/>
  <c r="H297" i="3"/>
  <c r="K296" i="3"/>
  <c r="H296" i="3"/>
  <c r="K295" i="3"/>
  <c r="G295" i="3"/>
  <c r="H295" i="3" s="1"/>
  <c r="K294" i="3"/>
  <c r="G294" i="3"/>
  <c r="H294" i="3" s="1"/>
  <c r="K293" i="3"/>
  <c r="G293" i="3"/>
  <c r="H293" i="3" s="1"/>
  <c r="K292" i="3"/>
  <c r="H292" i="3"/>
  <c r="K291" i="3"/>
  <c r="H291" i="3"/>
  <c r="K290" i="3"/>
  <c r="H290" i="3"/>
  <c r="K289" i="3"/>
  <c r="G289" i="3"/>
  <c r="H289" i="3" s="1"/>
  <c r="K288" i="3"/>
  <c r="H288" i="3"/>
  <c r="K287" i="3"/>
  <c r="G287" i="3"/>
  <c r="H287" i="3" s="1"/>
  <c r="K286" i="3"/>
  <c r="G286" i="3"/>
  <c r="H286" i="3" s="1"/>
  <c r="K285" i="3"/>
  <c r="G285" i="3"/>
  <c r="H285" i="3" s="1"/>
  <c r="K284" i="3"/>
  <c r="G284" i="3"/>
  <c r="H284" i="3" s="1"/>
  <c r="K283" i="3"/>
  <c r="G283" i="3"/>
  <c r="H283" i="3" s="1"/>
  <c r="K282" i="3"/>
  <c r="G282" i="3"/>
  <c r="H282" i="3" s="1"/>
  <c r="K281" i="3"/>
  <c r="G281" i="3"/>
  <c r="H281" i="3" s="1"/>
  <c r="K280" i="3"/>
  <c r="G280" i="3"/>
  <c r="H280" i="3" s="1"/>
  <c r="K279" i="3"/>
  <c r="G279" i="3"/>
  <c r="H279" i="3" s="1"/>
  <c r="K278" i="3"/>
  <c r="G278" i="3"/>
  <c r="H278" i="3" s="1"/>
  <c r="K277" i="3"/>
  <c r="G277" i="3"/>
  <c r="H277" i="3" s="1"/>
  <c r="K276" i="3"/>
  <c r="H276" i="3"/>
  <c r="K275" i="3"/>
  <c r="H275" i="3"/>
  <c r="K274" i="3"/>
  <c r="G274" i="3"/>
  <c r="H274" i="3" s="1"/>
  <c r="K273" i="3"/>
  <c r="G273" i="3"/>
  <c r="H273" i="3" s="1"/>
  <c r="K272" i="3"/>
  <c r="G272" i="3"/>
  <c r="H272" i="3" s="1"/>
  <c r="K271" i="3"/>
  <c r="G271" i="3"/>
  <c r="H271" i="3" s="1"/>
  <c r="K270" i="3"/>
  <c r="G270" i="3"/>
  <c r="H270" i="3" s="1"/>
  <c r="K269" i="3"/>
  <c r="G269" i="3"/>
  <c r="H269" i="3" s="1"/>
  <c r="K268" i="3"/>
  <c r="G268" i="3"/>
  <c r="H268" i="3" s="1"/>
  <c r="K267" i="3"/>
  <c r="G267" i="3"/>
  <c r="H267" i="3" s="1"/>
  <c r="K266" i="3"/>
  <c r="G266" i="3"/>
  <c r="H266" i="3" s="1"/>
  <c r="K265" i="3"/>
  <c r="H265" i="3"/>
  <c r="K264" i="3"/>
  <c r="G264" i="3"/>
  <c r="H264" i="3" s="1"/>
  <c r="K263" i="3"/>
  <c r="G263" i="3"/>
  <c r="H263" i="3" s="1"/>
  <c r="K262" i="3"/>
  <c r="G262" i="3"/>
  <c r="H262" i="3" s="1"/>
  <c r="K261" i="3"/>
  <c r="G261" i="3"/>
  <c r="H261" i="3" s="1"/>
  <c r="K260" i="3"/>
  <c r="G260" i="3"/>
  <c r="H260" i="3" s="1"/>
  <c r="K259" i="3"/>
  <c r="G259" i="3"/>
  <c r="H259" i="3" s="1"/>
  <c r="K258" i="3"/>
  <c r="H258" i="3"/>
  <c r="K257" i="3"/>
  <c r="G257" i="3"/>
  <c r="H257" i="3" s="1"/>
  <c r="K256" i="3"/>
  <c r="G256" i="3"/>
  <c r="H256" i="3" s="1"/>
  <c r="K255" i="3"/>
  <c r="G255" i="3"/>
  <c r="H255" i="3" s="1"/>
  <c r="K254" i="3"/>
  <c r="H254" i="3"/>
  <c r="K253" i="3"/>
  <c r="H253" i="3"/>
  <c r="K252" i="3"/>
  <c r="H252" i="3"/>
  <c r="K251" i="3"/>
  <c r="G251" i="3"/>
  <c r="H251" i="3" s="1"/>
  <c r="K250" i="3"/>
  <c r="G250" i="3"/>
  <c r="H250" i="3" s="1"/>
  <c r="K249" i="3"/>
  <c r="G249" i="3"/>
  <c r="H249" i="3" s="1"/>
  <c r="K248" i="3"/>
  <c r="G248" i="3"/>
  <c r="H248" i="3" s="1"/>
  <c r="K247" i="3"/>
  <c r="G247" i="3"/>
  <c r="H247" i="3" s="1"/>
  <c r="K246" i="3"/>
  <c r="G246" i="3"/>
  <c r="H246" i="3" s="1"/>
  <c r="K245" i="3"/>
  <c r="H245" i="3"/>
  <c r="K244" i="3"/>
  <c r="G244" i="3"/>
  <c r="H244" i="3" s="1"/>
  <c r="K243" i="3"/>
  <c r="G243" i="3"/>
  <c r="H243" i="3" s="1"/>
  <c r="K242" i="3"/>
  <c r="G242" i="3"/>
  <c r="H242" i="3" s="1"/>
  <c r="K241" i="3"/>
  <c r="G241" i="3"/>
  <c r="H241" i="3" s="1"/>
  <c r="K240" i="3"/>
  <c r="G240" i="3"/>
  <c r="H240" i="3" s="1"/>
  <c r="K239" i="3"/>
  <c r="G239" i="3"/>
  <c r="H239" i="3" s="1"/>
  <c r="K238" i="3"/>
  <c r="G238" i="3"/>
  <c r="H238" i="3" s="1"/>
  <c r="K237" i="3"/>
  <c r="G237" i="3"/>
  <c r="H237" i="3" s="1"/>
  <c r="K236" i="3"/>
  <c r="G236" i="3"/>
  <c r="H236" i="3" s="1"/>
  <c r="K235" i="3"/>
  <c r="G235" i="3"/>
  <c r="H235" i="3" s="1"/>
  <c r="K234" i="3"/>
  <c r="G234" i="3"/>
  <c r="H234" i="3" s="1"/>
  <c r="K233" i="3"/>
  <c r="G233" i="3"/>
  <c r="H233" i="3" s="1"/>
  <c r="K232" i="3"/>
  <c r="G232" i="3"/>
  <c r="H232" i="3" s="1"/>
  <c r="K231" i="3"/>
  <c r="G231" i="3"/>
  <c r="H231" i="3" s="1"/>
  <c r="K230" i="3"/>
  <c r="G230" i="3"/>
  <c r="H230" i="3" s="1"/>
  <c r="K229" i="3"/>
  <c r="G229" i="3"/>
  <c r="H229" i="3" s="1"/>
  <c r="K228" i="3"/>
  <c r="G228" i="3"/>
  <c r="H228" i="3" s="1"/>
  <c r="K227" i="3"/>
  <c r="G227" i="3"/>
  <c r="H227" i="3" s="1"/>
  <c r="K226" i="3"/>
  <c r="H226" i="3"/>
  <c r="K225" i="3"/>
  <c r="H225" i="3"/>
  <c r="K224" i="3"/>
  <c r="G224" i="3"/>
  <c r="H224" i="3" s="1"/>
  <c r="K223" i="3"/>
  <c r="G223" i="3"/>
  <c r="H223" i="3" s="1"/>
  <c r="K222" i="3"/>
  <c r="H222" i="3"/>
  <c r="K221" i="3"/>
  <c r="H221" i="3"/>
  <c r="K220" i="3"/>
  <c r="H220" i="3"/>
  <c r="K219" i="3"/>
  <c r="H219" i="3"/>
  <c r="K218" i="3"/>
  <c r="G218" i="3"/>
  <c r="H218" i="3" s="1"/>
  <c r="K217" i="3"/>
  <c r="G217" i="3"/>
  <c r="H217" i="3" s="1"/>
  <c r="K216" i="3"/>
  <c r="G216" i="3"/>
  <c r="H216" i="3" s="1"/>
  <c r="K215" i="3"/>
  <c r="G215" i="3"/>
  <c r="H215" i="3" s="1"/>
  <c r="K214" i="3"/>
  <c r="G214" i="3"/>
  <c r="H214" i="3" s="1"/>
  <c r="K213" i="3"/>
  <c r="G213" i="3"/>
  <c r="H213" i="3" s="1"/>
  <c r="K212" i="3"/>
  <c r="G212" i="3"/>
  <c r="H212" i="3" s="1"/>
  <c r="K211" i="3"/>
  <c r="G211" i="3"/>
  <c r="H211" i="3" s="1"/>
  <c r="K210" i="3"/>
  <c r="G210" i="3"/>
  <c r="H210" i="3" s="1"/>
  <c r="K209" i="3"/>
  <c r="G209" i="3"/>
  <c r="H209" i="3" s="1"/>
  <c r="K208" i="3"/>
  <c r="H208" i="3"/>
  <c r="K207" i="3"/>
  <c r="G207" i="3"/>
  <c r="H207" i="3" s="1"/>
  <c r="K206" i="3"/>
  <c r="G206" i="3"/>
  <c r="H206" i="3" s="1"/>
  <c r="K205" i="3"/>
  <c r="G205" i="3"/>
  <c r="H205" i="3" s="1"/>
  <c r="K204" i="3"/>
  <c r="G204" i="3"/>
  <c r="H204" i="3" s="1"/>
  <c r="K203" i="3"/>
  <c r="G203" i="3"/>
  <c r="H203" i="3" s="1"/>
  <c r="K202" i="3"/>
  <c r="G202" i="3"/>
  <c r="H202" i="3" s="1"/>
  <c r="K201" i="3"/>
  <c r="H201" i="3"/>
  <c r="K200" i="3"/>
  <c r="G200" i="3"/>
  <c r="H200" i="3" s="1"/>
  <c r="K199" i="3"/>
  <c r="G199" i="3"/>
  <c r="H199" i="3" s="1"/>
  <c r="K198" i="3"/>
  <c r="G198" i="3"/>
  <c r="H198" i="3" s="1"/>
  <c r="K197" i="3"/>
  <c r="G197" i="3"/>
  <c r="H197" i="3" s="1"/>
  <c r="K196" i="3"/>
  <c r="H196" i="3"/>
  <c r="K195" i="3"/>
  <c r="G195" i="3"/>
  <c r="H195" i="3" s="1"/>
  <c r="K194" i="3"/>
  <c r="G194" i="3"/>
  <c r="H194" i="3" s="1"/>
  <c r="K193" i="3"/>
  <c r="H193" i="3"/>
  <c r="K192" i="3"/>
  <c r="G192" i="3"/>
  <c r="H192" i="3" s="1"/>
  <c r="K191" i="3"/>
  <c r="G191" i="3"/>
  <c r="H191" i="3" s="1"/>
  <c r="K190" i="3"/>
  <c r="G190" i="3"/>
  <c r="H190" i="3" s="1"/>
  <c r="K189" i="3"/>
  <c r="G189" i="3"/>
  <c r="H189" i="3" s="1"/>
  <c r="K188" i="3"/>
  <c r="G188" i="3"/>
  <c r="H188" i="3" s="1"/>
  <c r="K187" i="3"/>
  <c r="G187" i="3"/>
  <c r="H187" i="3" s="1"/>
  <c r="K186" i="3"/>
  <c r="G186" i="3"/>
  <c r="H186" i="3" s="1"/>
  <c r="K185" i="3"/>
  <c r="G185" i="3"/>
  <c r="H185" i="3" s="1"/>
  <c r="K184" i="3"/>
  <c r="G184" i="3"/>
  <c r="H184" i="3" s="1"/>
  <c r="K183" i="3"/>
  <c r="G183" i="3"/>
  <c r="H183" i="3" s="1"/>
  <c r="K182" i="3"/>
  <c r="G182" i="3"/>
  <c r="H182" i="3" s="1"/>
  <c r="K181" i="3"/>
  <c r="H181" i="3"/>
  <c r="K180" i="3"/>
  <c r="G180" i="3"/>
  <c r="H180" i="3" s="1"/>
  <c r="K179" i="3"/>
  <c r="G179" i="3"/>
  <c r="H179" i="3" s="1"/>
  <c r="K178" i="3"/>
  <c r="G178" i="3"/>
  <c r="H178" i="3" s="1"/>
  <c r="K177" i="3"/>
  <c r="G177" i="3"/>
  <c r="H177" i="3" s="1"/>
  <c r="K176" i="3"/>
  <c r="G176" i="3"/>
  <c r="H176" i="3" s="1"/>
  <c r="K175" i="3"/>
  <c r="G175" i="3"/>
  <c r="H175" i="3" s="1"/>
  <c r="K174" i="3"/>
  <c r="G174" i="3"/>
  <c r="H174" i="3" s="1"/>
  <c r="K173" i="3"/>
  <c r="G173" i="3"/>
  <c r="H173" i="3" s="1"/>
  <c r="K172" i="3"/>
  <c r="H172" i="3"/>
  <c r="K171" i="3"/>
  <c r="H171" i="3"/>
  <c r="K170" i="3"/>
  <c r="H170" i="3"/>
  <c r="K169" i="3"/>
  <c r="H169" i="3"/>
  <c r="K168" i="3"/>
  <c r="H168" i="3"/>
  <c r="K167" i="3"/>
  <c r="H167" i="3"/>
  <c r="K166" i="3"/>
  <c r="G166" i="3"/>
  <c r="H166" i="3" s="1"/>
  <c r="K165" i="3"/>
  <c r="H165" i="3"/>
  <c r="K164" i="3"/>
  <c r="H164" i="3"/>
  <c r="K163" i="3"/>
  <c r="H163" i="3"/>
  <c r="K162" i="3"/>
  <c r="G162" i="3"/>
  <c r="H162" i="3" s="1"/>
  <c r="K161" i="3"/>
  <c r="G161" i="3"/>
  <c r="H161" i="3" s="1"/>
  <c r="K160" i="3"/>
  <c r="G160" i="3"/>
  <c r="H160" i="3" s="1"/>
  <c r="K159" i="3"/>
  <c r="G159" i="3"/>
  <c r="H159" i="3" s="1"/>
  <c r="K158" i="3"/>
  <c r="G158" i="3"/>
  <c r="H158" i="3" s="1"/>
  <c r="K157" i="3"/>
  <c r="G157" i="3"/>
  <c r="H157" i="3" s="1"/>
  <c r="K156" i="3"/>
  <c r="G156" i="3"/>
  <c r="H156" i="3" s="1"/>
  <c r="K155" i="3"/>
  <c r="H155" i="3"/>
  <c r="K154" i="3"/>
  <c r="G154" i="3"/>
  <c r="H154" i="3" s="1"/>
  <c r="K153" i="3"/>
  <c r="H153" i="3"/>
  <c r="K152" i="3"/>
  <c r="G152" i="3"/>
  <c r="H152" i="3" s="1"/>
  <c r="K151" i="3"/>
  <c r="H151" i="3"/>
  <c r="K150" i="3"/>
  <c r="G150" i="3"/>
  <c r="H150" i="3" s="1"/>
  <c r="K149" i="3"/>
  <c r="G149" i="3"/>
  <c r="H149" i="3" s="1"/>
  <c r="K148" i="3"/>
  <c r="G148" i="3"/>
  <c r="H148" i="3" s="1"/>
  <c r="K147" i="3"/>
  <c r="G147" i="3"/>
  <c r="H147" i="3" s="1"/>
  <c r="K146" i="3"/>
  <c r="G146" i="3"/>
  <c r="H146" i="3" s="1"/>
  <c r="K145" i="3"/>
  <c r="G145" i="3"/>
  <c r="H145" i="3" s="1"/>
  <c r="K144" i="3"/>
  <c r="G144" i="3"/>
  <c r="H144" i="3" s="1"/>
  <c r="K143" i="3"/>
  <c r="H143" i="3"/>
  <c r="K142" i="3"/>
  <c r="H142" i="3"/>
  <c r="K141" i="3"/>
  <c r="G141" i="3"/>
  <c r="H141" i="3" s="1"/>
  <c r="K140" i="3"/>
  <c r="G140" i="3"/>
  <c r="H140" i="3" s="1"/>
  <c r="K139" i="3"/>
  <c r="H139" i="3"/>
  <c r="K138" i="3"/>
  <c r="G138" i="3"/>
  <c r="H138" i="3" s="1"/>
  <c r="K137" i="3"/>
  <c r="G137" i="3"/>
  <c r="H137" i="3" s="1"/>
  <c r="K136" i="3"/>
  <c r="G136" i="3"/>
  <c r="H136" i="3" s="1"/>
  <c r="K135" i="3"/>
  <c r="G135" i="3"/>
  <c r="H135" i="3" s="1"/>
  <c r="K134" i="3"/>
  <c r="G134" i="3"/>
  <c r="H134" i="3" s="1"/>
  <c r="K133" i="3"/>
  <c r="H133" i="3"/>
  <c r="K132" i="3"/>
  <c r="G132" i="3"/>
  <c r="H132" i="3" s="1"/>
  <c r="K131" i="3"/>
  <c r="G131" i="3"/>
  <c r="H131" i="3" s="1"/>
  <c r="K130" i="3"/>
  <c r="G130" i="3"/>
  <c r="H130" i="3" s="1"/>
  <c r="K129" i="3"/>
  <c r="G129" i="3"/>
  <c r="H129" i="3" s="1"/>
  <c r="K128" i="3"/>
  <c r="G128" i="3"/>
  <c r="H128" i="3" s="1"/>
  <c r="K127" i="3"/>
  <c r="H127" i="3"/>
  <c r="K126" i="3"/>
  <c r="G126" i="3"/>
  <c r="H126" i="3" s="1"/>
  <c r="K125" i="3"/>
  <c r="G125" i="3"/>
  <c r="H125" i="3" s="1"/>
  <c r="K124" i="3"/>
  <c r="H124" i="3"/>
  <c r="K123" i="3"/>
  <c r="G123" i="3"/>
  <c r="H123" i="3" s="1"/>
  <c r="K121" i="3"/>
  <c r="G121" i="3"/>
  <c r="H121" i="3" s="1"/>
  <c r="I120" i="3"/>
  <c r="K120" i="3" s="1"/>
  <c r="G120" i="3"/>
  <c r="H120" i="3" s="1"/>
  <c r="K119" i="3"/>
  <c r="H119" i="3"/>
  <c r="K118" i="3"/>
  <c r="H118" i="3"/>
  <c r="I117" i="3"/>
  <c r="K117" i="3" s="1"/>
  <c r="G117" i="3"/>
  <c r="H117" i="3" s="1"/>
  <c r="K116" i="3"/>
  <c r="G116" i="3"/>
  <c r="H116" i="3" s="1"/>
  <c r="K115" i="3"/>
  <c r="G115" i="3"/>
  <c r="H115" i="3" s="1"/>
  <c r="K114" i="3"/>
  <c r="G114" i="3"/>
  <c r="H114" i="3" s="1"/>
  <c r="K113" i="3"/>
  <c r="G113" i="3"/>
  <c r="H113" i="3" s="1"/>
  <c r="K112" i="3"/>
  <c r="H112" i="3"/>
  <c r="K111" i="3"/>
  <c r="H111" i="3"/>
  <c r="K110" i="3"/>
  <c r="G110" i="3"/>
  <c r="H110" i="3" s="1"/>
  <c r="K109" i="3"/>
  <c r="G109" i="3"/>
  <c r="H109" i="3" s="1"/>
  <c r="K108" i="3"/>
  <c r="G108" i="3"/>
  <c r="H108" i="3" s="1"/>
  <c r="K107" i="3"/>
  <c r="G107" i="3"/>
  <c r="H107" i="3" s="1"/>
  <c r="K106" i="3"/>
  <c r="G106" i="3"/>
  <c r="H106" i="3" s="1"/>
  <c r="K105" i="3"/>
  <c r="G105" i="3"/>
  <c r="H105" i="3" s="1"/>
  <c r="K104" i="3"/>
  <c r="G104" i="3"/>
  <c r="H104" i="3" s="1"/>
  <c r="I103" i="3"/>
  <c r="K103" i="3" s="1"/>
  <c r="G103" i="3"/>
  <c r="H103" i="3" s="1"/>
  <c r="K102" i="3"/>
  <c r="G102" i="3"/>
  <c r="H102" i="3" s="1"/>
  <c r="K101" i="3"/>
  <c r="H101" i="3"/>
  <c r="K100" i="3"/>
  <c r="H100" i="3"/>
  <c r="K99" i="3"/>
  <c r="G99" i="3"/>
  <c r="H99" i="3" s="1"/>
  <c r="K98" i="3"/>
  <c r="H98" i="3"/>
  <c r="K97" i="3"/>
  <c r="G97" i="3"/>
  <c r="H97" i="3" s="1"/>
  <c r="K96" i="3"/>
  <c r="G96" i="3"/>
  <c r="H96" i="3" s="1"/>
  <c r="K95" i="3"/>
  <c r="G95" i="3"/>
  <c r="H95" i="3" s="1"/>
  <c r="K94" i="3"/>
  <c r="G94" i="3"/>
  <c r="H94" i="3" s="1"/>
  <c r="K93" i="3"/>
  <c r="H93" i="3"/>
  <c r="K92" i="3"/>
  <c r="H92" i="3"/>
  <c r="K91" i="3"/>
  <c r="H91" i="3"/>
  <c r="K90" i="3"/>
  <c r="G90" i="3"/>
  <c r="H90" i="3" s="1"/>
  <c r="K89" i="3"/>
  <c r="H89" i="3"/>
  <c r="K88" i="3"/>
  <c r="G88" i="3"/>
  <c r="H88" i="3" s="1"/>
  <c r="K87" i="3"/>
  <c r="G87" i="3"/>
  <c r="H87" i="3" s="1"/>
  <c r="K86" i="3"/>
  <c r="G86" i="3"/>
  <c r="H86" i="3" s="1"/>
  <c r="K85" i="3"/>
  <c r="G85" i="3"/>
  <c r="H85" i="3" s="1"/>
  <c r="K84" i="3"/>
  <c r="G84" i="3"/>
  <c r="H84" i="3" s="1"/>
  <c r="K83" i="3"/>
  <c r="H83" i="3"/>
  <c r="K82" i="3"/>
  <c r="G82" i="3"/>
  <c r="H82" i="3" s="1"/>
  <c r="K81" i="3"/>
  <c r="H81" i="3"/>
  <c r="K80" i="3"/>
  <c r="G80" i="3"/>
  <c r="H80" i="3" s="1"/>
  <c r="K79" i="3"/>
  <c r="G79" i="3"/>
  <c r="H79" i="3" s="1"/>
  <c r="K78" i="3"/>
  <c r="G78" i="3"/>
  <c r="H78" i="3" s="1"/>
  <c r="K77" i="3"/>
  <c r="G77" i="3"/>
  <c r="H77" i="3" s="1"/>
  <c r="K76" i="3"/>
  <c r="G76" i="3"/>
  <c r="H76" i="3" s="1"/>
  <c r="K75" i="3"/>
  <c r="G75" i="3"/>
  <c r="H75" i="3" s="1"/>
  <c r="K74" i="3"/>
  <c r="H74" i="3"/>
  <c r="K73" i="3"/>
  <c r="H73" i="3"/>
  <c r="K72" i="3"/>
  <c r="G72" i="3"/>
  <c r="H72" i="3" s="1"/>
  <c r="K71" i="3"/>
  <c r="G71" i="3"/>
  <c r="H71" i="3" s="1"/>
  <c r="K70" i="3"/>
  <c r="G70" i="3"/>
  <c r="H70" i="3" s="1"/>
  <c r="K69" i="3"/>
  <c r="G69" i="3"/>
  <c r="H69" i="3" s="1"/>
  <c r="K68" i="3"/>
  <c r="H68" i="3"/>
  <c r="K67" i="3"/>
  <c r="H67" i="3"/>
  <c r="K66" i="3"/>
  <c r="G66" i="3"/>
  <c r="H66" i="3" s="1"/>
  <c r="K65" i="3"/>
  <c r="G65" i="3"/>
  <c r="H65" i="3" s="1"/>
  <c r="K64" i="3"/>
  <c r="G64" i="3"/>
  <c r="H64" i="3" s="1"/>
  <c r="K63" i="3"/>
  <c r="G63" i="3"/>
  <c r="H63" i="3" s="1"/>
  <c r="K62" i="3"/>
  <c r="H62" i="3"/>
  <c r="K61" i="3"/>
  <c r="H61" i="3"/>
  <c r="K60" i="3"/>
  <c r="H60" i="3"/>
  <c r="K59" i="3"/>
  <c r="H59" i="3"/>
  <c r="K58" i="3"/>
  <c r="G58" i="3"/>
  <c r="H58" i="3" s="1"/>
  <c r="K57" i="3"/>
  <c r="H57" i="3"/>
  <c r="K56" i="3"/>
  <c r="G56" i="3"/>
  <c r="H56" i="3" s="1"/>
  <c r="K55" i="3"/>
  <c r="H55" i="3"/>
  <c r="K54" i="3"/>
  <c r="G54" i="3"/>
  <c r="H54" i="3" s="1"/>
  <c r="K53" i="3"/>
  <c r="G53" i="3"/>
  <c r="H53" i="3" s="1"/>
  <c r="K52" i="3"/>
  <c r="G52" i="3"/>
  <c r="H52" i="3" s="1"/>
  <c r="K51" i="3"/>
  <c r="G51" i="3"/>
  <c r="H51" i="3" s="1"/>
  <c r="K50" i="3"/>
  <c r="G50" i="3"/>
  <c r="H50" i="3" s="1"/>
  <c r="K49" i="3"/>
  <c r="H49" i="3"/>
  <c r="K48" i="3"/>
  <c r="H48" i="3"/>
  <c r="K47" i="3"/>
  <c r="H47" i="3"/>
  <c r="K46" i="3"/>
  <c r="H46" i="3"/>
  <c r="K45" i="3"/>
  <c r="H45" i="3"/>
  <c r="K44" i="3"/>
  <c r="H44" i="3"/>
  <c r="K43" i="3"/>
  <c r="H43" i="3"/>
  <c r="K42" i="3"/>
  <c r="H42" i="3"/>
  <c r="K41" i="3"/>
  <c r="H41" i="3"/>
  <c r="K40" i="3"/>
  <c r="G40" i="3"/>
  <c r="H40" i="3" s="1"/>
  <c r="K39" i="3"/>
  <c r="H39" i="3"/>
  <c r="K38" i="3"/>
  <c r="G38" i="3"/>
  <c r="H38" i="3" s="1"/>
  <c r="K37" i="3"/>
  <c r="H37" i="3"/>
  <c r="K36" i="3"/>
  <c r="H36" i="3"/>
  <c r="K35" i="3"/>
  <c r="H35" i="3"/>
  <c r="K34" i="3"/>
  <c r="H34" i="3"/>
  <c r="K33" i="3"/>
  <c r="G33" i="3"/>
  <c r="H33" i="3" s="1"/>
  <c r="K32" i="3"/>
  <c r="G32" i="3"/>
  <c r="H32" i="3" s="1"/>
  <c r="K31" i="3"/>
  <c r="H31" i="3"/>
  <c r="K30" i="3"/>
  <c r="H30" i="3"/>
  <c r="K29" i="3"/>
  <c r="G29" i="3"/>
  <c r="H29" i="3" s="1"/>
  <c r="K28" i="3"/>
  <c r="H28" i="3"/>
  <c r="K27" i="3"/>
  <c r="H27" i="3"/>
  <c r="K26" i="3"/>
  <c r="G26" i="3"/>
  <c r="H26" i="3" s="1"/>
  <c r="K25" i="3"/>
  <c r="G25" i="3"/>
  <c r="H25" i="3" s="1"/>
  <c r="K24" i="3"/>
  <c r="G24" i="3"/>
  <c r="H24" i="3" s="1"/>
  <c r="K23" i="3"/>
  <c r="H23" i="3"/>
  <c r="K22" i="3"/>
  <c r="H22" i="3"/>
  <c r="K21" i="3"/>
  <c r="G21" i="3"/>
  <c r="H21" i="3" s="1"/>
  <c r="K20" i="3"/>
  <c r="G20" i="3"/>
  <c r="H20" i="3" s="1"/>
  <c r="K19" i="3"/>
  <c r="G19" i="3"/>
  <c r="H19" i="3" s="1"/>
  <c r="K18" i="3"/>
  <c r="H18" i="3"/>
  <c r="K17" i="3"/>
  <c r="G17" i="3"/>
  <c r="H17" i="3" s="1"/>
  <c r="K16" i="3"/>
  <c r="H16" i="3"/>
  <c r="K15" i="3"/>
  <c r="G15" i="3"/>
  <c r="H15" i="3" s="1"/>
  <c r="K14" i="3"/>
  <c r="G14" i="3"/>
  <c r="H14" i="3" s="1"/>
  <c r="K13" i="3"/>
  <c r="H13" i="3"/>
  <c r="K12" i="3"/>
  <c r="G12" i="3"/>
  <c r="H12" i="3" s="1"/>
  <c r="K11" i="3"/>
  <c r="G11" i="3"/>
  <c r="H11" i="3" s="1"/>
  <c r="K10" i="3"/>
  <c r="G10" i="3"/>
  <c r="H10" i="3" s="1"/>
  <c r="K9" i="3"/>
  <c r="H9" i="3"/>
  <c r="K8" i="3"/>
  <c r="H8" i="3"/>
  <c r="K7" i="3"/>
  <c r="H7" i="3"/>
  <c r="K6" i="3"/>
  <c r="H6" i="3"/>
  <c r="K5" i="3"/>
  <c r="H5" i="3"/>
  <c r="K4" i="3"/>
  <c r="H4" i="3"/>
  <c r="K3" i="3"/>
  <c r="G3" i="3"/>
  <c r="H3" i="3" s="1"/>
  <c r="K2" i="3"/>
  <c r="H2" i="3"/>
  <c r="L122" i="3" l="1"/>
  <c r="M122" i="3" s="1"/>
  <c r="L260" i="3"/>
  <c r="M260" i="3" s="1"/>
  <c r="L264" i="3"/>
  <c r="M264" i="3" s="1"/>
  <c r="C33" i="6"/>
  <c r="E33" i="6" s="1"/>
  <c r="F8" i="8"/>
  <c r="D16" i="9"/>
  <c r="D30" i="9"/>
  <c r="E16" i="9"/>
  <c r="F16" i="9"/>
  <c r="E3" i="8"/>
  <c r="W48" i="5"/>
  <c r="L267" i="3"/>
  <c r="M267" i="3" s="1"/>
  <c r="L271" i="3"/>
  <c r="M271" i="3" s="1"/>
  <c r="L278" i="3"/>
  <c r="M278" i="3" s="1"/>
  <c r="L282" i="3"/>
  <c r="M282" i="3" s="1"/>
  <c r="L286" i="3"/>
  <c r="M286" i="3" s="1"/>
  <c r="L290" i="3"/>
  <c r="L294" i="3"/>
  <c r="M294" i="3" s="1"/>
  <c r="L298" i="3"/>
  <c r="L302" i="3"/>
  <c r="L306" i="3"/>
  <c r="M306" i="3" s="1"/>
  <c r="L310" i="3"/>
  <c r="M310" i="3" s="1"/>
  <c r="L314" i="3"/>
  <c r="M314" i="3" s="1"/>
  <c r="L318" i="3"/>
  <c r="L322" i="3"/>
  <c r="M322" i="3" s="1"/>
  <c r="L326" i="3"/>
  <c r="M326" i="3" s="1"/>
  <c r="L330" i="3"/>
  <c r="M330" i="3" s="1"/>
  <c r="L334" i="3"/>
  <c r="M334" i="3" s="1"/>
  <c r="L338" i="3"/>
  <c r="M338" i="3" s="1"/>
  <c r="L341" i="3"/>
  <c r="L345" i="3"/>
  <c r="L349" i="3"/>
  <c r="L353" i="3"/>
  <c r="M353" i="3" s="1"/>
  <c r="L357" i="3"/>
  <c r="M357" i="3" s="1"/>
  <c r="L361" i="3"/>
  <c r="M361" i="3" s="1"/>
  <c r="L365" i="3"/>
  <c r="M365" i="3" s="1"/>
  <c r="L369" i="3"/>
  <c r="M369" i="3" s="1"/>
  <c r="L373" i="3"/>
  <c r="L377" i="3"/>
  <c r="L381" i="3"/>
  <c r="M381" i="3" s="1"/>
  <c r="L385" i="3"/>
  <c r="M385" i="3" s="1"/>
  <c r="L392" i="3"/>
  <c r="M392" i="3" s="1"/>
  <c r="L396" i="3"/>
  <c r="M396" i="3" s="1"/>
  <c r="L400" i="3"/>
  <c r="M400" i="3" s="1"/>
  <c r="L404" i="3"/>
  <c r="L408" i="3"/>
  <c r="M408" i="3" s="1"/>
  <c r="L412" i="3"/>
  <c r="L416" i="3"/>
  <c r="M416" i="3" s="1"/>
  <c r="L420" i="3"/>
  <c r="M420" i="3" s="1"/>
  <c r="L424" i="3"/>
  <c r="L428" i="3"/>
  <c r="L456" i="3"/>
  <c r="M456" i="3" s="1"/>
  <c r="L460" i="3"/>
  <c r="M460" i="3" s="1"/>
  <c r="L464" i="3"/>
  <c r="M464" i="3" s="1"/>
  <c r="L468" i="3"/>
  <c r="M468" i="3" s="1"/>
  <c r="L472" i="3"/>
  <c r="M472" i="3" s="1"/>
  <c r="L476" i="3"/>
  <c r="M476" i="3" s="1"/>
  <c r="L480" i="3"/>
  <c r="M480" i="3" s="1"/>
  <c r="L484" i="3"/>
  <c r="M484" i="3" s="1"/>
  <c r="L488" i="3"/>
  <c r="M488" i="3" s="1"/>
  <c r="L492" i="3"/>
  <c r="M492" i="3" s="1"/>
  <c r="L496" i="3"/>
  <c r="M496" i="3" s="1"/>
  <c r="L500" i="3"/>
  <c r="M500" i="3" s="1"/>
  <c r="L504" i="3"/>
  <c r="M504" i="3" s="1"/>
  <c r="L508" i="3"/>
  <c r="M508" i="3" s="1"/>
  <c r="L512" i="3"/>
  <c r="M512" i="3" s="1"/>
  <c r="L516" i="3"/>
  <c r="M516" i="3" s="1"/>
  <c r="L520" i="3"/>
  <c r="M520" i="3" s="1"/>
  <c r="L524" i="3"/>
  <c r="M524" i="3" s="1"/>
  <c r="L528" i="3"/>
  <c r="M528" i="3" s="1"/>
  <c r="L532" i="3"/>
  <c r="M532" i="3" s="1"/>
  <c r="L536" i="3"/>
  <c r="M536" i="3" s="1"/>
  <c r="L540" i="3"/>
  <c r="M540" i="3" s="1"/>
  <c r="L544" i="3"/>
  <c r="M544" i="3" s="1"/>
  <c r="L548" i="3"/>
  <c r="M548" i="3" s="1"/>
  <c r="L552" i="3"/>
  <c r="M552" i="3" s="1"/>
  <c r="L556" i="3"/>
  <c r="M556" i="3" s="1"/>
  <c r="L560" i="3"/>
  <c r="M560" i="3" s="1"/>
  <c r="L564" i="3"/>
  <c r="M564" i="3" s="1"/>
  <c r="L568" i="3"/>
  <c r="M568" i="3" s="1"/>
  <c r="L572" i="3"/>
  <c r="M572" i="3" s="1"/>
  <c r="L576" i="3"/>
  <c r="M576" i="3" s="1"/>
  <c r="L580" i="3"/>
  <c r="M580" i="3" s="1"/>
  <c r="L584" i="3"/>
  <c r="M584" i="3" s="1"/>
  <c r="L588" i="3"/>
  <c r="M588" i="3" s="1"/>
  <c r="L592" i="3"/>
  <c r="M592" i="3" s="1"/>
  <c r="L596" i="3"/>
  <c r="M596" i="3" s="1"/>
  <c r="L600" i="3"/>
  <c r="M600" i="3" s="1"/>
  <c r="L604" i="3"/>
  <c r="M604" i="3" s="1"/>
  <c r="L608" i="3"/>
  <c r="M608" i="3" s="1"/>
  <c r="L612" i="3"/>
  <c r="M612" i="3" s="1"/>
  <c r="L616" i="3"/>
  <c r="M616" i="3" s="1"/>
  <c r="L620" i="3"/>
  <c r="M620" i="3" s="1"/>
  <c r="L624" i="3"/>
  <c r="M624" i="3" s="1"/>
  <c r="L628" i="3"/>
  <c r="M628" i="3" s="1"/>
  <c r="L632" i="3"/>
  <c r="M632" i="3" s="1"/>
  <c r="L636" i="3"/>
  <c r="M636" i="3" s="1"/>
  <c r="L640" i="3"/>
  <c r="M640" i="3" s="1"/>
  <c r="L644" i="3"/>
  <c r="M644" i="3" s="1"/>
  <c r="L648" i="3"/>
  <c r="M648" i="3" s="1"/>
  <c r="L652" i="3"/>
  <c r="M652" i="3" s="1"/>
  <c r="L656" i="3"/>
  <c r="M656" i="3" s="1"/>
  <c r="L660" i="3"/>
  <c r="M660" i="3" s="1"/>
  <c r="L664" i="3"/>
  <c r="M664" i="3" s="1"/>
  <c r="L668" i="3"/>
  <c r="M668" i="3" s="1"/>
  <c r="L672" i="3"/>
  <c r="M672" i="3" s="1"/>
  <c r="L676" i="3"/>
  <c r="M676" i="3" s="1"/>
  <c r="L680" i="3"/>
  <c r="M680" i="3" s="1"/>
  <c r="L684" i="3"/>
  <c r="M684" i="3" s="1"/>
  <c r="L688" i="3"/>
  <c r="M688" i="3" s="1"/>
  <c r="L692" i="3"/>
  <c r="M692" i="3" s="1"/>
  <c r="L696" i="3"/>
  <c r="M696" i="3" s="1"/>
  <c r="L700" i="3"/>
  <c r="M700" i="3" s="1"/>
  <c r="L704" i="3"/>
  <c r="M704" i="3" s="1"/>
  <c r="L708" i="3"/>
  <c r="M708" i="3" s="1"/>
  <c r="L712" i="3"/>
  <c r="M712" i="3" s="1"/>
  <c r="L716" i="3"/>
  <c r="M716" i="3" s="1"/>
  <c r="L720" i="3"/>
  <c r="M720" i="3" s="1"/>
  <c r="L724" i="3"/>
  <c r="M724" i="3" s="1"/>
  <c r="L728" i="3"/>
  <c r="M728" i="3" s="1"/>
  <c r="L732" i="3"/>
  <c r="M732" i="3" s="1"/>
  <c r="L736" i="3"/>
  <c r="M736" i="3" s="1"/>
  <c r="L740" i="3"/>
  <c r="M740" i="3" s="1"/>
  <c r="L744" i="3"/>
  <c r="M744" i="3" s="1"/>
  <c r="L748" i="3"/>
  <c r="M748" i="3" s="1"/>
  <c r="L752" i="3"/>
  <c r="M752" i="3" s="1"/>
  <c r="L756" i="3"/>
  <c r="M756" i="3" s="1"/>
  <c r="L760" i="3"/>
  <c r="M760" i="3" s="1"/>
  <c r="L764" i="3"/>
  <c r="M764" i="3" s="1"/>
  <c r="L768" i="3"/>
  <c r="M768" i="3" s="1"/>
  <c r="L772" i="3"/>
  <c r="M772" i="3" s="1"/>
  <c r="L776" i="3"/>
  <c r="M776" i="3" s="1"/>
  <c r="L780" i="3"/>
  <c r="M780" i="3" s="1"/>
  <c r="L784" i="3"/>
  <c r="M784" i="3" s="1"/>
  <c r="L788" i="3"/>
  <c r="M788" i="3" s="1"/>
  <c r="L792" i="3"/>
  <c r="M792" i="3" s="1"/>
  <c r="L796" i="3"/>
  <c r="M796" i="3" s="1"/>
  <c r="L800" i="3"/>
  <c r="M800" i="3" s="1"/>
  <c r="L804" i="3"/>
  <c r="M804" i="3" s="1"/>
  <c r="L808" i="3"/>
  <c r="M808" i="3" s="1"/>
  <c r="L812" i="3"/>
  <c r="M812" i="3" s="1"/>
  <c r="L816" i="3"/>
  <c r="M816" i="3" s="1"/>
  <c r="L820" i="3"/>
  <c r="M820" i="3" s="1"/>
  <c r="L824" i="3"/>
  <c r="M824" i="3" s="1"/>
  <c r="L828" i="3"/>
  <c r="M828" i="3" s="1"/>
  <c r="L832" i="3"/>
  <c r="M832" i="3" s="1"/>
  <c r="L836" i="3"/>
  <c r="M836" i="3" s="1"/>
  <c r="L840" i="3"/>
  <c r="M840" i="3" s="1"/>
  <c r="L844" i="3"/>
  <c r="M844" i="3" s="1"/>
  <c r="L848" i="3"/>
  <c r="M848" i="3" s="1"/>
  <c r="L852" i="3"/>
  <c r="M852" i="3" s="1"/>
  <c r="L856" i="3"/>
  <c r="M856" i="3" s="1"/>
  <c r="L860" i="3"/>
  <c r="M860" i="3" s="1"/>
  <c r="L864" i="3"/>
  <c r="M864" i="3" s="1"/>
  <c r="L868" i="3"/>
  <c r="M868" i="3" s="1"/>
  <c r="L872" i="3"/>
  <c r="M872" i="3" s="1"/>
  <c r="L876" i="3"/>
  <c r="M876" i="3" s="1"/>
  <c r="L880" i="3"/>
  <c r="M880" i="3" s="1"/>
  <c r="L884" i="3"/>
  <c r="M884" i="3" s="1"/>
  <c r="L888" i="3"/>
  <c r="M888" i="3" s="1"/>
  <c r="L892" i="3"/>
  <c r="M892" i="3" s="1"/>
  <c r="L896" i="3"/>
  <c r="M896" i="3" s="1"/>
  <c r="L900" i="3"/>
  <c r="M900" i="3" s="1"/>
  <c r="L904" i="3"/>
  <c r="M904" i="3" s="1"/>
  <c r="L908" i="3"/>
  <c r="M908" i="3" s="1"/>
  <c r="L912" i="3"/>
  <c r="M912" i="3" s="1"/>
  <c r="L916" i="3"/>
  <c r="M916" i="3" s="1"/>
  <c r="L920" i="3"/>
  <c r="M920" i="3" s="1"/>
  <c r="L924" i="3"/>
  <c r="M924" i="3" s="1"/>
  <c r="L928" i="3"/>
  <c r="M928" i="3" s="1"/>
  <c r="L932" i="3"/>
  <c r="M932" i="3" s="1"/>
  <c r="L936" i="3"/>
  <c r="M936" i="3" s="1"/>
  <c r="L940" i="3"/>
  <c r="M940" i="3" s="1"/>
  <c r="L944" i="3"/>
  <c r="M944" i="3" s="1"/>
  <c r="L948" i="3"/>
  <c r="M948" i="3" s="1"/>
  <c r="L952" i="3"/>
  <c r="M952" i="3" s="1"/>
  <c r="L956" i="3"/>
  <c r="M956" i="3" s="1"/>
  <c r="L960" i="3"/>
  <c r="M960" i="3" s="1"/>
  <c r="L964" i="3"/>
  <c r="M964" i="3" s="1"/>
  <c r="L968" i="3"/>
  <c r="M968" i="3" s="1"/>
  <c r="L972" i="3"/>
  <c r="M972" i="3" s="1"/>
  <c r="L976" i="3"/>
  <c r="M976" i="3" s="1"/>
  <c r="L980" i="3"/>
  <c r="M980" i="3" s="1"/>
  <c r="L984" i="3"/>
  <c r="M984" i="3" s="1"/>
  <c r="L988" i="3"/>
  <c r="M988" i="3" s="1"/>
  <c r="L992" i="3"/>
  <c r="M992" i="3" s="1"/>
  <c r="L996" i="3"/>
  <c r="M996" i="3" s="1"/>
  <c r="L1000" i="3"/>
  <c r="M1000" i="3" s="1"/>
  <c r="L1004" i="3"/>
  <c r="M1004" i="3" s="1"/>
  <c r="L1008" i="3"/>
  <c r="M1008" i="3" s="1"/>
  <c r="L1012" i="3"/>
  <c r="M1012" i="3" s="1"/>
  <c r="L1016" i="3"/>
  <c r="M1016" i="3" s="1"/>
  <c r="L1020" i="3"/>
  <c r="M1020" i="3" s="1"/>
  <c r="L1024" i="3"/>
  <c r="M1024" i="3" s="1"/>
  <c r="L1028" i="3"/>
  <c r="M1028" i="3" s="1"/>
  <c r="L1032" i="3"/>
  <c r="M1032" i="3" s="1"/>
  <c r="L1036" i="3"/>
  <c r="M1036" i="3" s="1"/>
  <c r="L1040" i="3"/>
  <c r="M1040" i="3" s="1"/>
  <c r="L1044" i="3"/>
  <c r="M1044" i="3" s="1"/>
  <c r="L1048" i="3"/>
  <c r="M1048" i="3" s="1"/>
  <c r="L1051" i="3"/>
  <c r="M1051" i="3" s="1"/>
  <c r="L296" i="3"/>
  <c r="L300" i="3"/>
  <c r="L1052" i="3"/>
  <c r="M1052" i="3" s="1"/>
  <c r="L1056" i="3"/>
  <c r="M1056" i="3" s="1"/>
  <c r="L1060" i="3"/>
  <c r="M1060" i="3" s="1"/>
  <c r="L1064" i="3"/>
  <c r="M1064" i="3" s="1"/>
  <c r="L1068" i="3"/>
  <c r="M1068" i="3" s="1"/>
  <c r="L1072" i="3"/>
  <c r="M1072" i="3" s="1"/>
  <c r="L1076" i="3"/>
  <c r="M1076" i="3" s="1"/>
  <c r="L1080" i="3"/>
  <c r="M1080" i="3" s="1"/>
  <c r="L1084" i="3"/>
  <c r="M1084" i="3" s="1"/>
  <c r="L1088" i="3"/>
  <c r="M1088" i="3" s="1"/>
  <c r="L1092" i="3"/>
  <c r="M1092" i="3" s="1"/>
  <c r="L1096" i="3"/>
  <c r="M1096" i="3" s="1"/>
  <c r="L1100" i="3"/>
  <c r="M1100" i="3" s="1"/>
  <c r="L1104" i="3"/>
  <c r="M1104" i="3" s="1"/>
  <c r="L1108" i="3"/>
  <c r="M1108" i="3" s="1"/>
  <c r="L304" i="3"/>
  <c r="M304" i="3" s="1"/>
  <c r="L308" i="3"/>
  <c r="L312" i="3"/>
  <c r="M312" i="3" s="1"/>
  <c r="L316" i="3"/>
  <c r="M316" i="3" s="1"/>
  <c r="L320" i="3"/>
  <c r="L324" i="3"/>
  <c r="M324" i="3" s="1"/>
  <c r="L328" i="3"/>
  <c r="M328" i="3" s="1"/>
  <c r="L332" i="3"/>
  <c r="L336" i="3"/>
  <c r="L339" i="3"/>
  <c r="L343" i="3"/>
  <c r="L347" i="3"/>
  <c r="L351" i="3"/>
  <c r="M351" i="3" s="1"/>
  <c r="L355" i="3"/>
  <c r="L359" i="3"/>
  <c r="M359" i="3" s="1"/>
  <c r="L363" i="3"/>
  <c r="L367" i="3"/>
  <c r="M367" i="3" s="1"/>
  <c r="L371" i="3"/>
  <c r="L375" i="3"/>
  <c r="L379" i="3"/>
  <c r="M379" i="3" s="1"/>
  <c r="L383" i="3"/>
  <c r="L387" i="3"/>
  <c r="M387" i="3" s="1"/>
  <c r="L390" i="3"/>
  <c r="M390" i="3" s="1"/>
  <c r="L394" i="3"/>
  <c r="M394" i="3" s="1"/>
  <c r="L398" i="3"/>
  <c r="M398" i="3" s="1"/>
  <c r="L402" i="3"/>
  <c r="M402" i="3" s="1"/>
  <c r="L406" i="3"/>
  <c r="M406" i="3" s="1"/>
  <c r="L410" i="3"/>
  <c r="M410" i="3" s="1"/>
  <c r="L414" i="3"/>
  <c r="L418" i="3"/>
  <c r="M418" i="3" s="1"/>
  <c r="L422" i="3"/>
  <c r="M422" i="3" s="1"/>
  <c r="L426" i="3"/>
  <c r="M426" i="3" s="1"/>
  <c r="L430" i="3"/>
  <c r="M430" i="3" s="1"/>
  <c r="L454" i="3"/>
  <c r="M454" i="3" s="1"/>
  <c r="L458" i="3"/>
  <c r="M458" i="3" s="1"/>
  <c r="L462" i="3"/>
  <c r="M462" i="3" s="1"/>
  <c r="L466" i="3"/>
  <c r="M466" i="3" s="1"/>
  <c r="L470" i="3"/>
  <c r="M470" i="3" s="1"/>
  <c r="L474" i="3"/>
  <c r="M474" i="3" s="1"/>
  <c r="L478" i="3"/>
  <c r="M478" i="3" s="1"/>
  <c r="L482" i="3"/>
  <c r="M482" i="3" s="1"/>
  <c r="L486" i="3"/>
  <c r="M486" i="3" s="1"/>
  <c r="L490" i="3"/>
  <c r="M490" i="3" s="1"/>
  <c r="L494" i="3"/>
  <c r="M494" i="3" s="1"/>
  <c r="L498" i="3"/>
  <c r="M498" i="3" s="1"/>
  <c r="L502" i="3"/>
  <c r="M502" i="3" s="1"/>
  <c r="L506" i="3"/>
  <c r="M506" i="3" s="1"/>
  <c r="L510" i="3"/>
  <c r="M510" i="3" s="1"/>
  <c r="L514" i="3"/>
  <c r="M514" i="3" s="1"/>
  <c r="L518" i="3"/>
  <c r="M518" i="3" s="1"/>
  <c r="L522" i="3"/>
  <c r="M522" i="3" s="1"/>
  <c r="L526" i="3"/>
  <c r="M526" i="3" s="1"/>
  <c r="L530" i="3"/>
  <c r="M530" i="3" s="1"/>
  <c r="L534" i="3"/>
  <c r="M534" i="3" s="1"/>
  <c r="L538" i="3"/>
  <c r="M538" i="3" s="1"/>
  <c r="L542" i="3"/>
  <c r="M542" i="3" s="1"/>
  <c r="L546" i="3"/>
  <c r="M546" i="3" s="1"/>
  <c r="L550" i="3"/>
  <c r="M550" i="3" s="1"/>
  <c r="L554" i="3"/>
  <c r="M554" i="3" s="1"/>
  <c r="L558" i="3"/>
  <c r="M558" i="3" s="1"/>
  <c r="L562" i="3"/>
  <c r="M562" i="3" s="1"/>
  <c r="L566" i="3"/>
  <c r="M566" i="3" s="1"/>
  <c r="L570" i="3"/>
  <c r="M570" i="3" s="1"/>
  <c r="L574" i="3"/>
  <c r="M574" i="3" s="1"/>
  <c r="L578" i="3"/>
  <c r="M578" i="3" s="1"/>
  <c r="L582" i="3"/>
  <c r="M582" i="3" s="1"/>
  <c r="L586" i="3"/>
  <c r="M586" i="3" s="1"/>
  <c r="L590" i="3"/>
  <c r="M590" i="3" s="1"/>
  <c r="L594" i="3"/>
  <c r="M594" i="3" s="1"/>
  <c r="L598" i="3"/>
  <c r="M598" i="3" s="1"/>
  <c r="L602" i="3"/>
  <c r="M602" i="3" s="1"/>
  <c r="L606" i="3"/>
  <c r="M606" i="3" s="1"/>
  <c r="L610" i="3"/>
  <c r="M610" i="3" s="1"/>
  <c r="L614" i="3"/>
  <c r="M614" i="3" s="1"/>
  <c r="L618" i="3"/>
  <c r="M618" i="3" s="1"/>
  <c r="L622" i="3"/>
  <c r="M622" i="3" s="1"/>
  <c r="L626" i="3"/>
  <c r="M626" i="3" s="1"/>
  <c r="L630" i="3"/>
  <c r="M630" i="3" s="1"/>
  <c r="L634" i="3"/>
  <c r="M634" i="3" s="1"/>
  <c r="L1110" i="3"/>
  <c r="M1110" i="3" s="1"/>
  <c r="L259" i="3"/>
  <c r="M259" i="3" s="1"/>
  <c r="L263" i="3"/>
  <c r="M263" i="3" s="1"/>
  <c r="L266" i="3"/>
  <c r="M266" i="3" s="1"/>
  <c r="L270" i="3"/>
  <c r="M270" i="3" s="1"/>
  <c r="L274" i="3"/>
  <c r="M274" i="3" s="1"/>
  <c r="L285" i="3"/>
  <c r="M285" i="3" s="1"/>
  <c r="L289" i="3"/>
  <c r="M289" i="3" s="1"/>
  <c r="L293" i="3"/>
  <c r="M293" i="3" s="1"/>
  <c r="L297" i="3"/>
  <c r="L301" i="3"/>
  <c r="L305" i="3"/>
  <c r="M305" i="3" s="1"/>
  <c r="L309" i="3"/>
  <c r="M309" i="3" s="1"/>
  <c r="L313" i="3"/>
  <c r="M313" i="3" s="1"/>
  <c r="L317" i="3"/>
  <c r="M317" i="3" s="1"/>
  <c r="L321" i="3"/>
  <c r="M321" i="3" s="1"/>
  <c r="L325" i="3"/>
  <c r="M325" i="3" s="1"/>
  <c r="L329" i="3"/>
  <c r="L333" i="3"/>
  <c r="L337" i="3"/>
  <c r="M337" i="3" s="1"/>
  <c r="L340" i="3"/>
  <c r="L344" i="3"/>
  <c r="M344" i="3" s="1"/>
  <c r="L348" i="3"/>
  <c r="L352" i="3"/>
  <c r="M352" i="3" s="1"/>
  <c r="L356" i="3"/>
  <c r="M356" i="3" s="1"/>
  <c r="L360" i="3"/>
  <c r="M360" i="3" s="1"/>
  <c r="L364" i="3"/>
  <c r="L368" i="3"/>
  <c r="M368" i="3" s="1"/>
  <c r="L372" i="3"/>
  <c r="M372" i="3" s="1"/>
  <c r="L376" i="3"/>
  <c r="L380" i="3"/>
  <c r="M380" i="3" s="1"/>
  <c r="L384" i="3"/>
  <c r="L388" i="3"/>
  <c r="L391" i="3"/>
  <c r="M391" i="3" s="1"/>
  <c r="L395" i="3"/>
  <c r="M395" i="3" s="1"/>
  <c r="L399" i="3"/>
  <c r="M399" i="3" s="1"/>
  <c r="L403" i="3"/>
  <c r="M403" i="3" s="1"/>
  <c r="L407" i="3"/>
  <c r="M407" i="3" s="1"/>
  <c r="L411" i="3"/>
  <c r="M411" i="3" s="1"/>
  <c r="L415" i="3"/>
  <c r="M415" i="3" s="1"/>
  <c r="L419" i="3"/>
  <c r="M419" i="3" s="1"/>
  <c r="L423" i="3"/>
  <c r="M423" i="3" s="1"/>
  <c r="L427" i="3"/>
  <c r="L431" i="3"/>
  <c r="L455" i="3"/>
  <c r="M455" i="3" s="1"/>
  <c r="L459" i="3"/>
  <c r="M459" i="3" s="1"/>
  <c r="L463" i="3"/>
  <c r="M463" i="3" s="1"/>
  <c r="L467" i="3"/>
  <c r="M467" i="3" s="1"/>
  <c r="L471" i="3"/>
  <c r="M471" i="3" s="1"/>
  <c r="L475" i="3"/>
  <c r="M475" i="3" s="1"/>
  <c r="L479" i="3"/>
  <c r="M479" i="3" s="1"/>
  <c r="L483" i="3"/>
  <c r="M483" i="3" s="1"/>
  <c r="L487" i="3"/>
  <c r="M487" i="3" s="1"/>
  <c r="L491" i="3"/>
  <c r="M491" i="3" s="1"/>
  <c r="L495" i="3"/>
  <c r="M495" i="3" s="1"/>
  <c r="L499" i="3"/>
  <c r="M499" i="3" s="1"/>
  <c r="L503" i="3"/>
  <c r="M503" i="3" s="1"/>
  <c r="L507" i="3"/>
  <c r="M507" i="3" s="1"/>
  <c r="L511" i="3"/>
  <c r="M511" i="3" s="1"/>
  <c r="L515" i="3"/>
  <c r="M515" i="3" s="1"/>
  <c r="L519" i="3"/>
  <c r="M519" i="3" s="1"/>
  <c r="L523" i="3"/>
  <c r="M523" i="3" s="1"/>
  <c r="L527" i="3"/>
  <c r="M527" i="3" s="1"/>
  <c r="L531" i="3"/>
  <c r="M531" i="3" s="1"/>
  <c r="L535" i="3"/>
  <c r="M535" i="3" s="1"/>
  <c r="L539" i="3"/>
  <c r="M539" i="3" s="1"/>
  <c r="L543" i="3"/>
  <c r="M543" i="3" s="1"/>
  <c r="L547" i="3"/>
  <c r="M547" i="3" s="1"/>
  <c r="L551" i="3"/>
  <c r="M551" i="3" s="1"/>
  <c r="L555" i="3"/>
  <c r="M555" i="3" s="1"/>
  <c r="L559" i="3"/>
  <c r="M559" i="3" s="1"/>
  <c r="L563" i="3"/>
  <c r="M563" i="3" s="1"/>
  <c r="L567" i="3"/>
  <c r="M567" i="3" s="1"/>
  <c r="L571" i="3"/>
  <c r="M571" i="3" s="1"/>
  <c r="L575" i="3"/>
  <c r="M575" i="3" s="1"/>
  <c r="L579" i="3"/>
  <c r="M579" i="3" s="1"/>
  <c r="L583" i="3"/>
  <c r="M583" i="3" s="1"/>
  <c r="L587" i="3"/>
  <c r="M587" i="3" s="1"/>
  <c r="L591" i="3"/>
  <c r="M591" i="3" s="1"/>
  <c r="L595" i="3"/>
  <c r="M595" i="3" s="1"/>
  <c r="L599" i="3"/>
  <c r="M599" i="3" s="1"/>
  <c r="L603" i="3"/>
  <c r="M603" i="3" s="1"/>
  <c r="L607" i="3"/>
  <c r="M607" i="3" s="1"/>
  <c r="L611" i="3"/>
  <c r="M611" i="3" s="1"/>
  <c r="L615" i="3"/>
  <c r="M615" i="3" s="1"/>
  <c r="L619" i="3"/>
  <c r="M619" i="3" s="1"/>
  <c r="L623" i="3"/>
  <c r="M623" i="3" s="1"/>
  <c r="L627" i="3"/>
  <c r="M627" i="3" s="1"/>
  <c r="L631" i="3"/>
  <c r="M631" i="3" s="1"/>
  <c r="L635" i="3"/>
  <c r="M635" i="3" s="1"/>
  <c r="L639" i="3"/>
  <c r="M639" i="3" s="1"/>
  <c r="L643" i="3"/>
  <c r="M643" i="3" s="1"/>
  <c r="L647" i="3"/>
  <c r="M647" i="3" s="1"/>
  <c r="L651" i="3"/>
  <c r="M651" i="3" s="1"/>
  <c r="L655" i="3"/>
  <c r="M655" i="3" s="1"/>
  <c r="L659" i="3"/>
  <c r="M659" i="3" s="1"/>
  <c r="L663" i="3"/>
  <c r="M663" i="3" s="1"/>
  <c r="L667" i="3"/>
  <c r="M667" i="3" s="1"/>
  <c r="L671" i="3"/>
  <c r="M671" i="3" s="1"/>
  <c r="L675" i="3"/>
  <c r="M675" i="3" s="1"/>
  <c r="L679" i="3"/>
  <c r="M679" i="3" s="1"/>
  <c r="L683" i="3"/>
  <c r="M683" i="3" s="1"/>
  <c r="L687" i="3"/>
  <c r="M687" i="3" s="1"/>
  <c r="L691" i="3"/>
  <c r="M691" i="3" s="1"/>
  <c r="L695" i="3"/>
  <c r="M695" i="3" s="1"/>
  <c r="L699" i="3"/>
  <c r="M699" i="3" s="1"/>
  <c r="L703" i="3"/>
  <c r="M703" i="3" s="1"/>
  <c r="L707" i="3"/>
  <c r="M707" i="3" s="1"/>
  <c r="L711" i="3"/>
  <c r="M711" i="3" s="1"/>
  <c r="L715" i="3"/>
  <c r="M715" i="3" s="1"/>
  <c r="L719" i="3"/>
  <c r="M719" i="3" s="1"/>
  <c r="L723" i="3"/>
  <c r="M723" i="3" s="1"/>
  <c r="L727" i="3"/>
  <c r="M727" i="3" s="1"/>
  <c r="L731" i="3"/>
  <c r="M731" i="3" s="1"/>
  <c r="L735" i="3"/>
  <c r="M735" i="3" s="1"/>
  <c r="L739" i="3"/>
  <c r="M739" i="3" s="1"/>
  <c r="L743" i="3"/>
  <c r="M743" i="3" s="1"/>
  <c r="L747" i="3"/>
  <c r="M747" i="3" s="1"/>
  <c r="L751" i="3"/>
  <c r="M751" i="3" s="1"/>
  <c r="L755" i="3"/>
  <c r="M755" i="3" s="1"/>
  <c r="L759" i="3"/>
  <c r="M759" i="3" s="1"/>
  <c r="L763" i="3"/>
  <c r="M763" i="3" s="1"/>
  <c r="L35" i="3"/>
  <c r="L261" i="3"/>
  <c r="M261" i="3" s="1"/>
  <c r="L268" i="3"/>
  <c r="M268" i="3" s="1"/>
  <c r="L272" i="3"/>
  <c r="M272" i="3" s="1"/>
  <c r="L275" i="3"/>
  <c r="L279" i="3"/>
  <c r="M279" i="3" s="1"/>
  <c r="L283" i="3"/>
  <c r="M283" i="3" s="1"/>
  <c r="L287" i="3"/>
  <c r="M287" i="3" s="1"/>
  <c r="L291" i="3"/>
  <c r="L767" i="3"/>
  <c r="M767" i="3" s="1"/>
  <c r="L771" i="3"/>
  <c r="M771" i="3" s="1"/>
  <c r="L775" i="3"/>
  <c r="M775" i="3" s="1"/>
  <c r="L779" i="3"/>
  <c r="M779" i="3" s="1"/>
  <c r="L783" i="3"/>
  <c r="M783" i="3" s="1"/>
  <c r="L787" i="3"/>
  <c r="M787" i="3" s="1"/>
  <c r="L791" i="3"/>
  <c r="M791" i="3" s="1"/>
  <c r="L795" i="3"/>
  <c r="M795" i="3" s="1"/>
  <c r="L799" i="3"/>
  <c r="M799" i="3" s="1"/>
  <c r="L803" i="3"/>
  <c r="M803" i="3" s="1"/>
  <c r="L807" i="3"/>
  <c r="M807" i="3" s="1"/>
  <c r="L811" i="3"/>
  <c r="M811" i="3" s="1"/>
  <c r="L815" i="3"/>
  <c r="M815" i="3" s="1"/>
  <c r="L819" i="3"/>
  <c r="M819" i="3" s="1"/>
  <c r="L823" i="3"/>
  <c r="M823" i="3" s="1"/>
  <c r="L827" i="3"/>
  <c r="M827" i="3" s="1"/>
  <c r="L831" i="3"/>
  <c r="M831" i="3" s="1"/>
  <c r="L835" i="3"/>
  <c r="M835" i="3" s="1"/>
  <c r="L839" i="3"/>
  <c r="M839" i="3" s="1"/>
  <c r="L843" i="3"/>
  <c r="M843" i="3" s="1"/>
  <c r="L847" i="3"/>
  <c r="M847" i="3" s="1"/>
  <c r="L851" i="3"/>
  <c r="M851" i="3" s="1"/>
  <c r="L855" i="3"/>
  <c r="M855" i="3" s="1"/>
  <c r="L859" i="3"/>
  <c r="M859" i="3" s="1"/>
  <c r="L863" i="3"/>
  <c r="M863" i="3" s="1"/>
  <c r="L867" i="3"/>
  <c r="M867" i="3" s="1"/>
  <c r="L871" i="3"/>
  <c r="M871" i="3" s="1"/>
  <c r="L875" i="3"/>
  <c r="M875" i="3" s="1"/>
  <c r="L879" i="3"/>
  <c r="M879" i="3" s="1"/>
  <c r="L883" i="3"/>
  <c r="M883" i="3" s="1"/>
  <c r="L887" i="3"/>
  <c r="M887" i="3" s="1"/>
  <c r="L891" i="3"/>
  <c r="M891" i="3" s="1"/>
  <c r="L895" i="3"/>
  <c r="M895" i="3" s="1"/>
  <c r="L899" i="3"/>
  <c r="M899" i="3" s="1"/>
  <c r="L903" i="3"/>
  <c r="M903" i="3" s="1"/>
  <c r="L907" i="3"/>
  <c r="M907" i="3" s="1"/>
  <c r="L911" i="3"/>
  <c r="M911" i="3" s="1"/>
  <c r="L915" i="3"/>
  <c r="M915" i="3" s="1"/>
  <c r="L919" i="3"/>
  <c r="M919" i="3" s="1"/>
  <c r="L923" i="3"/>
  <c r="M923" i="3" s="1"/>
  <c r="L927" i="3"/>
  <c r="M927" i="3" s="1"/>
  <c r="L931" i="3"/>
  <c r="M931" i="3" s="1"/>
  <c r="L935" i="3"/>
  <c r="M935" i="3" s="1"/>
  <c r="L939" i="3"/>
  <c r="M939" i="3" s="1"/>
  <c r="L943" i="3"/>
  <c r="M943" i="3" s="1"/>
  <c r="L947" i="3"/>
  <c r="M947" i="3" s="1"/>
  <c r="L951" i="3"/>
  <c r="M951" i="3" s="1"/>
  <c r="L955" i="3"/>
  <c r="M955" i="3" s="1"/>
  <c r="L959" i="3"/>
  <c r="M959" i="3" s="1"/>
  <c r="L963" i="3"/>
  <c r="M963" i="3" s="1"/>
  <c r="L967" i="3"/>
  <c r="M967" i="3" s="1"/>
  <c r="L971" i="3"/>
  <c r="M971" i="3" s="1"/>
  <c r="L975" i="3"/>
  <c r="M975" i="3" s="1"/>
  <c r="L979" i="3"/>
  <c r="M979" i="3" s="1"/>
  <c r="L983" i="3"/>
  <c r="M983" i="3" s="1"/>
  <c r="L987" i="3"/>
  <c r="M987" i="3" s="1"/>
  <c r="L991" i="3"/>
  <c r="M991" i="3" s="1"/>
  <c r="L995" i="3"/>
  <c r="M995" i="3" s="1"/>
  <c r="L999" i="3"/>
  <c r="M999" i="3" s="1"/>
  <c r="L1003" i="3"/>
  <c r="M1003" i="3" s="1"/>
  <c r="L1007" i="3"/>
  <c r="M1007" i="3" s="1"/>
  <c r="L1011" i="3"/>
  <c r="M1011" i="3" s="1"/>
  <c r="L1015" i="3"/>
  <c r="M1015" i="3" s="1"/>
  <c r="L1019" i="3"/>
  <c r="M1019" i="3" s="1"/>
  <c r="L1023" i="3"/>
  <c r="M1023" i="3" s="1"/>
  <c r="L1027" i="3"/>
  <c r="M1027" i="3" s="1"/>
  <c r="L1031" i="3"/>
  <c r="M1031" i="3" s="1"/>
  <c r="L1035" i="3"/>
  <c r="M1035" i="3" s="1"/>
  <c r="L1039" i="3"/>
  <c r="M1039" i="3" s="1"/>
  <c r="L1043" i="3"/>
  <c r="M1043" i="3" s="1"/>
  <c r="L1047" i="3"/>
  <c r="M1047" i="3" s="1"/>
  <c r="L1055" i="3"/>
  <c r="M1055" i="3" s="1"/>
  <c r="L1059" i="3"/>
  <c r="M1059" i="3" s="1"/>
  <c r="L1063" i="3"/>
  <c r="M1063" i="3" s="1"/>
  <c r="L1067" i="3"/>
  <c r="M1067" i="3" s="1"/>
  <c r="L1071" i="3"/>
  <c r="M1071" i="3" s="1"/>
  <c r="L1075" i="3"/>
  <c r="M1075" i="3" s="1"/>
  <c r="L1079" i="3"/>
  <c r="M1079" i="3" s="1"/>
  <c r="L1083" i="3"/>
  <c r="M1083" i="3" s="1"/>
  <c r="L1087" i="3"/>
  <c r="M1087" i="3" s="1"/>
  <c r="L1091" i="3"/>
  <c r="M1091" i="3" s="1"/>
  <c r="L1095" i="3"/>
  <c r="M1095" i="3" s="1"/>
  <c r="L1099" i="3"/>
  <c r="M1099" i="3" s="1"/>
  <c r="L1103" i="3"/>
  <c r="M1103" i="3" s="1"/>
  <c r="L1107" i="3"/>
  <c r="M1107" i="3" s="1"/>
  <c r="L277" i="3"/>
  <c r="M277" i="3" s="1"/>
  <c r="L281" i="3"/>
  <c r="M281" i="3" s="1"/>
  <c r="L638" i="3"/>
  <c r="M638" i="3" s="1"/>
  <c r="L642" i="3"/>
  <c r="M642" i="3" s="1"/>
  <c r="L646" i="3"/>
  <c r="M646" i="3" s="1"/>
  <c r="L650" i="3"/>
  <c r="M650" i="3" s="1"/>
  <c r="L654" i="3"/>
  <c r="M654" i="3" s="1"/>
  <c r="L658" i="3"/>
  <c r="M658" i="3" s="1"/>
  <c r="L662" i="3"/>
  <c r="M662" i="3" s="1"/>
  <c r="L666" i="3"/>
  <c r="M666" i="3" s="1"/>
  <c r="L670" i="3"/>
  <c r="M670" i="3" s="1"/>
  <c r="L674" i="3"/>
  <c r="M674" i="3" s="1"/>
  <c r="L678" i="3"/>
  <c r="M678" i="3" s="1"/>
  <c r="L682" i="3"/>
  <c r="M682" i="3" s="1"/>
  <c r="L686" i="3"/>
  <c r="M686" i="3" s="1"/>
  <c r="L690" i="3"/>
  <c r="M690" i="3" s="1"/>
  <c r="L262" i="3"/>
  <c r="M262" i="3" s="1"/>
  <c r="L265" i="3"/>
  <c r="L269" i="3"/>
  <c r="M269" i="3" s="1"/>
  <c r="L273" i="3"/>
  <c r="M273" i="3" s="1"/>
  <c r="L276" i="3"/>
  <c r="L280" i="3"/>
  <c r="M280" i="3" s="1"/>
  <c r="L284" i="3"/>
  <c r="M284" i="3" s="1"/>
  <c r="L288" i="3"/>
  <c r="L292" i="3"/>
  <c r="L295" i="3"/>
  <c r="M295" i="3" s="1"/>
  <c r="L299" i="3"/>
  <c r="L303" i="3"/>
  <c r="L307" i="3"/>
  <c r="L311" i="3"/>
  <c r="M311" i="3" s="1"/>
  <c r="L315" i="3"/>
  <c r="M315" i="3" s="1"/>
  <c r="L319" i="3"/>
  <c r="M319" i="3" s="1"/>
  <c r="L323" i="3"/>
  <c r="M323" i="3" s="1"/>
  <c r="L327" i="3"/>
  <c r="M327" i="3" s="1"/>
  <c r="L331" i="3"/>
  <c r="L335" i="3"/>
  <c r="L342" i="3"/>
  <c r="M342" i="3" s="1"/>
  <c r="L346" i="3"/>
  <c r="M346" i="3" s="1"/>
  <c r="L350" i="3"/>
  <c r="L354" i="3"/>
  <c r="L358" i="3"/>
  <c r="M358" i="3" s="1"/>
  <c r="L362" i="3"/>
  <c r="M362" i="3" s="1"/>
  <c r="L366" i="3"/>
  <c r="M366" i="3" s="1"/>
  <c r="L370" i="3"/>
  <c r="M370" i="3" s="1"/>
  <c r="L374" i="3"/>
  <c r="L378" i="3"/>
  <c r="L382" i="3"/>
  <c r="M382" i="3" s="1"/>
  <c r="L386" i="3"/>
  <c r="M386" i="3" s="1"/>
  <c r="L389" i="3"/>
  <c r="M389" i="3" s="1"/>
  <c r="L393" i="3"/>
  <c r="M393" i="3" s="1"/>
  <c r="L397" i="3"/>
  <c r="M397" i="3" s="1"/>
  <c r="L401" i="3"/>
  <c r="M401" i="3" s="1"/>
  <c r="L405" i="3"/>
  <c r="M405" i="3" s="1"/>
  <c r="L409" i="3"/>
  <c r="M409" i="3" s="1"/>
  <c r="L413" i="3"/>
  <c r="L417" i="3"/>
  <c r="M417" i="3" s="1"/>
  <c r="L421" i="3"/>
  <c r="M421" i="3" s="1"/>
  <c r="L425" i="3"/>
  <c r="M425" i="3" s="1"/>
  <c r="L429" i="3"/>
  <c r="M429" i="3" s="1"/>
  <c r="L453" i="3"/>
  <c r="M453" i="3" s="1"/>
  <c r="L457" i="3"/>
  <c r="M457" i="3" s="1"/>
  <c r="L461" i="3"/>
  <c r="M461" i="3" s="1"/>
  <c r="L694" i="3"/>
  <c r="M694" i="3" s="1"/>
  <c r="L698" i="3"/>
  <c r="M698" i="3" s="1"/>
  <c r="L702" i="3"/>
  <c r="M702" i="3" s="1"/>
  <c r="L706" i="3"/>
  <c r="M706" i="3" s="1"/>
  <c r="L710" i="3"/>
  <c r="M710" i="3" s="1"/>
  <c r="L714" i="3"/>
  <c r="M714" i="3" s="1"/>
  <c r="L718" i="3"/>
  <c r="M718" i="3" s="1"/>
  <c r="L722" i="3"/>
  <c r="M722" i="3" s="1"/>
  <c r="L726" i="3"/>
  <c r="M726" i="3" s="1"/>
  <c r="L730" i="3"/>
  <c r="M730" i="3" s="1"/>
  <c r="L734" i="3"/>
  <c r="M734" i="3" s="1"/>
  <c r="L738" i="3"/>
  <c r="M738" i="3" s="1"/>
  <c r="L742" i="3"/>
  <c r="M742" i="3" s="1"/>
  <c r="L746" i="3"/>
  <c r="M746" i="3" s="1"/>
  <c r="L750" i="3"/>
  <c r="M750" i="3" s="1"/>
  <c r="L754" i="3"/>
  <c r="M754" i="3" s="1"/>
  <c r="L758" i="3"/>
  <c r="M758" i="3" s="1"/>
  <c r="L762" i="3"/>
  <c r="M762" i="3" s="1"/>
  <c r="L766" i="3"/>
  <c r="M766" i="3" s="1"/>
  <c r="L465" i="3"/>
  <c r="M465" i="3" s="1"/>
  <c r="L469" i="3"/>
  <c r="M469" i="3" s="1"/>
  <c r="L473" i="3"/>
  <c r="M473" i="3" s="1"/>
  <c r="L477" i="3"/>
  <c r="M477" i="3" s="1"/>
  <c r="L481" i="3"/>
  <c r="M481" i="3" s="1"/>
  <c r="L485" i="3"/>
  <c r="M485" i="3" s="1"/>
  <c r="L489" i="3"/>
  <c r="M489" i="3" s="1"/>
  <c r="L493" i="3"/>
  <c r="M493" i="3" s="1"/>
  <c r="L497" i="3"/>
  <c r="M497" i="3" s="1"/>
  <c r="L501" i="3"/>
  <c r="M501" i="3" s="1"/>
  <c r="L505" i="3"/>
  <c r="M505" i="3" s="1"/>
  <c r="L509" i="3"/>
  <c r="M509" i="3" s="1"/>
  <c r="L513" i="3"/>
  <c r="M513" i="3" s="1"/>
  <c r="L517" i="3"/>
  <c r="M517" i="3" s="1"/>
  <c r="L521" i="3"/>
  <c r="M521" i="3" s="1"/>
  <c r="L525" i="3"/>
  <c r="M525" i="3" s="1"/>
  <c r="L529" i="3"/>
  <c r="M529" i="3" s="1"/>
  <c r="L533" i="3"/>
  <c r="M533" i="3" s="1"/>
  <c r="L537" i="3"/>
  <c r="M537" i="3" s="1"/>
  <c r="L541" i="3"/>
  <c r="M541" i="3" s="1"/>
  <c r="L545" i="3"/>
  <c r="M545" i="3" s="1"/>
  <c r="L549" i="3"/>
  <c r="M549" i="3" s="1"/>
  <c r="L553" i="3"/>
  <c r="M553" i="3" s="1"/>
  <c r="L557" i="3"/>
  <c r="M557" i="3" s="1"/>
  <c r="L561" i="3"/>
  <c r="M561" i="3" s="1"/>
  <c r="L565" i="3"/>
  <c r="M565" i="3" s="1"/>
  <c r="L569" i="3"/>
  <c r="M569" i="3" s="1"/>
  <c r="L573" i="3"/>
  <c r="M573" i="3" s="1"/>
  <c r="L577" i="3"/>
  <c r="M577" i="3" s="1"/>
  <c r="L581" i="3"/>
  <c r="M581" i="3" s="1"/>
  <c r="L585" i="3"/>
  <c r="M585" i="3" s="1"/>
  <c r="L589" i="3"/>
  <c r="M589" i="3" s="1"/>
  <c r="L593" i="3"/>
  <c r="M593" i="3" s="1"/>
  <c r="L597" i="3"/>
  <c r="M597" i="3" s="1"/>
  <c r="L601" i="3"/>
  <c r="M601" i="3" s="1"/>
  <c r="L605" i="3"/>
  <c r="M605" i="3" s="1"/>
  <c r="L609" i="3"/>
  <c r="M609" i="3" s="1"/>
  <c r="L613" i="3"/>
  <c r="M613" i="3" s="1"/>
  <c r="L617" i="3"/>
  <c r="M617" i="3" s="1"/>
  <c r="L621" i="3"/>
  <c r="M621" i="3" s="1"/>
  <c r="L625" i="3"/>
  <c r="M625" i="3" s="1"/>
  <c r="L629" i="3"/>
  <c r="M629" i="3" s="1"/>
  <c r="L633" i="3"/>
  <c r="M633" i="3" s="1"/>
  <c r="L637" i="3"/>
  <c r="M637" i="3" s="1"/>
  <c r="L641" i="3"/>
  <c r="M641" i="3" s="1"/>
  <c r="L645" i="3"/>
  <c r="M645" i="3" s="1"/>
  <c r="L649" i="3"/>
  <c r="M649" i="3" s="1"/>
  <c r="L653" i="3"/>
  <c r="M653" i="3" s="1"/>
  <c r="L657" i="3"/>
  <c r="M657" i="3" s="1"/>
  <c r="L661" i="3"/>
  <c r="M661" i="3" s="1"/>
  <c r="L665" i="3"/>
  <c r="M665" i="3" s="1"/>
  <c r="L669" i="3"/>
  <c r="M669" i="3" s="1"/>
  <c r="L673" i="3"/>
  <c r="M673" i="3" s="1"/>
  <c r="L677" i="3"/>
  <c r="M677" i="3" s="1"/>
  <c r="L681" i="3"/>
  <c r="M681" i="3" s="1"/>
  <c r="L685" i="3"/>
  <c r="M685" i="3" s="1"/>
  <c r="L689" i="3"/>
  <c r="M689" i="3" s="1"/>
  <c r="L693" i="3"/>
  <c r="M693" i="3" s="1"/>
  <c r="L697" i="3"/>
  <c r="M697" i="3" s="1"/>
  <c r="L701" i="3"/>
  <c r="M701" i="3" s="1"/>
  <c r="L705" i="3"/>
  <c r="M705" i="3" s="1"/>
  <c r="L709" i="3"/>
  <c r="M709" i="3" s="1"/>
  <c r="L713" i="3"/>
  <c r="M713" i="3" s="1"/>
  <c r="L717" i="3"/>
  <c r="M717" i="3" s="1"/>
  <c r="L721" i="3"/>
  <c r="M721" i="3" s="1"/>
  <c r="L725" i="3"/>
  <c r="M725" i="3" s="1"/>
  <c r="L729" i="3"/>
  <c r="M729" i="3" s="1"/>
  <c r="L733" i="3"/>
  <c r="M733" i="3" s="1"/>
  <c r="L737" i="3"/>
  <c r="M737" i="3" s="1"/>
  <c r="L741" i="3"/>
  <c r="M741" i="3" s="1"/>
  <c r="L745" i="3"/>
  <c r="M745" i="3" s="1"/>
  <c r="L749" i="3"/>
  <c r="M749" i="3" s="1"/>
  <c r="L753" i="3"/>
  <c r="M753" i="3" s="1"/>
  <c r="L757" i="3"/>
  <c r="M757" i="3" s="1"/>
  <c r="L761" i="3"/>
  <c r="M761" i="3" s="1"/>
  <c r="L765" i="3"/>
  <c r="M765" i="3" s="1"/>
  <c r="L769" i="3"/>
  <c r="M769" i="3" s="1"/>
  <c r="L773" i="3"/>
  <c r="M773" i="3" s="1"/>
  <c r="L777" i="3"/>
  <c r="M777" i="3" s="1"/>
  <c r="L781" i="3"/>
  <c r="M781" i="3" s="1"/>
  <c r="L785" i="3"/>
  <c r="M785" i="3" s="1"/>
  <c r="L789" i="3"/>
  <c r="M789" i="3" s="1"/>
  <c r="L793" i="3"/>
  <c r="M793" i="3" s="1"/>
  <c r="L797" i="3"/>
  <c r="M797" i="3" s="1"/>
  <c r="L801" i="3"/>
  <c r="M801" i="3" s="1"/>
  <c r="L770" i="3"/>
  <c r="M770" i="3" s="1"/>
  <c r="L774" i="3"/>
  <c r="M774" i="3" s="1"/>
  <c r="L778" i="3"/>
  <c r="M778" i="3" s="1"/>
  <c r="L782" i="3"/>
  <c r="M782" i="3" s="1"/>
  <c r="L786" i="3"/>
  <c r="M786" i="3" s="1"/>
  <c r="L790" i="3"/>
  <c r="M790" i="3" s="1"/>
  <c r="L794" i="3"/>
  <c r="M794" i="3" s="1"/>
  <c r="L798" i="3"/>
  <c r="M798" i="3" s="1"/>
  <c r="L802" i="3"/>
  <c r="M802" i="3" s="1"/>
  <c r="L806" i="3"/>
  <c r="M806" i="3" s="1"/>
  <c r="L810" i="3"/>
  <c r="M810" i="3" s="1"/>
  <c r="L814" i="3"/>
  <c r="M814" i="3" s="1"/>
  <c r="L818" i="3"/>
  <c r="M818" i="3" s="1"/>
  <c r="L822" i="3"/>
  <c r="M822" i="3" s="1"/>
  <c r="L826" i="3"/>
  <c r="M826" i="3" s="1"/>
  <c r="L830" i="3"/>
  <c r="M830" i="3" s="1"/>
  <c r="L834" i="3"/>
  <c r="M834" i="3" s="1"/>
  <c r="L838" i="3"/>
  <c r="M838" i="3" s="1"/>
  <c r="L842" i="3"/>
  <c r="M842" i="3" s="1"/>
  <c r="L846" i="3"/>
  <c r="M846" i="3" s="1"/>
  <c r="L850" i="3"/>
  <c r="M850" i="3" s="1"/>
  <c r="L854" i="3"/>
  <c r="M854" i="3" s="1"/>
  <c r="L858" i="3"/>
  <c r="M858" i="3" s="1"/>
  <c r="L862" i="3"/>
  <c r="M862" i="3" s="1"/>
  <c r="L866" i="3"/>
  <c r="M866" i="3" s="1"/>
  <c r="L870" i="3"/>
  <c r="M870" i="3" s="1"/>
  <c r="L874" i="3"/>
  <c r="M874" i="3" s="1"/>
  <c r="L878" i="3"/>
  <c r="M878" i="3" s="1"/>
  <c r="L882" i="3"/>
  <c r="M882" i="3" s="1"/>
  <c r="L886" i="3"/>
  <c r="M886" i="3" s="1"/>
  <c r="L890" i="3"/>
  <c r="M890" i="3" s="1"/>
  <c r="L894" i="3"/>
  <c r="M894" i="3" s="1"/>
  <c r="L898" i="3"/>
  <c r="M898" i="3" s="1"/>
  <c r="L902" i="3"/>
  <c r="M902" i="3" s="1"/>
  <c r="L906" i="3"/>
  <c r="M906" i="3" s="1"/>
  <c r="L910" i="3"/>
  <c r="M910" i="3" s="1"/>
  <c r="L914" i="3"/>
  <c r="M914" i="3" s="1"/>
  <c r="L918" i="3"/>
  <c r="M918" i="3" s="1"/>
  <c r="L922" i="3"/>
  <c r="M922" i="3" s="1"/>
  <c r="L926" i="3"/>
  <c r="M926" i="3" s="1"/>
  <c r="L930" i="3"/>
  <c r="M930" i="3" s="1"/>
  <c r="L934" i="3"/>
  <c r="M934" i="3" s="1"/>
  <c r="L938" i="3"/>
  <c r="M938" i="3" s="1"/>
  <c r="L942" i="3"/>
  <c r="M942" i="3" s="1"/>
  <c r="L946" i="3"/>
  <c r="M946" i="3" s="1"/>
  <c r="L950" i="3"/>
  <c r="M950" i="3" s="1"/>
  <c r="L954" i="3"/>
  <c r="M954" i="3" s="1"/>
  <c r="L958" i="3"/>
  <c r="M958" i="3" s="1"/>
  <c r="L962" i="3"/>
  <c r="M962" i="3" s="1"/>
  <c r="L966" i="3"/>
  <c r="M966" i="3" s="1"/>
  <c r="L970" i="3"/>
  <c r="M970" i="3" s="1"/>
  <c r="L974" i="3"/>
  <c r="M974" i="3" s="1"/>
  <c r="L978" i="3"/>
  <c r="M978" i="3" s="1"/>
  <c r="L982" i="3"/>
  <c r="M982" i="3" s="1"/>
  <c r="L986" i="3"/>
  <c r="M986" i="3" s="1"/>
  <c r="L990" i="3"/>
  <c r="M990" i="3" s="1"/>
  <c r="L994" i="3"/>
  <c r="M994" i="3" s="1"/>
  <c r="L998" i="3"/>
  <c r="M998" i="3" s="1"/>
  <c r="L1002" i="3"/>
  <c r="M1002" i="3" s="1"/>
  <c r="L1006" i="3"/>
  <c r="M1006" i="3" s="1"/>
  <c r="L1010" i="3"/>
  <c r="M1010" i="3" s="1"/>
  <c r="L1014" i="3"/>
  <c r="M1014" i="3" s="1"/>
  <c r="L1018" i="3"/>
  <c r="M1018" i="3" s="1"/>
  <c r="L1022" i="3"/>
  <c r="M1022" i="3" s="1"/>
  <c r="L1026" i="3"/>
  <c r="M1026" i="3" s="1"/>
  <c r="L1030" i="3"/>
  <c r="M1030" i="3" s="1"/>
  <c r="L1034" i="3"/>
  <c r="M1034" i="3" s="1"/>
  <c r="L1038" i="3"/>
  <c r="M1038" i="3" s="1"/>
  <c r="L1042" i="3"/>
  <c r="M1042" i="3" s="1"/>
  <c r="L1046" i="3"/>
  <c r="M1046" i="3" s="1"/>
  <c r="L1050" i="3"/>
  <c r="M1050" i="3" s="1"/>
  <c r="L1054" i="3"/>
  <c r="M1054" i="3" s="1"/>
  <c r="L1058" i="3"/>
  <c r="M1058" i="3" s="1"/>
  <c r="L1062" i="3"/>
  <c r="M1062" i="3" s="1"/>
  <c r="L1066" i="3"/>
  <c r="M1066" i="3" s="1"/>
  <c r="L1070" i="3"/>
  <c r="M1070" i="3" s="1"/>
  <c r="L1074" i="3"/>
  <c r="M1074" i="3" s="1"/>
  <c r="L1078" i="3"/>
  <c r="M1078" i="3" s="1"/>
  <c r="L1082" i="3"/>
  <c r="M1082" i="3" s="1"/>
  <c r="L1086" i="3"/>
  <c r="M1086" i="3" s="1"/>
  <c r="L1090" i="3"/>
  <c r="M1090" i="3" s="1"/>
  <c r="L1094" i="3"/>
  <c r="M1094" i="3" s="1"/>
  <c r="L1098" i="3"/>
  <c r="M1098" i="3" s="1"/>
  <c r="L1102" i="3"/>
  <c r="M1102" i="3" s="1"/>
  <c r="L1106" i="3"/>
  <c r="M1106" i="3" s="1"/>
  <c r="L805" i="3"/>
  <c r="M805" i="3" s="1"/>
  <c r="L809" i="3"/>
  <c r="M809" i="3" s="1"/>
  <c r="L813" i="3"/>
  <c r="M813" i="3" s="1"/>
  <c r="L817" i="3"/>
  <c r="M817" i="3" s="1"/>
  <c r="L821" i="3"/>
  <c r="M821" i="3" s="1"/>
  <c r="L825" i="3"/>
  <c r="M825" i="3" s="1"/>
  <c r="L829" i="3"/>
  <c r="M829" i="3" s="1"/>
  <c r="L833" i="3"/>
  <c r="M833" i="3" s="1"/>
  <c r="L837" i="3"/>
  <c r="M837" i="3" s="1"/>
  <c r="L841" i="3"/>
  <c r="M841" i="3" s="1"/>
  <c r="L845" i="3"/>
  <c r="M845" i="3" s="1"/>
  <c r="L849" i="3"/>
  <c r="M849" i="3" s="1"/>
  <c r="L853" i="3"/>
  <c r="M853" i="3" s="1"/>
  <c r="L857" i="3"/>
  <c r="M857" i="3" s="1"/>
  <c r="L861" i="3"/>
  <c r="M861" i="3" s="1"/>
  <c r="L865" i="3"/>
  <c r="M865" i="3" s="1"/>
  <c r="L869" i="3"/>
  <c r="M869" i="3" s="1"/>
  <c r="L873" i="3"/>
  <c r="M873" i="3" s="1"/>
  <c r="L877" i="3"/>
  <c r="M877" i="3" s="1"/>
  <c r="L881" i="3"/>
  <c r="M881" i="3" s="1"/>
  <c r="L885" i="3"/>
  <c r="M885" i="3" s="1"/>
  <c r="L889" i="3"/>
  <c r="M889" i="3" s="1"/>
  <c r="L893" i="3"/>
  <c r="M893" i="3" s="1"/>
  <c r="L897" i="3"/>
  <c r="M897" i="3" s="1"/>
  <c r="L901" i="3"/>
  <c r="M901" i="3" s="1"/>
  <c r="L905" i="3"/>
  <c r="M905" i="3" s="1"/>
  <c r="L909" i="3"/>
  <c r="M909" i="3" s="1"/>
  <c r="L913" i="3"/>
  <c r="M913" i="3" s="1"/>
  <c r="L917" i="3"/>
  <c r="M917" i="3" s="1"/>
  <c r="L921" i="3"/>
  <c r="M921" i="3" s="1"/>
  <c r="L925" i="3"/>
  <c r="M925" i="3" s="1"/>
  <c r="L929" i="3"/>
  <c r="M929" i="3" s="1"/>
  <c r="L933" i="3"/>
  <c r="M933" i="3" s="1"/>
  <c r="L937" i="3"/>
  <c r="M937" i="3" s="1"/>
  <c r="L941" i="3"/>
  <c r="M941" i="3" s="1"/>
  <c r="L945" i="3"/>
  <c r="M945" i="3" s="1"/>
  <c r="L949" i="3"/>
  <c r="M949" i="3" s="1"/>
  <c r="L953" i="3"/>
  <c r="M953" i="3" s="1"/>
  <c r="L957" i="3"/>
  <c r="M957" i="3" s="1"/>
  <c r="L961" i="3"/>
  <c r="M961" i="3" s="1"/>
  <c r="L965" i="3"/>
  <c r="M965" i="3" s="1"/>
  <c r="L969" i="3"/>
  <c r="M969" i="3" s="1"/>
  <c r="L973" i="3"/>
  <c r="M973" i="3" s="1"/>
  <c r="L977" i="3"/>
  <c r="M977" i="3" s="1"/>
  <c r="L981" i="3"/>
  <c r="M981" i="3" s="1"/>
  <c r="L985" i="3"/>
  <c r="M985" i="3" s="1"/>
  <c r="L989" i="3"/>
  <c r="M989" i="3" s="1"/>
  <c r="L993" i="3"/>
  <c r="M993" i="3" s="1"/>
  <c r="L997" i="3"/>
  <c r="M997" i="3" s="1"/>
  <c r="L1001" i="3"/>
  <c r="M1001" i="3" s="1"/>
  <c r="L1005" i="3"/>
  <c r="M1005" i="3" s="1"/>
  <c r="L1009" i="3"/>
  <c r="M1009" i="3" s="1"/>
  <c r="L1013" i="3"/>
  <c r="M1013" i="3" s="1"/>
  <c r="L1017" i="3"/>
  <c r="M1017" i="3" s="1"/>
  <c r="L1021" i="3"/>
  <c r="M1021" i="3" s="1"/>
  <c r="L1025" i="3"/>
  <c r="M1025" i="3" s="1"/>
  <c r="L1029" i="3"/>
  <c r="M1029" i="3" s="1"/>
  <c r="L1033" i="3"/>
  <c r="M1033" i="3" s="1"/>
  <c r="L1037" i="3"/>
  <c r="M1037" i="3" s="1"/>
  <c r="L1041" i="3"/>
  <c r="M1041" i="3" s="1"/>
  <c r="L1045" i="3"/>
  <c r="M1045" i="3" s="1"/>
  <c r="L1049" i="3"/>
  <c r="M1049" i="3" s="1"/>
  <c r="L1053" i="3"/>
  <c r="M1053" i="3" s="1"/>
  <c r="L1057" i="3"/>
  <c r="M1057" i="3" s="1"/>
  <c r="L1061" i="3"/>
  <c r="M1061" i="3" s="1"/>
  <c r="L1065" i="3"/>
  <c r="M1065" i="3" s="1"/>
  <c r="L1069" i="3"/>
  <c r="M1069" i="3" s="1"/>
  <c r="L1073" i="3"/>
  <c r="M1073" i="3" s="1"/>
  <c r="L1077" i="3"/>
  <c r="M1077" i="3" s="1"/>
  <c r="L1081" i="3"/>
  <c r="M1081" i="3" s="1"/>
  <c r="L1085" i="3"/>
  <c r="M1085" i="3" s="1"/>
  <c r="L1089" i="3"/>
  <c r="M1089" i="3" s="1"/>
  <c r="L1093" i="3"/>
  <c r="M1093" i="3" s="1"/>
  <c r="L1097" i="3"/>
  <c r="M1097" i="3" s="1"/>
  <c r="L1101" i="3"/>
  <c r="M1101" i="3" s="1"/>
  <c r="L1105" i="3"/>
  <c r="M1105" i="3" s="1"/>
  <c r="L1109" i="3"/>
  <c r="M1109" i="3" s="1"/>
  <c r="L258" i="3"/>
  <c r="L16" i="3"/>
  <c r="F34" i="9"/>
  <c r="E33" i="9"/>
  <c r="E32" i="9"/>
  <c r="E34" i="9"/>
  <c r="L7" i="3"/>
  <c r="L36" i="3"/>
  <c r="L44" i="3"/>
  <c r="L119" i="3"/>
  <c r="L111" i="3"/>
  <c r="L33" i="3"/>
  <c r="M33" i="3" s="1"/>
  <c r="L37" i="3"/>
  <c r="L112" i="3"/>
  <c r="L67" i="3"/>
  <c r="L5" i="3"/>
  <c r="L18" i="3"/>
  <c r="L22" i="3"/>
  <c r="L30" i="3"/>
  <c r="L101" i="3"/>
  <c r="L49" i="3"/>
  <c r="L57" i="3"/>
  <c r="L40" i="3"/>
  <c r="M40" i="3" s="1"/>
  <c r="L46" i="3"/>
  <c r="L74" i="3"/>
  <c r="L81" i="3"/>
  <c r="L179" i="3"/>
  <c r="M179" i="3" s="1"/>
  <c r="L23" i="3"/>
  <c r="L27" i="3"/>
  <c r="L39" i="3"/>
  <c r="L42" i="3"/>
  <c r="L48" i="3"/>
  <c r="L10" i="3"/>
  <c r="M10" i="3" s="1"/>
  <c r="L19" i="3"/>
  <c r="M19" i="3" s="1"/>
  <c r="L84" i="3"/>
  <c r="M84" i="3" s="1"/>
  <c r="L88" i="3"/>
  <c r="M88" i="3" s="1"/>
  <c r="L96" i="3"/>
  <c r="M96" i="3" s="1"/>
  <c r="L104" i="3"/>
  <c r="M104" i="3" s="1"/>
  <c r="L13" i="3"/>
  <c r="L55" i="3"/>
  <c r="L59" i="3"/>
  <c r="L25" i="3"/>
  <c r="M25" i="3" s="1"/>
  <c r="L78" i="3"/>
  <c r="M78" i="3" s="1"/>
  <c r="L94" i="3"/>
  <c r="M94" i="3" s="1"/>
  <c r="F9" i="8"/>
  <c r="L115" i="3"/>
  <c r="M115" i="3" s="1"/>
  <c r="L185" i="3"/>
  <c r="M185" i="3" s="1"/>
  <c r="L197" i="3"/>
  <c r="M197" i="3" s="1"/>
  <c r="L205" i="3"/>
  <c r="M205" i="3" s="1"/>
  <c r="L213" i="3"/>
  <c r="M213" i="3" s="1"/>
  <c r="L221" i="3"/>
  <c r="L229" i="3"/>
  <c r="M229" i="3" s="1"/>
  <c r="L236" i="3"/>
  <c r="M236" i="3" s="1"/>
  <c r="L243" i="3"/>
  <c r="M243" i="3" s="1"/>
  <c r="L251" i="3"/>
  <c r="M251" i="3" s="1"/>
  <c r="L61" i="3"/>
  <c r="L108" i="3"/>
  <c r="M108" i="3" s="1"/>
  <c r="L116" i="3"/>
  <c r="M116" i="3" s="1"/>
  <c r="L93" i="3"/>
  <c r="L133" i="3"/>
  <c r="L141" i="3"/>
  <c r="M141" i="3" s="1"/>
  <c r="L149" i="3"/>
  <c r="M149" i="3" s="1"/>
  <c r="L157" i="3"/>
  <c r="M157" i="3" s="1"/>
  <c r="L165" i="3"/>
  <c r="L173" i="3"/>
  <c r="M173" i="3" s="1"/>
  <c r="L41" i="3"/>
  <c r="L126" i="3"/>
  <c r="M126" i="3" s="1"/>
  <c r="L110" i="3"/>
  <c r="M110" i="3" s="1"/>
  <c r="L135" i="3"/>
  <c r="M135" i="3" s="1"/>
  <c r="L143" i="3"/>
  <c r="L151" i="3"/>
  <c r="L159" i="3"/>
  <c r="M159" i="3" s="1"/>
  <c r="L167" i="3"/>
  <c r="L175" i="3"/>
  <c r="M175" i="3" s="1"/>
  <c r="L72" i="3"/>
  <c r="M72" i="3" s="1"/>
  <c r="L181" i="3"/>
  <c r="L189" i="3"/>
  <c r="M189" i="3" s="1"/>
  <c r="L195" i="3"/>
  <c r="M195" i="3" s="1"/>
  <c r="L201" i="3"/>
  <c r="L209" i="3"/>
  <c r="M209" i="3" s="1"/>
  <c r="L217" i="3"/>
  <c r="M217" i="3" s="1"/>
  <c r="L225" i="3"/>
  <c r="L233" i="3"/>
  <c r="M233" i="3" s="1"/>
  <c r="L247" i="3"/>
  <c r="M247" i="3" s="1"/>
  <c r="L255" i="3"/>
  <c r="M255" i="3" s="1"/>
  <c r="L65" i="3"/>
  <c r="M65" i="3" s="1"/>
  <c r="L128" i="3"/>
  <c r="M128" i="3" s="1"/>
  <c r="L89" i="3"/>
  <c r="L137" i="3"/>
  <c r="M137" i="3" s="1"/>
  <c r="L145" i="3"/>
  <c r="M145" i="3" s="1"/>
  <c r="L153" i="3"/>
  <c r="M153" i="3" s="1"/>
  <c r="L161" i="3"/>
  <c r="M161" i="3" s="1"/>
  <c r="L169" i="3"/>
  <c r="L177" i="3"/>
  <c r="M177" i="3" s="1"/>
  <c r="L51" i="3"/>
  <c r="M51" i="3" s="1"/>
  <c r="L92" i="3"/>
  <c r="L98" i="3"/>
  <c r="L130" i="3"/>
  <c r="M130" i="3" s="1"/>
  <c r="L106" i="3"/>
  <c r="M106" i="3" s="1"/>
  <c r="D34" i="9"/>
  <c r="L9" i="3"/>
  <c r="L83" i="3"/>
  <c r="L99" i="3"/>
  <c r="M99" i="3" s="1"/>
  <c r="L139" i="3"/>
  <c r="L147" i="3"/>
  <c r="M147" i="3" s="1"/>
  <c r="L155" i="3"/>
  <c r="L163" i="3"/>
  <c r="L171" i="3"/>
  <c r="L132" i="3"/>
  <c r="M132" i="3" s="1"/>
  <c r="L220" i="3"/>
  <c r="L154" i="3"/>
  <c r="M154" i="3" s="1"/>
  <c r="L32" i="3"/>
  <c r="M32" i="3" s="1"/>
  <c r="L196" i="3"/>
  <c r="L166" i="3"/>
  <c r="M166" i="3" s="1"/>
  <c r="L24" i="3"/>
  <c r="M24" i="3" s="1"/>
  <c r="L124" i="3"/>
  <c r="L142" i="3"/>
  <c r="L134" i="3"/>
  <c r="M134" i="3" s="1"/>
  <c r="L127" i="3"/>
  <c r="L242" i="3"/>
  <c r="M242" i="3" s="1"/>
  <c r="L250" i="3"/>
  <c r="M250" i="3" s="1"/>
  <c r="L204" i="3"/>
  <c r="M204" i="3" s="1"/>
  <c r="L70" i="3"/>
  <c r="M70" i="3" s="1"/>
  <c r="L170" i="3"/>
  <c r="L178" i="3"/>
  <c r="M178" i="3" s="1"/>
  <c r="L117" i="3"/>
  <c r="M117" i="3" s="1"/>
  <c r="L184" i="3"/>
  <c r="M184" i="3" s="1"/>
  <c r="L192" i="3"/>
  <c r="M192" i="3" s="1"/>
  <c r="L224" i="3"/>
  <c r="M224" i="3" s="1"/>
  <c r="L158" i="3"/>
  <c r="M158" i="3" s="1"/>
  <c r="L174" i="3"/>
  <c r="M174" i="3" s="1"/>
  <c r="L232" i="3"/>
  <c r="M232" i="3" s="1"/>
  <c r="L109" i="3"/>
  <c r="M109" i="3" s="1"/>
  <c r="L180" i="3"/>
  <c r="M180" i="3" s="1"/>
  <c r="L239" i="3"/>
  <c r="M239" i="3" s="1"/>
  <c r="L212" i="3"/>
  <c r="M212" i="3" s="1"/>
  <c r="L95" i="3"/>
  <c r="M95" i="3" s="1"/>
  <c r="L188" i="3"/>
  <c r="M188" i="3" s="1"/>
  <c r="L246" i="3"/>
  <c r="M246" i="3" s="1"/>
  <c r="L162" i="3"/>
  <c r="M162" i="3" s="1"/>
  <c r="L194" i="3"/>
  <c r="M194" i="3" s="1"/>
  <c r="L254" i="3"/>
  <c r="L228" i="3"/>
  <c r="M228" i="3" s="1"/>
  <c r="L200" i="3"/>
  <c r="M200" i="3" s="1"/>
  <c r="L3" i="3"/>
  <c r="M3" i="3" s="1"/>
  <c r="L105" i="3"/>
  <c r="M105" i="3" s="1"/>
  <c r="L208" i="3"/>
  <c r="L150" i="3"/>
  <c r="M150" i="3" s="1"/>
  <c r="L216" i="3"/>
  <c r="M216" i="3" s="1"/>
  <c r="L53" i="3"/>
  <c r="M53" i="3" s="1"/>
  <c r="L103" i="3"/>
  <c r="M103" i="3" s="1"/>
  <c r="L86" i="3"/>
  <c r="M86" i="3" s="1"/>
  <c r="L15" i="3"/>
  <c r="M15" i="3" s="1"/>
  <c r="L50" i="3"/>
  <c r="M50" i="3" s="1"/>
  <c r="L64" i="3"/>
  <c r="M64" i="3" s="1"/>
  <c r="L77" i="3"/>
  <c r="M77" i="3" s="1"/>
  <c r="L80" i="3"/>
  <c r="M80" i="3" s="1"/>
  <c r="L97" i="3"/>
  <c r="M97" i="3" s="1"/>
  <c r="L131" i="3"/>
  <c r="M131" i="3" s="1"/>
  <c r="L146" i="3"/>
  <c r="M146" i="3" s="1"/>
  <c r="L183" i="3"/>
  <c r="M183" i="3" s="1"/>
  <c r="L191" i="3"/>
  <c r="M191" i="3" s="1"/>
  <c r="L203" i="3"/>
  <c r="M203" i="3" s="1"/>
  <c r="L211" i="3"/>
  <c r="M211" i="3" s="1"/>
  <c r="L219" i="3"/>
  <c r="L227" i="3"/>
  <c r="M227" i="3" s="1"/>
  <c r="L235" i="3"/>
  <c r="M235" i="3" s="1"/>
  <c r="L241" i="3"/>
  <c r="M241" i="3" s="1"/>
  <c r="L249" i="3"/>
  <c r="M249" i="3" s="1"/>
  <c r="L257" i="3"/>
  <c r="M257" i="3" s="1"/>
  <c r="L63" i="3"/>
  <c r="M63" i="3" s="1"/>
  <c r="L76" i="3"/>
  <c r="M76" i="3" s="1"/>
  <c r="L12" i="3"/>
  <c r="M12" i="3" s="1"/>
  <c r="L54" i="3"/>
  <c r="M54" i="3" s="1"/>
  <c r="L87" i="3"/>
  <c r="M87" i="3" s="1"/>
  <c r="L123" i="3"/>
  <c r="M123" i="3" s="1"/>
  <c r="L138" i="3"/>
  <c r="M138" i="3" s="1"/>
  <c r="L187" i="3"/>
  <c r="M187" i="3" s="1"/>
  <c r="L199" i="3"/>
  <c r="M199" i="3" s="1"/>
  <c r="L207" i="3"/>
  <c r="M207" i="3" s="1"/>
  <c r="L215" i="3"/>
  <c r="M215" i="3" s="1"/>
  <c r="L223" i="3"/>
  <c r="M223" i="3" s="1"/>
  <c r="L231" i="3"/>
  <c r="M231" i="3" s="1"/>
  <c r="L238" i="3"/>
  <c r="M238" i="3" s="1"/>
  <c r="L245" i="3"/>
  <c r="L253" i="3"/>
  <c r="L20" i="3"/>
  <c r="M20" i="3" s="1"/>
  <c r="L29" i="3"/>
  <c r="M29" i="3" s="1"/>
  <c r="L69" i="3"/>
  <c r="M69" i="3" s="1"/>
  <c r="L71" i="3"/>
  <c r="M71" i="3" s="1"/>
  <c r="L118" i="3"/>
  <c r="L121" i="3"/>
  <c r="M121" i="3" s="1"/>
  <c r="L125" i="3"/>
  <c r="M125" i="3" s="1"/>
  <c r="C5" i="8"/>
  <c r="L58" i="3"/>
  <c r="D5" i="8"/>
  <c r="L2" i="3"/>
  <c r="L136" i="3"/>
  <c r="M136" i="3" s="1"/>
  <c r="L140" i="3"/>
  <c r="M140" i="3" s="1"/>
  <c r="L11" i="3"/>
  <c r="M11" i="3" s="1"/>
  <c r="L14" i="3"/>
  <c r="M14" i="3" s="1"/>
  <c r="L17" i="3"/>
  <c r="M17" i="3" s="1"/>
  <c r="L26" i="3"/>
  <c r="M26" i="3" s="1"/>
  <c r="L38" i="3"/>
  <c r="M38" i="3" s="1"/>
  <c r="L45" i="3"/>
  <c r="L56" i="3"/>
  <c r="M56" i="3" s="1"/>
  <c r="L82" i="3"/>
  <c r="M82" i="3" s="1"/>
  <c r="L113" i="3"/>
  <c r="M113" i="3" s="1"/>
  <c r="L4" i="3"/>
  <c r="L43" i="3"/>
  <c r="L60" i="3"/>
  <c r="L73" i="3"/>
  <c r="L129" i="3"/>
  <c r="M129" i="3" s="1"/>
  <c r="L144" i="3"/>
  <c r="M144" i="3" s="1"/>
  <c r="L6" i="3"/>
  <c r="L31" i="3"/>
  <c r="L52" i="3"/>
  <c r="M52" i="3" s="1"/>
  <c r="L62" i="3"/>
  <c r="L66" i="3"/>
  <c r="M66" i="3" s="1"/>
  <c r="L8" i="3"/>
  <c r="L21" i="3"/>
  <c r="M21" i="3" s="1"/>
  <c r="L28" i="3"/>
  <c r="L34" i="3"/>
  <c r="L47" i="3"/>
  <c r="L68" i="3"/>
  <c r="L90" i="3"/>
  <c r="M90" i="3" s="1"/>
  <c r="L100" i="3"/>
  <c r="L107" i="3"/>
  <c r="M107" i="3" s="1"/>
  <c r="L114" i="3"/>
  <c r="M114" i="3" s="1"/>
  <c r="L120" i="3"/>
  <c r="M120" i="3" s="1"/>
  <c r="L152" i="3"/>
  <c r="M152" i="3" s="1"/>
  <c r="L156" i="3"/>
  <c r="M156" i="3" s="1"/>
  <c r="L164" i="3"/>
  <c r="L168" i="3"/>
  <c r="L176" i="3"/>
  <c r="M176" i="3" s="1"/>
  <c r="L148" i="3"/>
  <c r="M148" i="3" s="1"/>
  <c r="L160" i="3"/>
  <c r="M160" i="3" s="1"/>
  <c r="L172" i="3"/>
  <c r="L75" i="3"/>
  <c r="M75" i="3" s="1"/>
  <c r="L79" i="3"/>
  <c r="M79" i="3" s="1"/>
  <c r="L85" i="3"/>
  <c r="M85" i="3" s="1"/>
  <c r="L102" i="3"/>
  <c r="M102" i="3" s="1"/>
  <c r="L182" i="3"/>
  <c r="M182" i="3" s="1"/>
  <c r="L186" i="3"/>
  <c r="M186" i="3" s="1"/>
  <c r="L190" i="3"/>
  <c r="M190" i="3" s="1"/>
  <c r="L193" i="3"/>
  <c r="L198" i="3"/>
  <c r="M198" i="3" s="1"/>
  <c r="L202" i="3"/>
  <c r="M202" i="3" s="1"/>
  <c r="L206" i="3"/>
  <c r="M206" i="3" s="1"/>
  <c r="L210" i="3"/>
  <c r="M210" i="3" s="1"/>
  <c r="L214" i="3"/>
  <c r="M214" i="3" s="1"/>
  <c r="L218" i="3"/>
  <c r="M218" i="3" s="1"/>
  <c r="L222" i="3"/>
  <c r="L226" i="3"/>
  <c r="L230" i="3"/>
  <c r="M230" i="3" s="1"/>
  <c r="L234" i="3"/>
  <c r="M234" i="3" s="1"/>
  <c r="L237" i="3"/>
  <c r="M237" i="3" s="1"/>
  <c r="L240" i="3"/>
  <c r="M240" i="3" s="1"/>
  <c r="L244" i="3"/>
  <c r="M244" i="3" s="1"/>
  <c r="L248" i="3"/>
  <c r="M248" i="3" s="1"/>
  <c r="L252" i="3"/>
  <c r="L256" i="3"/>
  <c r="M256" i="3" s="1"/>
  <c r="D43" i="9"/>
  <c r="F41" i="9"/>
  <c r="E40" i="9"/>
  <c r="D39" i="9"/>
  <c r="F37" i="9"/>
  <c r="E36" i="9"/>
  <c r="D35" i="9"/>
  <c r="F42" i="9"/>
  <c r="E41" i="9"/>
  <c r="D40" i="9"/>
  <c r="F38" i="9"/>
  <c r="E37" i="9"/>
  <c r="D36" i="9"/>
  <c r="D32" i="9"/>
  <c r="F43" i="9"/>
  <c r="E42" i="9"/>
  <c r="D41" i="9"/>
  <c r="F39" i="9"/>
  <c r="E38" i="9"/>
  <c r="D37" i="9"/>
  <c r="F35" i="9"/>
  <c r="D33" i="9"/>
  <c r="E43" i="9"/>
  <c r="D42" i="9"/>
  <c r="F40" i="9"/>
  <c r="E39" i="9"/>
  <c r="D38" i="9"/>
  <c r="F36" i="9"/>
  <c r="E35" i="9"/>
  <c r="L91" i="3"/>
  <c r="E30" i="9"/>
  <c r="F30" i="9"/>
  <c r="J48" i="5"/>
  <c r="F32" i="9" l="1"/>
  <c r="F33" i="9"/>
  <c r="O1111" i="3"/>
  <c r="E5" i="8"/>
  <c r="E44" i="9"/>
  <c r="E46" i="9" s="1"/>
  <c r="D44" i="9"/>
  <c r="D46" i="9" s="1"/>
  <c r="F44" i="9" l="1"/>
  <c r="F4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251" authorId="0" shapeId="0" xr:uid="{00000000-0006-0000-0000-000001000000}">
      <text>
        <r>
          <rPr>
            <sz val="11"/>
            <color theme="1"/>
            <rFont val="Calibri"/>
            <family val="2"/>
          </rPr>
          <t>======
ID#AAABOqEMqe4
leo cunha    (2024-05-25 21:16:28)
Pagou 40
Falta 30</t>
        </r>
      </text>
    </comment>
    <comment ref="C480" authorId="0" shapeId="0" xr:uid="{00000000-0006-0000-0000-000002000000}">
      <text>
        <r>
          <rPr>
            <sz val="11"/>
            <color theme="1"/>
            <rFont val="Calibri"/>
            <family val="2"/>
          </rPr>
          <t>======
ID#AAABTZ38VqI
ZM STORE    (2024-08-09 14:55:18)
passar musica</t>
        </r>
      </text>
    </comment>
    <comment ref="C481" authorId="0" shapeId="0" xr:uid="{00000000-0006-0000-0000-000003000000}">
      <text>
        <r>
          <rPr>
            <sz val="11"/>
            <color theme="1"/>
            <rFont val="Calibri"/>
            <family val="2"/>
          </rPr>
          <t>======
ID#AAABTZ38VqM
ZM STORE    (2024-08-09 14:55:18)
troca bateria motorola</t>
        </r>
      </text>
    </comment>
    <comment ref="C482" authorId="0" shapeId="0" xr:uid="{00000000-0006-0000-0000-000004000000}">
      <text>
        <r>
          <rPr>
            <sz val="11"/>
            <color theme="1"/>
            <rFont val="Calibri"/>
            <family val="2"/>
          </rPr>
          <t>======
ID#AAABTZ38VqQ
ZM STORE    (2024-08-09 14:55:18)
venda a8+</t>
        </r>
      </text>
    </comment>
    <comment ref="C504" authorId="0" shapeId="0" xr:uid="{00000000-0006-0000-0000-000005000000}">
      <text>
        <r>
          <rPr>
            <sz val="11"/>
            <color theme="1"/>
            <rFont val="Calibri"/>
            <family val="2"/>
          </rPr>
          <t>======
ID#AAABUSj4SDQ
ZM STORE    (2024-08-20 14:53:38)
Vivo</t>
        </r>
      </text>
    </comment>
    <comment ref="C510" authorId="0" shapeId="0" xr:uid="{00000000-0006-0000-0000-000006000000}">
      <text>
        <r>
          <rPr>
            <sz val="11"/>
            <color theme="1"/>
            <rFont val="Calibri"/>
            <family val="2"/>
          </rPr>
          <t>======
ID#AAABNafLHtc
ZM STORE    (2024-08-22 19:53:31)
MUSICA</t>
        </r>
      </text>
    </comment>
    <comment ref="C511" authorId="0" shapeId="0" xr:uid="{00000000-0006-0000-0000-000007000000}">
      <text>
        <r>
          <rPr>
            <sz val="11"/>
            <color theme="1"/>
            <rFont val="Calibri"/>
            <family val="2"/>
          </rPr>
          <t>======
ID#AAABNafLHtg
ZM STORE    (2024-08-22 19:53:31)
MONITOR</t>
        </r>
      </text>
    </comment>
    <comment ref="C526" authorId="0" shapeId="0" xr:uid="{00000000-0006-0000-0000-000008000000}">
      <text>
        <r>
          <rPr>
            <sz val="11"/>
            <color theme="1"/>
            <rFont val="Calibri"/>
            <family val="2"/>
          </rPr>
          <t>======
ID#AAABQBLE14k
ZM STORE    (2024-08-31 16:13:31)
CODABH</t>
        </r>
      </text>
    </comment>
    <comment ref="C527" authorId="0" shapeId="0" xr:uid="{00000000-0006-0000-0000-000009000000}">
      <text>
        <r>
          <rPr>
            <sz val="11"/>
            <color theme="1"/>
            <rFont val="Calibri"/>
            <family val="2"/>
          </rPr>
          <t>======
ID#AAABQBLE14g
ZM STORE    (2024-08-31 16:13:31)
VIDEO GRAVADO</t>
        </r>
      </text>
    </comment>
    <comment ref="C534" authorId="0" shapeId="0" xr:uid="{00000000-0006-0000-0000-00000A000000}">
      <text>
        <r>
          <rPr>
            <sz val="11"/>
            <color theme="1"/>
            <rFont val="Calibri"/>
            <family val="2"/>
          </rPr>
          <t>======
ID#AAABVQe0Pds
ZM    (2024-09-13 19:46:46)
'fonte'
placa de video</t>
        </r>
      </text>
    </comment>
    <comment ref="C545" authorId="0" shapeId="0" xr:uid="{00000000-0006-0000-0000-00000B000000}">
      <text>
        <r>
          <rPr>
            <sz val="11"/>
            <color theme="1"/>
            <rFont val="Calibri"/>
            <family val="2"/>
          </rPr>
          <t>======
ID#AAABVQe0Pdk
ZM    (2024-09-13 19:46:46)
monitor</t>
        </r>
      </text>
    </comment>
    <comment ref="C580" authorId="0" shapeId="0" xr:uid="{00000000-0006-0000-0000-00000C000000}">
      <text>
        <r>
          <rPr>
            <sz val="11"/>
            <color theme="1"/>
            <rFont val="Calibri"/>
            <family val="2"/>
          </rPr>
          <t>======
ID#AAABYQ1ajvM
ZM    (2024-11-07 19:04:43)
vivo</t>
        </r>
      </text>
    </comment>
    <comment ref="C581" authorId="0" shapeId="0" xr:uid="{00000000-0006-0000-0000-00000D000000}">
      <text>
        <r>
          <rPr>
            <sz val="11"/>
            <color theme="1"/>
            <rFont val="Calibri"/>
            <family val="2"/>
          </rPr>
          <t>======
ID#AAABVQe0Pdg
ZM    (2024-09-13 19:46:46)
venda celular</t>
        </r>
      </text>
    </comment>
    <comment ref="C582" authorId="0" shapeId="0" xr:uid="{00000000-0006-0000-0000-00000E000000}">
      <text>
        <r>
          <rPr>
            <sz val="11"/>
            <color theme="1"/>
            <rFont val="Calibri"/>
            <family val="2"/>
          </rPr>
          <t>======
ID#AAABVQe0Pdo
ZM    (2024-09-13 19:46:46)
vivo</t>
        </r>
      </text>
    </comment>
    <comment ref="C610" authorId="0" shapeId="0" xr:uid="{00000000-0006-0000-0000-00000F000000}">
      <text>
        <r>
          <rPr>
            <sz val="11"/>
            <color theme="1"/>
            <rFont val="Calibri"/>
            <family val="2"/>
          </rPr>
          <t>======
ID#AAABVQkmvQw
ZM    (2024-09-13 19:46:46)
vivo</t>
        </r>
      </text>
    </comment>
    <comment ref="C623" authorId="0" shapeId="0" xr:uid="{00000000-0006-0000-0000-000010000000}">
      <text>
        <r>
          <rPr>
            <sz val="11"/>
            <color theme="1"/>
            <rFont val="Calibri"/>
            <family val="2"/>
          </rPr>
          <t>======
ID#AAABYQ1ajvQ
ZM    (2024-11-07 19:04:43)
bateria pc</t>
        </r>
      </text>
    </comment>
    <comment ref="C628" authorId="0" shapeId="0" xr:uid="{00000000-0006-0000-0000-000011000000}">
      <text>
        <r>
          <rPr>
            <sz val="11"/>
            <color theme="1"/>
            <rFont val="Calibri"/>
            <family val="2"/>
          </rPr>
          <t>======
ID#AAABYQ1aju4
ZM    (2024-11-07 19:04:43)
serasa</t>
        </r>
      </text>
    </comment>
    <comment ref="C635" authorId="0" shapeId="0" xr:uid="{00000000-0006-0000-0000-000012000000}">
      <text>
        <r>
          <rPr>
            <sz val="11"/>
            <color theme="1"/>
            <rFont val="Calibri"/>
            <family val="2"/>
          </rPr>
          <t>======
ID#AAABYQ1ajvU
ZM    (2024-11-07 19:04:43)
Transferir fotos</t>
        </r>
      </text>
    </comment>
    <comment ref="C643" authorId="0" shapeId="0" xr:uid="{00000000-0006-0000-0000-000013000000}">
      <text>
        <r>
          <rPr>
            <sz val="11"/>
            <color theme="1"/>
            <rFont val="Calibri"/>
            <family val="2"/>
          </rPr>
          <t>======
ID#AAABYQ1ajvA
ZM    (2024-11-07 19:04:43)
POCO M6 PRO NFC 12ram 512gb</t>
        </r>
      </text>
    </comment>
    <comment ref="C644" authorId="0" shapeId="0" xr:uid="{00000000-0006-0000-0000-000014000000}">
      <text>
        <r>
          <rPr>
            <sz val="11"/>
            <color theme="1"/>
            <rFont val="Calibri"/>
            <family val="2"/>
          </rPr>
          <t>======
ID#AAABYQ1ajvY
ZM    (2024-11-07 19:04:43)
Iphone 11 hugor tela</t>
        </r>
      </text>
    </comment>
    <comment ref="C657" authorId="0" shapeId="0" xr:uid="{00000000-0006-0000-0000-000015000000}">
      <text>
        <r>
          <rPr>
            <sz val="11"/>
            <color theme="1"/>
            <rFont val="Calibri"/>
            <family val="2"/>
          </rPr>
          <t>======
ID#AAABYQ1ajvc
ZM    (2024-11-07 19:04:43)
vivo</t>
        </r>
      </text>
    </comment>
    <comment ref="C673" authorId="0" shapeId="0" xr:uid="{00000000-0006-0000-0000-000016000000}">
      <text>
        <r>
          <rPr>
            <sz val="11"/>
            <color theme="1"/>
            <rFont val="Calibri"/>
            <family val="2"/>
          </rPr>
          <t>======
ID#AAABYQ1ajvE
ZM    (2024-11-07 19:04:43)
formataçao notebok</t>
        </r>
      </text>
    </comment>
    <comment ref="C678" authorId="0" shapeId="0" xr:uid="{00000000-0006-0000-0000-000017000000}">
      <text>
        <r>
          <rPr>
            <sz val="11"/>
            <color theme="1"/>
            <rFont val="Calibri"/>
            <family val="2"/>
          </rPr>
          <t>======
ID#AAABYQ1aju8
ZM    (2024-11-07 19:04:43)
Manutençao notebook</t>
        </r>
      </text>
    </comment>
    <comment ref="C689" authorId="0" shapeId="0" xr:uid="{00000000-0006-0000-0000-000018000000}">
      <text>
        <r>
          <rPr>
            <sz val="11"/>
            <color theme="1"/>
            <rFont val="Calibri"/>
            <family val="2"/>
          </rPr>
          <t>======
ID#AAABYQ1ajvI
ZM    (2024-11-07 19:04:43)
tela iphone x</t>
        </r>
      </text>
    </comment>
    <comment ref="C703" authorId="0" shapeId="0" xr:uid="{00000000-0006-0000-0000-000019000000}">
      <text>
        <r>
          <rPr>
            <sz val="9"/>
            <color rgb="FF000000"/>
            <rFont val="Arial"/>
            <family val="2"/>
          </rPr>
          <t xml:space="preserve">ZM:
Arrumar notebook
</t>
        </r>
      </text>
    </comment>
    <comment ref="C710" authorId="0" shapeId="0" xr:uid="{00000000-0006-0000-0000-00001A000000}">
      <text>
        <r>
          <rPr>
            <sz val="9"/>
            <color rgb="FF000000"/>
            <rFont val="Arial"/>
            <family val="2"/>
          </rPr>
          <t xml:space="preserve">ZM:
Processador
</t>
        </r>
      </text>
    </comment>
    <comment ref="C730" authorId="0" shapeId="0" xr:uid="{00000000-0006-0000-0000-00001B000000}">
      <text>
        <r>
          <rPr>
            <sz val="9"/>
            <color rgb="FF000000"/>
            <rFont val="Arial"/>
            <family val="2"/>
          </rPr>
          <t xml:space="preserve">ZM:
nada consta
</t>
        </r>
      </text>
    </comment>
    <comment ref="C736" authorId="0" shapeId="0" xr:uid="{00000000-0006-0000-0000-00001C000000}">
      <text>
        <r>
          <rPr>
            <sz val="9"/>
            <color rgb="FF000000"/>
            <rFont val="Arial"/>
            <family val="2"/>
          </rPr>
          <t xml:space="preserve">ZM:
passar foto 
</t>
        </r>
      </text>
    </comment>
    <comment ref="C737" authorId="0" shapeId="0" xr:uid="{00000000-0006-0000-0000-00001D000000}">
      <text>
        <r>
          <rPr>
            <sz val="9"/>
            <color rgb="FF000000"/>
            <rFont val="Arial"/>
            <family val="2"/>
          </rPr>
          <t xml:space="preserve">ZM:
limpeza pc
</t>
        </r>
      </text>
    </comment>
    <comment ref="C738" authorId="0" shapeId="0" xr:uid="{00000000-0006-0000-0000-00001E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58" authorId="0" shapeId="0" xr:uid="{00000000-0006-0000-0000-00001F000000}">
      <text>
        <r>
          <rPr>
            <b/>
            <sz val="9"/>
            <color rgb="FF000000"/>
            <rFont val="Segoe UI"/>
            <family val="2"/>
          </rPr>
          <t>ZM:
Powervox</t>
        </r>
      </text>
    </comment>
    <comment ref="C774" authorId="0" shapeId="0" xr:uid="{00000000-0006-0000-0000-000020000000}">
      <text>
        <r>
          <rPr>
            <sz val="9"/>
            <color rgb="FF000000"/>
            <rFont val="Arial"/>
            <family val="2"/>
          </rPr>
          <t xml:space="preserve">ZM:
motorola bateria
</t>
        </r>
      </text>
    </comment>
    <comment ref="C809" authorId="0" shapeId="0" xr:uid="{00000000-0006-0000-0000-000021000000}">
      <text>
        <r>
          <rPr>
            <sz val="9"/>
            <color rgb="FF000000"/>
            <rFont val="Arial"/>
            <family val="2"/>
          </rPr>
          <t xml:space="preserve">ZM:
caixa de som hugo
</t>
        </r>
      </text>
    </comment>
    <comment ref="C810" authorId="0" shapeId="0" xr:uid="{00000000-0006-0000-0000-000022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15" authorId="0" shapeId="0" xr:uid="{00000000-0006-0000-0000-000023000000}">
      <text>
        <r>
          <rPr>
            <sz val="9"/>
            <color rgb="FF000000"/>
            <rFont val="Arial"/>
            <family val="2"/>
          </rPr>
          <t xml:space="preserve">ZM:
venda pc 
</t>
        </r>
      </text>
    </comment>
    <comment ref="C816" authorId="0" shapeId="0" xr:uid="{00000000-0006-0000-0000-000024000000}">
      <text>
        <r>
          <rPr>
            <sz val="9"/>
            <color rgb="FF000000"/>
            <rFont val="Arial"/>
            <family val="2"/>
          </rPr>
          <t xml:space="preserve">ZM:
gravaçao de musica
</t>
        </r>
      </text>
    </comment>
    <comment ref="C838" authorId="0" shapeId="0" xr:uid="{00000000-0006-0000-0000-000025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0" authorId="0" shapeId="0" xr:uid="{00000000-0006-0000-0000-000026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2" authorId="0" shapeId="0" xr:uid="{00000000-0006-0000-0000-000027000000}">
      <text>
        <r>
          <rPr>
            <sz val="9"/>
            <color rgb="FF000000"/>
            <rFont val="Arial"/>
            <family val="2"/>
          </rPr>
          <t>ZM:
venda aparelho</t>
        </r>
      </text>
    </comment>
    <comment ref="C843" authorId="0" shapeId="0" xr:uid="{00000000-0006-0000-0000-000028000000}">
      <text>
        <r>
          <rPr>
            <sz val="9"/>
            <color rgb="FF000000"/>
            <rFont val="Arial"/>
            <family val="2"/>
          </rPr>
          <t>ZM:
venda aparelho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ZM</author>
  </authors>
  <commentList>
    <comment ref="C57" authorId="0" shapeId="0" xr:uid="{00000000-0006-0000-0100-000001000000}">
      <text>
        <r>
          <rPr>
            <sz val="9"/>
            <color rgb="FF000000"/>
            <rFont val="Arial"/>
            <family val="2"/>
          </rPr>
          <t xml:space="preserve">ZM:
tela g31
</t>
        </r>
      </text>
    </comment>
    <comment ref="C58" authorId="0" shapeId="0" xr:uid="{00000000-0006-0000-0100-000002000000}">
      <text>
        <r>
          <rPr>
            <sz val="9"/>
            <color rgb="FF000000"/>
            <rFont val="Arial"/>
            <family val="2"/>
          </rPr>
          <t xml:space="preserve">ZM:
bateria j2 prime
</t>
        </r>
      </text>
    </comment>
    <comment ref="C155" authorId="0" shapeId="0" xr:uid="{00000000-0006-0000-0100-000003000000}">
      <text>
        <r>
          <rPr>
            <sz val="9"/>
            <color rgb="FF000000"/>
            <rFont val="Arial"/>
            <family val="2"/>
          </rPr>
          <t xml:space="preserve">ZM:
segunda via
</t>
        </r>
      </text>
    </comment>
  </commentList>
</comments>
</file>

<file path=xl/sharedStrings.xml><?xml version="1.0" encoding="utf-8"?>
<sst xmlns="http://schemas.openxmlformats.org/spreadsheetml/2006/main" count="12550" uniqueCount="2353">
  <si>
    <t>Mês</t>
  </si>
  <si>
    <t>Data</t>
  </si>
  <si>
    <t>Produto</t>
  </si>
  <si>
    <t>QT</t>
  </si>
  <si>
    <t>Cliente</t>
  </si>
  <si>
    <t>Vendedor</t>
  </si>
  <si>
    <t>Custo 
Un</t>
  </si>
  <si>
    <t>Valor gasto</t>
  </si>
  <si>
    <t>Valor uni venda</t>
  </si>
  <si>
    <t>Valor da 
venda</t>
  </si>
  <si>
    <t>Tipo de venda</t>
  </si>
  <si>
    <t>Valor 
CNPJ</t>
  </si>
  <si>
    <t>Lucro</t>
  </si>
  <si>
    <t>Forma de pagam</t>
  </si>
  <si>
    <t>% Lucro</t>
  </si>
  <si>
    <t>Recebido 
loja</t>
  </si>
  <si>
    <t>Cabo Kingo Iphone 1M</t>
  </si>
  <si>
    <t>Lázaro</t>
  </si>
  <si>
    <t>Rafael</t>
  </si>
  <si>
    <t xml:space="preserve">CPF </t>
  </si>
  <si>
    <t>Transferido</t>
  </si>
  <si>
    <t>Mini jogo de luz c/c</t>
  </si>
  <si>
    <t>Shopee</t>
  </si>
  <si>
    <t>Leonardo</t>
  </si>
  <si>
    <t>Mayra blayner</t>
  </si>
  <si>
    <t>Case Iphone Caixa</t>
  </si>
  <si>
    <t>Aleatorio</t>
  </si>
  <si>
    <t>Powebank hmaster 20k</t>
  </si>
  <si>
    <t>Raquete mata mosquito</t>
  </si>
  <si>
    <t>Projeçao</t>
  </si>
  <si>
    <t>CNPJ</t>
  </si>
  <si>
    <t xml:space="preserve">Luminária astronauta </t>
  </si>
  <si>
    <t>Cheirinho Hungria</t>
  </si>
  <si>
    <t>Higor</t>
  </si>
  <si>
    <t>Lousa magica 8pol</t>
  </si>
  <si>
    <t>Lousa magica 16pol</t>
  </si>
  <si>
    <t>Garrafa 3 in 1 colorida</t>
  </si>
  <si>
    <t>adelicia</t>
  </si>
  <si>
    <t xml:space="preserve">Mochila escolar unissex impermeável com entrada usb  preto  </t>
  </si>
  <si>
    <t>kit ferramentas 41 pçs maleta</t>
  </si>
  <si>
    <t>Marcellin</t>
  </si>
  <si>
    <t>Canivete automático knife</t>
  </si>
  <si>
    <t>Gian</t>
  </si>
  <si>
    <t>Sah</t>
  </si>
  <si>
    <t>Garrafa 3 in 1 colorida leo</t>
  </si>
  <si>
    <t>Copo stanley 500ml</t>
  </si>
  <si>
    <t>douglas</t>
  </si>
  <si>
    <t>Carregador veicular l01-3</t>
  </si>
  <si>
    <t>jogo de chaves peq.</t>
  </si>
  <si>
    <t xml:space="preserve">Robot transforme </t>
  </si>
  <si>
    <t>Natan</t>
  </si>
  <si>
    <t xml:space="preserve">Esfregão mop de limpeza triangular giratório de 360°  </t>
  </si>
  <si>
    <t>Wn loja</t>
  </si>
  <si>
    <t>Bolsa multifuncional masculina de peito</t>
  </si>
  <si>
    <t>Fone fon30024 inova</t>
  </si>
  <si>
    <t>Capinha</t>
  </si>
  <si>
    <t>maria</t>
  </si>
  <si>
    <t>Processador de alimentos 1352</t>
  </si>
  <si>
    <t>sonia</t>
  </si>
  <si>
    <t xml:space="preserve">Mini massageador </t>
  </si>
  <si>
    <t>KIt caneca café stanley</t>
  </si>
  <si>
    <t>Amigo higor</t>
  </si>
  <si>
    <t>Facçao</t>
  </si>
  <si>
    <t>Relógio inteligente KL201 Black</t>
  </si>
  <si>
    <t>Smartwatch i7 pro Max</t>
  </si>
  <si>
    <t xml:space="preserve"> </t>
  </si>
  <si>
    <t>Cabo Spartan v8</t>
  </si>
  <si>
    <t>Trabalho</t>
  </si>
  <si>
    <t>tela mosquito  leo</t>
  </si>
  <si>
    <t>Deborah</t>
  </si>
  <si>
    <t>Cabo kingo tc 1m</t>
  </si>
  <si>
    <t>CPF</t>
  </si>
  <si>
    <t>Powebank kv12047 10k</t>
  </si>
  <si>
    <t>pilha AAA cartela</t>
  </si>
  <si>
    <t>Shopee CPF</t>
  </si>
  <si>
    <t>Garrafa Stanley 600lm</t>
  </si>
  <si>
    <t>Mini máquina de costura</t>
  </si>
  <si>
    <t>Carregador iphone 20w</t>
  </si>
  <si>
    <t>Beatriz almeida sales</t>
  </si>
  <si>
    <t>0</t>
  </si>
  <si>
    <t>Fone pmcell FO-15</t>
  </si>
  <si>
    <t>Marcio</t>
  </si>
  <si>
    <t>pilha AA cartela</t>
  </si>
  <si>
    <t>Pendrive AL 16gb</t>
  </si>
  <si>
    <t>Suporte celular veicular ventosa bmg02</t>
  </si>
  <si>
    <t>Matheus</t>
  </si>
  <si>
    <t>Carregador veicular inova tc</t>
  </si>
  <si>
    <t>Suporte magnético veicular barra</t>
  </si>
  <si>
    <t>Adaptador wifi 2.5g</t>
  </si>
  <si>
    <t>Adaptador wifi 2.5g antena</t>
  </si>
  <si>
    <t xml:space="preserve">Mouse wireless recarregável led rgb 2.4 ghz sem fio  </t>
  </si>
  <si>
    <t>Joelheira EC3360 leo</t>
  </si>
  <si>
    <t>vizinha higor</t>
  </si>
  <si>
    <t>Conversor digital full hd</t>
  </si>
  <si>
    <t>maria constureira</t>
  </si>
  <si>
    <t xml:space="preserve">Cartão de memoria 32gb </t>
  </si>
  <si>
    <t>Camila vizinha</t>
  </si>
  <si>
    <t>Pelicula 3D</t>
  </si>
  <si>
    <t>Marcelo</t>
  </si>
  <si>
    <t>Capa celular simples</t>
  </si>
  <si>
    <t>Leandro</t>
  </si>
  <si>
    <t>Cabo colorido 2 metros tipo c</t>
  </si>
  <si>
    <t>Game pop it</t>
  </si>
  <si>
    <t>Controle ps4</t>
  </si>
  <si>
    <t>Pulseira Mi band</t>
  </si>
  <si>
    <t>Rodrigo</t>
  </si>
  <si>
    <t>Cabo kingo iphone 2m leo</t>
  </si>
  <si>
    <t>Talita</t>
  </si>
  <si>
    <t xml:space="preserve">Mochila escolar universitária unissex </t>
  </si>
  <si>
    <t>Powerbank 10k inova</t>
  </si>
  <si>
    <t>Mae debora</t>
  </si>
  <si>
    <t>Kit colheres colorida</t>
  </si>
  <si>
    <t>Carregador Cabeça  Spartan  - Cw-178</t>
  </si>
  <si>
    <t>aparecida do carmo</t>
  </si>
  <si>
    <t>Bolsa Necessaire Organizadora Para Cosméticos</t>
  </si>
  <si>
    <t xml:space="preserve">Aparecida </t>
  </si>
  <si>
    <t>Kit tesoura cabelo</t>
  </si>
  <si>
    <t>pai marcellin</t>
  </si>
  <si>
    <t>Balança de precisão xm-50522</t>
  </si>
  <si>
    <t>Jogo de chaves peq.</t>
  </si>
  <si>
    <t>Xtreme 3</t>
  </si>
  <si>
    <t>Suporte veicular ventosa it-blue</t>
  </si>
  <si>
    <t>Copo Stanley com som</t>
  </si>
  <si>
    <t>Fone iphone hmaster ej-56</t>
  </si>
  <si>
    <t>jazin</t>
  </si>
  <si>
    <t>Renatinha</t>
  </si>
  <si>
    <t>Case Iphone transparente</t>
  </si>
  <si>
    <t>Cabo colorido iphone 1m</t>
  </si>
  <si>
    <t>Capa a prova d'água</t>
  </si>
  <si>
    <t>Sarah</t>
  </si>
  <si>
    <t>Xerox Preta</t>
  </si>
  <si>
    <t>Serviço aleatorio</t>
  </si>
  <si>
    <t>Mochila escolar universitária unissex com estojo</t>
  </si>
  <si>
    <t>Cabo kingo iphone 1m</t>
  </si>
  <si>
    <t>Regua tomada</t>
  </si>
  <si>
    <t>Ainda não</t>
  </si>
  <si>
    <t>Cadeado alarme</t>
  </si>
  <si>
    <t>mkd</t>
  </si>
  <si>
    <t>Samara</t>
  </si>
  <si>
    <t>andre</t>
  </si>
  <si>
    <t>Controle Pc</t>
  </si>
  <si>
    <t>Pelicularelogio 49mm</t>
  </si>
  <si>
    <t>faca</t>
  </si>
  <si>
    <t xml:space="preserve">Relógio Inteligente Bluetooth 4.0 Smartwatch D20 1.3" 150mah  </t>
  </si>
  <si>
    <t>policia</t>
  </si>
  <si>
    <t>giovanni</t>
  </si>
  <si>
    <t>Impressao Preta</t>
  </si>
  <si>
    <t>magdar</t>
  </si>
  <si>
    <t>primo</t>
  </si>
  <si>
    <t>Fone Bluetooth Sem Fios P9</t>
  </si>
  <si>
    <t>Mini liquidificado</t>
  </si>
  <si>
    <t xml:space="preserve">Blindagem </t>
  </si>
  <si>
    <t>jorlan</t>
  </si>
  <si>
    <t>Game Pop It</t>
  </si>
  <si>
    <t>Cabo Colorido Tipo C 1M</t>
  </si>
  <si>
    <t>Powebank Kv12047 10K</t>
  </si>
  <si>
    <t>Lanterna T9</t>
  </si>
  <si>
    <t>Chave de rodas</t>
  </si>
  <si>
    <t>Controle ps2</t>
  </si>
  <si>
    <t>Garrafa 3 In 1 Colorida</t>
  </si>
  <si>
    <t>jacqueline</t>
  </si>
  <si>
    <t>LOJA</t>
  </si>
  <si>
    <t>Bolsa Multifuncional Masculina De Peito</t>
  </si>
  <si>
    <t>Game Boy + Controle</t>
  </si>
  <si>
    <t>Alissin</t>
  </si>
  <si>
    <t>Pilha Aaa Cartela</t>
  </si>
  <si>
    <t>Joelheira Ec3360 Leo</t>
  </si>
  <si>
    <t xml:space="preserve">Depilador Removedor Pelos Corporal Yes Finishing Touch Light  </t>
  </si>
  <si>
    <t>Kamila</t>
  </si>
  <si>
    <t xml:space="preserve">Esfregão Mop De Limpeza Triangular Giratório De 360°  </t>
  </si>
  <si>
    <t>Zirone</t>
  </si>
  <si>
    <t xml:space="preserve">Vassoura Rodo Mágico Mop Multiuso Silicone Retrátil </t>
  </si>
  <si>
    <t>X12 Bluetooth V5.3 Fone Leo</t>
  </si>
  <si>
    <t>loja lado</t>
  </si>
  <si>
    <t>Mini Fatiador</t>
  </si>
  <si>
    <t xml:space="preserve"> Kit 6 Formas Silicone Para Air Fryer Reutilizável Com Alça </t>
  </si>
  <si>
    <t>Pendrive Al 16Gb</t>
  </si>
  <si>
    <t>Fone Fon30024 Inova</t>
  </si>
  <si>
    <t xml:space="preserve"> Esfregão Rodo Magico Mop Flat Retrátil 360° Com Refil 134 Cm </t>
  </si>
  <si>
    <t>Mouse pad com gel</t>
  </si>
  <si>
    <t>danni</t>
  </si>
  <si>
    <t>Mouse Sem Fio Mou-200</t>
  </si>
  <si>
    <t>Cabo Hdmi 2M</t>
  </si>
  <si>
    <t>Controle Tv Box  Le-7490-1</t>
  </si>
  <si>
    <t>Raquete Mata Mosquito</t>
  </si>
  <si>
    <t>Kit Caneca Café Stanley</t>
  </si>
  <si>
    <t>Suporte Celular Veicular Ventosa Bmg02</t>
  </si>
  <si>
    <t>Garrafa Stanley 600Lm</t>
  </si>
  <si>
    <t>Cabo Y p2/p3</t>
  </si>
  <si>
    <t>Diego</t>
  </si>
  <si>
    <t>Placa de som USB</t>
  </si>
  <si>
    <t>Mini Lanterna Kal1114</t>
  </si>
  <si>
    <t>vigilante</t>
  </si>
  <si>
    <t>Processador De Alimentos 1352</t>
  </si>
  <si>
    <t>Colegio</t>
  </si>
  <si>
    <t>Mochila Escolar Universitária Unissex Com Estojo</t>
  </si>
  <si>
    <t>Caixa Se Som Bluetooth 3*</t>
  </si>
  <si>
    <t>Game Pop It matos</t>
  </si>
  <si>
    <t>Powerbank 5k gold</t>
  </si>
  <si>
    <t>Ssd 240Gb</t>
  </si>
  <si>
    <t>formatação</t>
  </si>
  <si>
    <t>Cabo Kingo Iphone 2M</t>
  </si>
  <si>
    <t>Lanterna Chaveiro Recarregável</t>
  </si>
  <si>
    <t>Mini Massageador</t>
  </si>
  <si>
    <t>Suporte Magnético Veicular Barra</t>
  </si>
  <si>
    <t>Lousa Magica 10Pol</t>
  </si>
  <si>
    <t>Faca</t>
  </si>
  <si>
    <t>Cabo Tipo C Leo</t>
  </si>
  <si>
    <t>Taboa De corta Carne</t>
  </si>
  <si>
    <t>Carregador Iphone 20W</t>
  </si>
  <si>
    <t>Caixa de som id-7224u</t>
  </si>
  <si>
    <t>Controle Gatilho</t>
  </si>
  <si>
    <t xml:space="preserve">Mouse pad simples </t>
  </si>
  <si>
    <t xml:space="preserve">Kit 6 Formas Silicone Para Air Fryer Reutilizável Com Alça </t>
  </si>
  <si>
    <t>Cabo Kingo Tc 1M</t>
  </si>
  <si>
    <t>Lidiane</t>
  </si>
  <si>
    <t>Cabo Tipo C  Leo</t>
  </si>
  <si>
    <t>Game Pop It 15 reais</t>
  </si>
  <si>
    <t>Cabo Colorido 2 Metros Tipo C</t>
  </si>
  <si>
    <t>lucas alves (986016150)</t>
  </si>
  <si>
    <t>Tv box 10k ultra</t>
  </si>
  <si>
    <t>Wesley</t>
  </si>
  <si>
    <t>Baralho C 2 Jogos Bar-69087</t>
  </si>
  <si>
    <t>Formatação</t>
  </si>
  <si>
    <t>Camera Ip Dupla</t>
  </si>
  <si>
    <t>Caixa De Som Inova Kv-88631</t>
  </si>
  <si>
    <t>Cliente maria</t>
  </si>
  <si>
    <t>Climatizador Utra Air Cooler</t>
  </si>
  <si>
    <t>Amolador de faca</t>
  </si>
  <si>
    <t>Sacola 49x42x12cm Colorida</t>
  </si>
  <si>
    <t>Suporte Veicular Retrovisor B-Max</t>
  </si>
  <si>
    <t>Fone De Ouvido P3 Fon8619</t>
  </si>
  <si>
    <t>F9 Fones De Ouvido</t>
  </si>
  <si>
    <t>Rosa lampada</t>
  </si>
  <si>
    <t>jair</t>
  </si>
  <si>
    <t>Ralador de legumes diagonal</t>
  </si>
  <si>
    <t>Copo Stanley 500Ml</t>
  </si>
  <si>
    <t>lojoas</t>
  </si>
  <si>
    <t>Fonte tv box 5v</t>
  </si>
  <si>
    <t>remedio</t>
  </si>
  <si>
    <t>Carregador Veicular L01-3</t>
  </si>
  <si>
    <t>Domino Lata Leo</t>
  </si>
  <si>
    <t xml:space="preserve">Pistola Lança Bolhas 8 Furos Mini Gun Brinquedo </t>
  </si>
  <si>
    <t xml:space="preserve">Luvinha de dedo </t>
  </si>
  <si>
    <t>Balança 10kg</t>
  </si>
  <si>
    <t>matheus</t>
  </si>
  <si>
    <t>Cabo Spartan V8</t>
  </si>
  <si>
    <t>SUL PRATAS</t>
  </si>
  <si>
    <t xml:space="preserve">Receptor bluetooth </t>
  </si>
  <si>
    <t xml:space="preserve">Esfregão Rodo Magico Mop Flat Retrátil 360° Com Refil 134 Cm </t>
  </si>
  <si>
    <t xml:space="preserve">Cartão De Memoria 32Gb </t>
  </si>
  <si>
    <t>Nudes</t>
  </si>
  <si>
    <t>Charge 3+ Leo</t>
  </si>
  <si>
    <t>Fone Pmcell Fo-11</t>
  </si>
  <si>
    <t>Caixa de som md-12268 leds</t>
  </si>
  <si>
    <t>janete</t>
  </si>
  <si>
    <t>tauan</t>
  </si>
  <si>
    <t>Cooler table - suporte notbook</t>
  </si>
  <si>
    <t xml:space="preserve">Carregador Completo Spartan Tc - Cw-301 </t>
  </si>
  <si>
    <t>Pelicula Privacidade</t>
  </si>
  <si>
    <t>Suporte de tv pequeno</t>
  </si>
  <si>
    <t>kit teclado e mouse sem fio mb54264</t>
  </si>
  <si>
    <t>Carro de metal - Fusca</t>
  </si>
  <si>
    <t>lojas</t>
  </si>
  <si>
    <t>loja</t>
  </si>
  <si>
    <t>Projetor p30</t>
  </si>
  <si>
    <t>Nestor</t>
  </si>
  <si>
    <t>Porta Crachá Esticado Leo</t>
  </si>
  <si>
    <t>lucas</t>
  </si>
  <si>
    <t xml:space="preserve">Mouse Wireless Recarregável Led Rgb 2.4 Ghz Sem Fio  </t>
  </si>
  <si>
    <t xml:space="preserve">Lâmpada Led 9W </t>
  </si>
  <si>
    <t>Lampada 50w</t>
  </si>
  <si>
    <t>Microscopio 1000x</t>
  </si>
  <si>
    <t>diego</t>
  </si>
  <si>
    <t>Serviço Aleatorio</t>
  </si>
  <si>
    <t>Patricia</t>
  </si>
  <si>
    <t>Tornozoleira</t>
  </si>
  <si>
    <t>Leandro negao</t>
  </si>
  <si>
    <t>Cabo iphone caixa branca</t>
  </si>
  <si>
    <t>Serviços Celular</t>
  </si>
  <si>
    <t>Amigo rafael</t>
  </si>
  <si>
    <t>Luiz</t>
  </si>
  <si>
    <t>Ralador 4 Faces</t>
  </si>
  <si>
    <t>Máquina De Cabelo Dragão</t>
  </si>
  <si>
    <t>engenharia</t>
  </si>
  <si>
    <t>Micro SD kodak 64gb</t>
  </si>
  <si>
    <t>Capa CNH</t>
  </si>
  <si>
    <t>Chave Mandril Leo</t>
  </si>
  <si>
    <t>Bateria 9v</t>
  </si>
  <si>
    <t>Fone jbl 950</t>
  </si>
  <si>
    <t>Lanterna Usb B-Max</t>
  </si>
  <si>
    <t>ester</t>
  </si>
  <si>
    <t xml:space="preserve">Misturador De Bebidas Ovos Portátil Mixer Elétrico 2 Peças Whisk </t>
  </si>
  <si>
    <t>Gatilhos Simples Leo</t>
  </si>
  <si>
    <t>Esther</t>
  </si>
  <si>
    <t>Pula corda academia</t>
  </si>
  <si>
    <t>Mini Máquina De Costura</t>
  </si>
  <si>
    <t xml:space="preserve">Kit talheres </t>
  </si>
  <si>
    <t>Sara</t>
  </si>
  <si>
    <t>kit facas</t>
  </si>
  <si>
    <t>Controle TV</t>
  </si>
  <si>
    <t>marcellin</t>
  </si>
  <si>
    <t>Cabo tipo C - digital</t>
  </si>
  <si>
    <t>Xerox Colorida</t>
  </si>
  <si>
    <t>Garrafa Stanley 1L</t>
  </si>
  <si>
    <t>Caixa Pilha Aa</t>
  </si>
  <si>
    <t>Taser Verde</t>
  </si>
  <si>
    <t>shopee</t>
  </si>
  <si>
    <t>chefe rafael</t>
  </si>
  <si>
    <t xml:space="preserve">Mini Massageador </t>
  </si>
  <si>
    <t>Cliente Caique</t>
  </si>
  <si>
    <t>transferido</t>
  </si>
  <si>
    <t>primo rafael</t>
  </si>
  <si>
    <t>Globo de luz  com controle</t>
  </si>
  <si>
    <t xml:space="preserve">Mochila Escolar Unissex Impermeável Com Entrada Usb  Preto  </t>
  </si>
  <si>
    <t>Bomba D'Agua manual</t>
  </si>
  <si>
    <t>Welio Brandao</t>
  </si>
  <si>
    <t>Cnpj</t>
  </si>
  <si>
    <t>Pilha AA inova</t>
  </si>
  <si>
    <t xml:space="preserve">Cabo HDMI 4 em 1 </t>
  </si>
  <si>
    <t>impressao Colorida</t>
  </si>
  <si>
    <t>pelicula 3d</t>
  </si>
  <si>
    <t>luiz</t>
  </si>
  <si>
    <t>impressao preta</t>
  </si>
  <si>
    <t>Teclado Semigamer</t>
  </si>
  <si>
    <t>cliente Markinhos</t>
  </si>
  <si>
    <t>Garrafa colorida motivacional</t>
  </si>
  <si>
    <t>Controle Gamer Celular Ly84358</t>
  </si>
  <si>
    <t>Cliente bike</t>
  </si>
  <si>
    <t>Adaptador VGA para HDMI</t>
  </si>
  <si>
    <t>mae rafael</t>
  </si>
  <si>
    <t>estilingue led</t>
  </si>
  <si>
    <t>Lâmpada Giratória Ac85</t>
  </si>
  <si>
    <t>Suporte Veicular Le-010</t>
  </si>
  <si>
    <t>xerox preta</t>
  </si>
  <si>
    <t>samsung A04E</t>
  </si>
  <si>
    <t>Caneca starnley</t>
  </si>
  <si>
    <t>ruiva</t>
  </si>
  <si>
    <t>Balança de mala</t>
  </si>
  <si>
    <t>francisco chaveiro</t>
  </si>
  <si>
    <t xml:space="preserve">professor </t>
  </si>
  <si>
    <t>Carregador Spartan V8  Leo</t>
  </si>
  <si>
    <t>Serrat</t>
  </si>
  <si>
    <t>Pelicula 3d</t>
  </si>
  <si>
    <t>cliente</t>
  </si>
  <si>
    <t>impressao colorida</t>
  </si>
  <si>
    <t>cpf</t>
  </si>
  <si>
    <t>ring light</t>
  </si>
  <si>
    <t>Helena loja</t>
  </si>
  <si>
    <t>tapete veicular</t>
  </si>
  <si>
    <t xml:space="preserve">MRV </t>
  </si>
  <si>
    <t>Impressao colorida</t>
  </si>
  <si>
    <t>Cabo Auxiliar P2 Kingo</t>
  </si>
  <si>
    <t>Sue Gomes</t>
  </si>
  <si>
    <t>Adaptador tipo c para usb</t>
  </si>
  <si>
    <t>sara</t>
  </si>
  <si>
    <t>Caixa de som JBL GO3</t>
  </si>
  <si>
    <t>Cliente Jefin</t>
  </si>
  <si>
    <t>Carregador Completo Spartan 3 V8 Cw-Xg20-V8</t>
  </si>
  <si>
    <t>Carregador Veicular Inova Tc</t>
  </si>
  <si>
    <t>Samsung A51</t>
  </si>
  <si>
    <t>Danni</t>
  </si>
  <si>
    <t xml:space="preserve">Cartão De Memoria 16Gb </t>
  </si>
  <si>
    <t>Feira</t>
  </si>
  <si>
    <t>Cabo iphone 20w</t>
  </si>
  <si>
    <t>Sonia</t>
  </si>
  <si>
    <t>Carteira Pequena</t>
  </si>
  <si>
    <t>Digitalização</t>
  </si>
  <si>
    <t>lapela tipoc</t>
  </si>
  <si>
    <t>izabella</t>
  </si>
  <si>
    <t>Mini liquidificado max</t>
  </si>
  <si>
    <t>Cabo Hmaster Tpc 4.8A</t>
  </si>
  <si>
    <t>Smartwatch Colmi-P71</t>
  </si>
  <si>
    <t>Fone Bluetooth lehmox LEF-Y90</t>
  </si>
  <si>
    <t>Kaven Instagram</t>
  </si>
  <si>
    <t>Caixa De Som Ws-887</t>
  </si>
  <si>
    <t>Controle gamepad com-7436</t>
  </si>
  <si>
    <t>Fone m10</t>
  </si>
  <si>
    <t>Carregador cabeça 20w</t>
  </si>
  <si>
    <t>LUIZ</t>
  </si>
  <si>
    <t>Mateus Franco Leão</t>
  </si>
  <si>
    <t>Delícias Da Vanusa</t>
  </si>
  <si>
    <t>Suporte Veicular b-max BMG-07</t>
  </si>
  <si>
    <t xml:space="preserve">lia </t>
  </si>
  <si>
    <t xml:space="preserve">Faca cutelo </t>
  </si>
  <si>
    <t>Ghilherme</t>
  </si>
  <si>
    <t>cnpj</t>
  </si>
  <si>
    <t>chip recarregado</t>
  </si>
  <si>
    <t>Jogos PS2</t>
  </si>
  <si>
    <t>Adaptador p2 tipo c</t>
  </si>
  <si>
    <t>Computadores</t>
  </si>
  <si>
    <t>loira bazar</t>
  </si>
  <si>
    <t>mae karol</t>
  </si>
  <si>
    <t>Cliente Gian</t>
  </si>
  <si>
    <t>Zilda</t>
  </si>
  <si>
    <t>senhor loja</t>
  </si>
  <si>
    <t>Venda PC</t>
  </si>
  <si>
    <t>Lousa Magica 12Pol NOVO</t>
  </si>
  <si>
    <t>Envelope A4</t>
  </si>
  <si>
    <t>A10</t>
  </si>
  <si>
    <t>cacheados</t>
  </si>
  <si>
    <t>Chip normal</t>
  </si>
  <si>
    <t>alexandre</t>
  </si>
  <si>
    <t>Caixa de som D-G113</t>
  </si>
  <si>
    <t>Ygor Barbosa</t>
  </si>
  <si>
    <t>Acendedo de plasma</t>
  </si>
  <si>
    <t>wn celulares</t>
  </si>
  <si>
    <t>Climatizador Utra Air Cooler ali</t>
  </si>
  <si>
    <t>Carregador completo tipoc LE-285CC</t>
  </si>
  <si>
    <t>max MVB</t>
  </si>
  <si>
    <t>Cabo Hdmi 4M</t>
  </si>
  <si>
    <t>Hub 7 portas 2.0</t>
  </si>
  <si>
    <t>Abraçadeira 5x250mm 50un</t>
  </si>
  <si>
    <t>suporte gancho adesivo</t>
  </si>
  <si>
    <t>ale</t>
  </si>
  <si>
    <t>chip normal</t>
  </si>
  <si>
    <t>Adaptador MICRO SD</t>
  </si>
  <si>
    <t>Chapeu cowboy</t>
  </si>
  <si>
    <t>Thauanny Vanessa</t>
  </si>
  <si>
    <t>Bala trufada</t>
  </si>
  <si>
    <t>celular</t>
  </si>
  <si>
    <t>Ghilherme ferreira</t>
  </si>
  <si>
    <t>Cabo verde</t>
  </si>
  <si>
    <t>Climatizador Utra Air Cooler novo</t>
  </si>
  <si>
    <t>Cabeça carregador 3.1a ka-5601</t>
  </si>
  <si>
    <t>gordinha sex</t>
  </si>
  <si>
    <t>Kit completo carregador 20w</t>
  </si>
  <si>
    <t>Arma de hidrogel AR15</t>
  </si>
  <si>
    <t>Guilherme dutra</t>
  </si>
  <si>
    <t>mae sindico</t>
  </si>
  <si>
    <t>Fone redmi branco</t>
  </si>
  <si>
    <t>Mauro</t>
  </si>
  <si>
    <t>Tela Mosquito  Leo</t>
  </si>
  <si>
    <t xml:space="preserve">cliente pc </t>
  </si>
  <si>
    <t>Mini antena digital</t>
  </si>
  <si>
    <t>Dinheiro emprestao</t>
  </si>
  <si>
    <t/>
  </si>
  <si>
    <t>Aspirador de carro sem fios</t>
  </si>
  <si>
    <t>joao celular</t>
  </si>
  <si>
    <t>Relogio prata</t>
  </si>
  <si>
    <t>Filho Serrat</t>
  </si>
  <si>
    <t>Gravação de musica</t>
  </si>
  <si>
    <t>Cabo USB x USB</t>
  </si>
  <si>
    <t>Caixa de som AL-3639</t>
  </si>
  <si>
    <t>Antoniael</t>
  </si>
  <si>
    <t>Priscila</t>
  </si>
  <si>
    <t>NILO</t>
  </si>
  <si>
    <t>Licha de unhas</t>
  </si>
  <si>
    <t xml:space="preserve">Kit Porta Detergente Dispense Com Bucha Louça  </t>
  </si>
  <si>
    <t>Bateria 2032</t>
  </si>
  <si>
    <t>Case HD externo</t>
  </si>
  <si>
    <t>SSD 128gb ali</t>
  </si>
  <si>
    <t>Bruno</t>
  </si>
  <si>
    <t>Pirulito bigbig</t>
  </si>
  <si>
    <t>Adaptador Wifi 2.5G Antena MS</t>
  </si>
  <si>
    <t>hugo Som</t>
  </si>
  <si>
    <t>venda Celular</t>
  </si>
  <si>
    <t>higor</t>
  </si>
  <si>
    <t>Super. Cola 3G Leo</t>
  </si>
  <si>
    <t>nildo</t>
  </si>
  <si>
    <t>francisco</t>
  </si>
  <si>
    <t>matheus impressao</t>
  </si>
  <si>
    <t>Fone redmi vermelho</t>
  </si>
  <si>
    <t>Fone Pmcell Fo-15</t>
  </si>
  <si>
    <t>Cliente roberto carlos</t>
  </si>
  <si>
    <t>cliente nilo</t>
  </si>
  <si>
    <t>Bolinhas hidrogel</t>
  </si>
  <si>
    <t>mae hugo</t>
  </si>
  <si>
    <t>Pistola de bolhas de sabao</t>
  </si>
  <si>
    <t xml:space="preserve">Cabo displayport </t>
  </si>
  <si>
    <t>Extensao 12 portas</t>
  </si>
  <si>
    <t>Alexandre</t>
  </si>
  <si>
    <t>Fone de ouvido m10</t>
  </si>
  <si>
    <t>mae carol</t>
  </si>
  <si>
    <t>Rafael amigo</t>
  </si>
  <si>
    <t>pilha R6 AAA</t>
  </si>
  <si>
    <t>Fone De Ouvido Lelong Le-02</t>
  </si>
  <si>
    <t>Gustavo projeçao</t>
  </si>
  <si>
    <t>Powerbank 20k gold</t>
  </si>
  <si>
    <t>elvis</t>
  </si>
  <si>
    <t>Globo de luz  sem controle</t>
  </si>
  <si>
    <t>cliente caio</t>
  </si>
  <si>
    <t>amigo rafael</t>
  </si>
  <si>
    <t>Cliente mateus</t>
  </si>
  <si>
    <t>escova de cabelos</t>
  </si>
  <si>
    <t>Capa de chuva</t>
  </si>
  <si>
    <t>Cabo v8 4.8 max H72-1</t>
  </si>
  <si>
    <t>Gheisa</t>
  </si>
  <si>
    <t>Cabo Inova Tc Cbo-12223</t>
  </si>
  <si>
    <t>capinha</t>
  </si>
  <si>
    <t>Bala Café</t>
  </si>
  <si>
    <t>Cliente Washington Lima</t>
  </si>
  <si>
    <t>estençao 5m</t>
  </si>
  <si>
    <t>serrat</t>
  </si>
  <si>
    <t>Pisca pisca vermelho 100 leds</t>
  </si>
  <si>
    <t>Mae hugo</t>
  </si>
  <si>
    <t>Enfeite de natal verde</t>
  </si>
  <si>
    <t>Vestido longo</t>
  </si>
  <si>
    <t>Caixa de som reddragon pc</t>
  </si>
  <si>
    <t>Fabiana lopes</t>
  </si>
  <si>
    <t>hdmi multilaser</t>
  </si>
  <si>
    <t>Isqueiro auto</t>
  </si>
  <si>
    <t>sul joias</t>
  </si>
  <si>
    <t>marmita</t>
  </si>
  <si>
    <t>pisca pisca planta</t>
  </si>
  <si>
    <t>luvinhas dedo N</t>
  </si>
  <si>
    <t>Memoria DDR3l 8gb</t>
  </si>
  <si>
    <t>andarilhos</t>
  </si>
  <si>
    <t>irmao</t>
  </si>
  <si>
    <t>Fonte Usb Spartan</t>
  </si>
  <si>
    <t>Pisca pisca arroz 100 leds</t>
  </si>
  <si>
    <t>Curtina pisca pisca</t>
  </si>
  <si>
    <t>Lâmpada Festa Dupla Crs2250</t>
  </si>
  <si>
    <t>Cliente Tayssa</t>
  </si>
  <si>
    <t>Cabo Colorido v8 1M</t>
  </si>
  <si>
    <t xml:space="preserve">HD 500 </t>
  </si>
  <si>
    <t>Projetor hd mn-29990</t>
  </si>
  <si>
    <t>Cliente Projeto Rubens</t>
  </si>
  <si>
    <t>bruna pontes</t>
  </si>
  <si>
    <t>Cliente mateus impressao</t>
  </si>
  <si>
    <t xml:space="preserve">Rodo Esfregão Spray Mop Magico Limpeza Com Reservatório 300ml </t>
  </si>
  <si>
    <t>SSD 220gb</t>
  </si>
  <si>
    <t>Senhor relogio</t>
  </si>
  <si>
    <t>Cliente Fernando Fonseca</t>
  </si>
  <si>
    <t>Cliente andreia pc</t>
  </si>
  <si>
    <t>fonte universal</t>
  </si>
  <si>
    <t>SSD 120gb DF</t>
  </si>
  <si>
    <t>carregador tipo C 50w</t>
  </si>
  <si>
    <t>cliente maria</t>
  </si>
  <si>
    <t>Cliente Pendrive Fatima</t>
  </si>
  <si>
    <t>Pendrive 16gb AL-U-16</t>
  </si>
  <si>
    <t>Pendrive 64gb AL-U-16</t>
  </si>
  <si>
    <t>T 3 Pontas</t>
  </si>
  <si>
    <t>Cabo usb EXTENSOR</t>
  </si>
  <si>
    <t>sah</t>
  </si>
  <si>
    <t>Pilha Alcalina flex AAA</t>
  </si>
  <si>
    <t xml:space="preserve">cabo de força </t>
  </si>
  <si>
    <t xml:space="preserve">Caixinha de som d3142 </t>
  </si>
  <si>
    <t>kit mouse e teclado sem fio k4</t>
  </si>
  <si>
    <t>Ray p7</t>
  </si>
  <si>
    <t>caixinha de som AL-1115</t>
  </si>
  <si>
    <t>ANDRE</t>
  </si>
  <si>
    <t xml:space="preserve">Carregador tipo c 67 w </t>
  </si>
  <si>
    <t>teinha</t>
  </si>
  <si>
    <t>Internet</t>
  </si>
  <si>
    <t>Magdar</t>
  </si>
  <si>
    <t>Adaptador bluetooth</t>
  </si>
  <si>
    <t>Mouse com fio IN-20055</t>
  </si>
  <si>
    <t>cliente samuel antigo</t>
  </si>
  <si>
    <t>Teclado usb vx pro Simples</t>
  </si>
  <si>
    <t>Miniteclado Tv Box</t>
  </si>
  <si>
    <t>Arminha de gel mp7</t>
  </si>
  <si>
    <t>Smartwhat zw36</t>
  </si>
  <si>
    <t>Mouse gamer 01</t>
  </si>
  <si>
    <t>Fonte 12v</t>
  </si>
  <si>
    <t>Fisica</t>
  </si>
  <si>
    <t>adaptador bluetooth</t>
  </si>
  <si>
    <t>cliente israel</t>
  </si>
  <si>
    <t xml:space="preserve">Controle wireless gamepad alto-4w </t>
  </si>
  <si>
    <t>luvinha de dedo</t>
  </si>
  <si>
    <t>Cliente Impressão João Pedro</t>
  </si>
  <si>
    <t>Cliente Pc Ronei</t>
  </si>
  <si>
    <t>chip com recarga</t>
  </si>
  <si>
    <t>manutençao</t>
  </si>
  <si>
    <t>PILHA FLEX AAA</t>
  </si>
  <si>
    <t>Cabo auxiliar p2 LE-804</t>
  </si>
  <si>
    <t>RELOGIO</t>
  </si>
  <si>
    <t>senhor</t>
  </si>
  <si>
    <t>Carregador tipo c 4.1 LE-497</t>
  </si>
  <si>
    <t>fernando</t>
  </si>
  <si>
    <t>Fonte notebook grasep</t>
  </si>
  <si>
    <t>Diretora higor</t>
  </si>
  <si>
    <t>Escova magica</t>
  </si>
  <si>
    <t>leandro</t>
  </si>
  <si>
    <t>Suporte Moto Le-030D</t>
  </si>
  <si>
    <t>Mouse com fio exbom MD-9</t>
  </si>
  <si>
    <t>naiane</t>
  </si>
  <si>
    <t>Jogo C 2 Canecas Vidro Chopp 480Ml</t>
  </si>
  <si>
    <t>caixa de som kts-1576</t>
  </si>
  <si>
    <t>max</t>
  </si>
  <si>
    <t>PILHA SULYC AAA</t>
  </si>
  <si>
    <t>Cabo Kingo Iphone 2M Leo</t>
  </si>
  <si>
    <t xml:space="preserve">lamapada 40w </t>
  </si>
  <si>
    <t>Karol G</t>
  </si>
  <si>
    <t>Manutençao</t>
  </si>
  <si>
    <t>Adaptador Wifi 2.5G</t>
  </si>
  <si>
    <t>Fone de ouvido gamr q0008</t>
  </si>
  <si>
    <t>Tauan</t>
  </si>
  <si>
    <t>Aguardando</t>
  </si>
  <si>
    <t>Memoria</t>
  </si>
  <si>
    <t>senhora feira</t>
  </si>
  <si>
    <t>Cliente tabela</t>
  </si>
  <si>
    <t>fita dupla face</t>
  </si>
  <si>
    <t>loja senhor</t>
  </si>
  <si>
    <t>marcelo pai</t>
  </si>
  <si>
    <t>Fone Simples</t>
  </si>
  <si>
    <t>cliente viviane</t>
  </si>
  <si>
    <t>Fonte pc 200w</t>
  </si>
  <si>
    <t>filtro de linha 7</t>
  </si>
  <si>
    <t>Fone Iphone Hmaster Ej-56</t>
  </si>
  <si>
    <t>Cabo v3</t>
  </si>
  <si>
    <t>Tio Fernando</t>
  </si>
  <si>
    <t>Caddy</t>
  </si>
  <si>
    <t>cabeleiro treta</t>
  </si>
  <si>
    <t>gata ruiva</t>
  </si>
  <si>
    <t>brunno</t>
  </si>
  <si>
    <t>Pendrive 8gb</t>
  </si>
  <si>
    <t>Carregador tipo C LE-484</t>
  </si>
  <si>
    <t>Cabo automotivo</t>
  </si>
  <si>
    <t>Vici Sindico</t>
  </si>
  <si>
    <t>Controle tv universal</t>
  </si>
  <si>
    <t>Cliente pc luiz</t>
  </si>
  <si>
    <t>Camera ip BM-IP170</t>
  </si>
  <si>
    <t>Cliente Jheff</t>
  </si>
  <si>
    <t>cordao simples cracha</t>
  </si>
  <si>
    <t>jogo ps2</t>
  </si>
  <si>
    <t>Tv box 5g</t>
  </si>
  <si>
    <t>Triturador de alimentos manual grande</t>
  </si>
  <si>
    <t>Teaser Azul</t>
  </si>
  <si>
    <t>cabo de dados v8 kapbom kap 1mV8</t>
  </si>
  <si>
    <t>Luna otica</t>
  </si>
  <si>
    <t>cadeado medio</t>
  </si>
  <si>
    <t>Caixa de som Grasep D-S4145</t>
  </si>
  <si>
    <t>PJ</t>
  </si>
  <si>
    <t>Fire TV Stick</t>
  </si>
  <si>
    <t>Cliente LUKMAN🏅</t>
  </si>
  <si>
    <t>Cabo RCA</t>
  </si>
  <si>
    <t>cunhada</t>
  </si>
  <si>
    <t xml:space="preserve">Canivete multifuncional </t>
  </si>
  <si>
    <t>Chave Tork 8Pçs Lst08</t>
  </si>
  <si>
    <t>gian</t>
  </si>
  <si>
    <t>Carregador por indução 15w</t>
  </si>
  <si>
    <t xml:space="preserve">Suporte veicular </t>
  </si>
  <si>
    <t>smartwatch s2</t>
  </si>
  <si>
    <t>Cliente Cesar Augusto</t>
  </si>
  <si>
    <t>relogio</t>
  </si>
  <si>
    <t>Aspirador 95000pa</t>
  </si>
  <si>
    <t>Lanchonete</t>
  </si>
  <si>
    <t>Pendrive lenovo 16gb</t>
  </si>
  <si>
    <t>boneco Lego</t>
  </si>
  <si>
    <t>Lanchonete 13</t>
  </si>
  <si>
    <t>Cabo hdmi</t>
  </si>
  <si>
    <t>cliente codhab</t>
  </si>
  <si>
    <t>Controle Rossi quadrado</t>
  </si>
  <si>
    <t xml:space="preserve">loja </t>
  </si>
  <si>
    <t>kadu</t>
  </si>
  <si>
    <t>cabo iphonehb10-2 Iphone</t>
  </si>
  <si>
    <t>Cliente Luva Olliver</t>
  </si>
  <si>
    <t xml:space="preserve">bluetooth USB 5.0 </t>
  </si>
  <si>
    <t>Cliente Placa Mãe Felipe</t>
  </si>
  <si>
    <t>lanchonete</t>
  </si>
  <si>
    <t>Mini Caixa De Som Cs2C</t>
  </si>
  <si>
    <t>Porta cracha completo</t>
  </si>
  <si>
    <t>lego pequeno</t>
  </si>
  <si>
    <t>Cabo Colorido 2 Metros V8</t>
  </si>
  <si>
    <t>Climatizador Bommxax Pro</t>
  </si>
  <si>
    <t>val manicure</t>
  </si>
  <si>
    <t>cabo iphonehb10-3 tipo c</t>
  </si>
  <si>
    <t>maura</t>
  </si>
  <si>
    <t>Fone de ouvido inova FON-30063</t>
  </si>
  <si>
    <t>switch 24 portas</t>
  </si>
  <si>
    <t>raquel 604</t>
  </si>
  <si>
    <t>meninos</t>
  </si>
  <si>
    <t>Pc dell completo ssd 240 monitor 20ppl</t>
  </si>
  <si>
    <t xml:space="preserve">cliente Michael Moura </t>
  </si>
  <si>
    <t>Carregador lehmox 5.1 LE-82</t>
  </si>
  <si>
    <t>lego pequeno Grande</t>
  </si>
  <si>
    <t>Climatizador onistek</t>
  </si>
  <si>
    <t>Pc Lenovo i7 completo monitor 19ppl</t>
  </si>
  <si>
    <t>MARCOS PORTELA</t>
  </si>
  <si>
    <t>biscoito mae Grande</t>
  </si>
  <si>
    <t>biscoito mae Pequeno</t>
  </si>
  <si>
    <t>mouse b-max</t>
  </si>
  <si>
    <t>kit chaves 6024A</t>
  </si>
  <si>
    <t>Cliente Dayane Evangelista</t>
  </si>
  <si>
    <t>Cliente Jeisson Máquina De Cabelo</t>
  </si>
  <si>
    <t>Amendoin doce</t>
  </si>
  <si>
    <t>Colegio 604</t>
  </si>
  <si>
    <t>unitv v10</t>
  </si>
  <si>
    <t>francisca lanchonete</t>
  </si>
  <si>
    <t>Cliente Manoel G Sousa</t>
  </si>
  <si>
    <t>taser azul</t>
  </si>
  <si>
    <t>cabo tipo c</t>
  </si>
  <si>
    <t>Cooler Fan G-VR332</t>
  </si>
  <si>
    <t>brunno irmao</t>
  </si>
  <si>
    <t>amassador de alhos</t>
  </si>
  <si>
    <t>bolinhos da mamae</t>
  </si>
  <si>
    <t>cesto de inox penenira</t>
  </si>
  <si>
    <t>Carregador veicular simples</t>
  </si>
  <si>
    <t>cabo de rede 1m</t>
  </si>
  <si>
    <t>carregador veicular 2usb cw-c2</t>
  </si>
  <si>
    <t>instant headache gel</t>
  </si>
  <si>
    <t>pente de cabelo redondo</t>
  </si>
  <si>
    <t xml:space="preserve">Porta Retrato Duplo Te Amo De Plástico 10x15 Cm Colors </t>
  </si>
  <si>
    <t>porta cartao</t>
  </si>
  <si>
    <t>camera bocal</t>
  </si>
  <si>
    <t>chaleira plastica 1.8l</t>
  </si>
  <si>
    <t>pelicula de privacidade</t>
  </si>
  <si>
    <t>hub usb 2.0 4 portas</t>
  </si>
  <si>
    <t>Powerbank 10000 BTE-084</t>
  </si>
  <si>
    <t>durex</t>
  </si>
  <si>
    <t xml:space="preserve">otg tipoc para ubs </t>
  </si>
  <si>
    <t>carregador 20w completo</t>
  </si>
  <si>
    <t>fone de ouvido tipo-c kapbom</t>
  </si>
  <si>
    <t>teclado hayon tc3201</t>
  </si>
  <si>
    <t>pendrive 8gb</t>
  </si>
  <si>
    <t>cartao de memoria tfmicrosd 64gb</t>
  </si>
  <si>
    <t>cartao de memoria tfmicrosd 32gb</t>
  </si>
  <si>
    <t>Ralador Panela Leo</t>
  </si>
  <si>
    <t>Ralador 6 In 1 Mandolina Multilaminas Leo</t>
  </si>
  <si>
    <t>Relogio parede redondo</t>
  </si>
  <si>
    <t>bateria 2032 sony</t>
  </si>
  <si>
    <t xml:space="preserve">realmi c61 </t>
  </si>
  <si>
    <t>lanterna taser</t>
  </si>
  <si>
    <t>lampada mata mosquito</t>
  </si>
  <si>
    <t>calculadora simples</t>
  </si>
  <si>
    <t>carregador 20w</t>
  </si>
  <si>
    <t xml:space="preserve">bateria 27a </t>
  </si>
  <si>
    <t>Carregador induçao relogio</t>
  </si>
  <si>
    <t xml:space="preserve">Fonte dell original </t>
  </si>
  <si>
    <t>Cliente Mikaela Monteiro</t>
  </si>
  <si>
    <t>PAI DIEGO</t>
  </si>
  <si>
    <t>GIAN</t>
  </si>
  <si>
    <t>Suporte de Tv Simples</t>
  </si>
  <si>
    <t>Cartinha</t>
  </si>
  <si>
    <t>jogo de xbox</t>
  </si>
  <si>
    <t>lego</t>
  </si>
  <si>
    <t>bateria 2025</t>
  </si>
  <si>
    <t>val</t>
  </si>
  <si>
    <t xml:space="preserve">memory card </t>
  </si>
  <si>
    <t>combi</t>
  </si>
  <si>
    <t>bola inflavel</t>
  </si>
  <si>
    <t>Corrente 100X2,2 Try5860</t>
  </si>
  <si>
    <t>LAXASFIT 2024 Relógio inteligente</t>
  </si>
  <si>
    <t>Manu colegio</t>
  </si>
  <si>
    <t>boneco agua</t>
  </si>
  <si>
    <t>lanterna de cabeça</t>
  </si>
  <si>
    <t>lanterna tomada</t>
  </si>
  <si>
    <t>card</t>
  </si>
  <si>
    <t>bobbie goods card</t>
  </si>
  <si>
    <t>domino</t>
  </si>
  <si>
    <t>bobbie goods caderno</t>
  </si>
  <si>
    <t>card caixa 50</t>
  </si>
  <si>
    <t>chaveiro carinha</t>
  </si>
  <si>
    <t>m.2 240 gb</t>
  </si>
  <si>
    <t>edimais</t>
  </si>
  <si>
    <t xml:space="preserve">camera ip dupla </t>
  </si>
  <si>
    <t>elza</t>
  </si>
  <si>
    <t>mak</t>
  </si>
  <si>
    <t>karol g</t>
  </si>
  <si>
    <t>futura esposa</t>
  </si>
  <si>
    <t xml:space="preserve">adaptador usb - para p2 </t>
  </si>
  <si>
    <t>capa space</t>
  </si>
  <si>
    <t>kit cortador de unhas pequeno</t>
  </si>
  <si>
    <t>Adaptador Wifi 5G</t>
  </si>
  <si>
    <t>Calculadora 12 Dígitos Crs8585</t>
  </si>
  <si>
    <t>feicenter</t>
  </si>
  <si>
    <t>pilha AAA</t>
  </si>
  <si>
    <t>Boneco Lego</t>
  </si>
  <si>
    <t xml:space="preserve">adaptador iphone para p2 </t>
  </si>
  <si>
    <t>capinha simples</t>
  </si>
  <si>
    <t>manutençao Celular</t>
  </si>
  <si>
    <t>Capa A Prova D'Água</t>
  </si>
  <si>
    <t>cordao cracha</t>
  </si>
  <si>
    <t>Chaveiros lili</t>
  </si>
  <si>
    <t>Cliente Silvânia</t>
  </si>
  <si>
    <t>jogos ps2</t>
  </si>
  <si>
    <t>cliente ronaldo arauo</t>
  </si>
  <si>
    <t>alicate bico fino</t>
  </si>
  <si>
    <t>kaleb</t>
  </si>
  <si>
    <t>santa</t>
  </si>
  <si>
    <t>cabo extensor usb</t>
  </si>
  <si>
    <t>Daniel</t>
  </si>
  <si>
    <t>samuel</t>
  </si>
  <si>
    <t>Danilo</t>
  </si>
  <si>
    <t>BRINQUEDO emoj</t>
  </si>
  <si>
    <t>danilo</t>
  </si>
  <si>
    <t>ssd 240gb</t>
  </si>
  <si>
    <t>Marcello</t>
  </si>
  <si>
    <t>Pc lenovo</t>
  </si>
  <si>
    <t>brinquedo alvo</t>
  </si>
  <si>
    <t>Card</t>
  </si>
  <si>
    <t>Bateria 27a</t>
  </si>
  <si>
    <t>luiz som</t>
  </si>
  <si>
    <t>cabo iphone 20w</t>
  </si>
  <si>
    <t>brinquedo mola</t>
  </si>
  <si>
    <t>Adaptador dvi para hdmi</t>
  </si>
  <si>
    <t>cartinha</t>
  </si>
  <si>
    <t>carregador universal</t>
  </si>
  <si>
    <t>SSD 120gb</t>
  </si>
  <si>
    <t>canddy</t>
  </si>
  <si>
    <t>gatilho para celular</t>
  </si>
  <si>
    <t>Suporte celular veicular</t>
  </si>
  <si>
    <t>Cabo tipo C</t>
  </si>
  <si>
    <t>adaptador v8 para tipo c</t>
  </si>
  <si>
    <t>carregador v8</t>
  </si>
  <si>
    <t>rafael</t>
  </si>
  <si>
    <t>lego ali</t>
  </si>
  <si>
    <t>aisha</t>
  </si>
  <si>
    <t>Dionisio</t>
  </si>
  <si>
    <t>cartao de memoria 32gb</t>
  </si>
  <si>
    <t>manu</t>
  </si>
  <si>
    <t>a</t>
  </si>
  <si>
    <t>deborah</t>
  </si>
  <si>
    <t>Ivonilde</t>
  </si>
  <si>
    <t>bateria x550c</t>
  </si>
  <si>
    <t>teclado x550c</t>
  </si>
  <si>
    <t>carregador x550c</t>
  </si>
  <si>
    <t>fone blu</t>
  </si>
  <si>
    <t>fone simples</t>
  </si>
  <si>
    <t>manutençao Computador</t>
  </si>
  <si>
    <t>cabo iphone2metros</t>
  </si>
  <si>
    <t>Gata</t>
  </si>
  <si>
    <t>multimetro amarelo</t>
  </si>
  <si>
    <t>jhonatan shopee</t>
  </si>
  <si>
    <t>daniel</t>
  </si>
  <si>
    <t>fita durex</t>
  </si>
  <si>
    <t>fonte 5v</t>
  </si>
  <si>
    <t>fone de ouvido</t>
  </si>
  <si>
    <t>fonte 12v</t>
  </si>
  <si>
    <t>cabo iphone</t>
  </si>
  <si>
    <t>day</t>
  </si>
  <si>
    <t>francisca</t>
  </si>
  <si>
    <t>Pendrive 32gb</t>
  </si>
  <si>
    <t>Máquina De Cabelo Dragão kenel</t>
  </si>
  <si>
    <t>esqueiro</t>
  </si>
  <si>
    <t>Climatizador duplo</t>
  </si>
  <si>
    <t>kit 10 jogos ps2</t>
  </si>
  <si>
    <t>Cheirinho para Carro Harts by Hungria</t>
  </si>
  <si>
    <t>Capa RG</t>
  </si>
  <si>
    <t>Tv box unittv</t>
  </si>
  <si>
    <t>barbeador animal</t>
  </si>
  <si>
    <t>tiktok</t>
  </si>
  <si>
    <t>Lâmpada de sinalização de</t>
  </si>
  <si>
    <t>Kemei maquina de barbear 4 in 1</t>
  </si>
  <si>
    <t xml:space="preserve">Estilingue Luz de Led </t>
  </si>
  <si>
    <t xml:space="preserve">Hand Grip Flexor </t>
  </si>
  <si>
    <t>Kit 10 Jogos PS2</t>
  </si>
  <si>
    <t>Máquina De Tosa</t>
  </si>
  <si>
    <t>carregadro tipo c</t>
  </si>
  <si>
    <t>lantern pequena</t>
  </si>
  <si>
    <t>Cabo de iphone</t>
  </si>
  <si>
    <t>val p</t>
  </si>
  <si>
    <t>kit 3 jogo de xbox</t>
  </si>
  <si>
    <t>Gravação de Jogos PS2</t>
  </si>
  <si>
    <t>251024UFEQ5C37</t>
  </si>
  <si>
    <t>251023SA4CE2K2</t>
  </si>
  <si>
    <t>251023S43AH3PT</t>
  </si>
  <si>
    <t>2510250T39QW0M</t>
  </si>
  <si>
    <t>251022QW8WRWC1</t>
  </si>
  <si>
    <t>2510263XS7F3J5</t>
  </si>
  <si>
    <t>2510265F9DN9NR</t>
  </si>
  <si>
    <t>2510265HBSHQD7</t>
  </si>
  <si>
    <t>1 Par Alto 1 Par Alto Falante Evok 6x9 280rms</t>
  </si>
  <si>
    <t>2510276H79S327</t>
  </si>
  <si>
    <t>251028AN3589SG</t>
  </si>
  <si>
    <t>25102890QMSA50</t>
  </si>
  <si>
    <t>suporte de celular articulado</t>
  </si>
  <si>
    <t>251029D5F5A0CC</t>
  </si>
  <si>
    <t>Par De Super Tweeter Evok Ste 400</t>
  </si>
  <si>
    <t>251030D9DEWAE9</t>
  </si>
  <si>
    <t>kit 20 jogos ps2</t>
  </si>
  <si>
    <t>251030F8S9STWN</t>
  </si>
  <si>
    <t>cabo display porte para displeyport</t>
  </si>
  <si>
    <t>isqueiro</t>
  </si>
  <si>
    <t>Jogos ps2 leo</t>
  </si>
  <si>
    <t>251102NJ6SPH85</t>
  </si>
  <si>
    <t>1 Par Alto Falante Evok 6x9 280rms</t>
  </si>
  <si>
    <t>251102Q652RSH7</t>
  </si>
  <si>
    <t>Pen Drive Jogos Para PS2</t>
  </si>
  <si>
    <t>251102MYQY566D</t>
  </si>
  <si>
    <t>251103SHJAKJES</t>
  </si>
  <si>
    <t>memory Card 16mb</t>
  </si>
  <si>
    <t>evandrodo206</t>
  </si>
  <si>
    <t>fj5laf_w9t</t>
  </si>
  <si>
    <t>cabo iphonetipoc</t>
  </si>
  <si>
    <t>MID BASS 6X9MB250</t>
  </si>
  <si>
    <t>zelton.novais</t>
  </si>
  <si>
    <t>memory Card 32mb</t>
  </si>
  <si>
    <t>conversor avg - hdmi ps2</t>
  </si>
  <si>
    <t>micro sd 64gb</t>
  </si>
  <si>
    <t>micro sd 128gb</t>
  </si>
  <si>
    <t>cordao simples</t>
  </si>
  <si>
    <t>251114QWQKY6H0</t>
  </si>
  <si>
    <t>251113MACT2XDG</t>
  </si>
  <si>
    <t>251110C53YC34V</t>
  </si>
  <si>
    <t>bolinha de arminha</t>
  </si>
  <si>
    <t>geraldo</t>
  </si>
  <si>
    <t>placa de rede</t>
  </si>
  <si>
    <t>moden tplink</t>
  </si>
  <si>
    <t>cabo iphonelaranja</t>
  </si>
  <si>
    <t xml:space="preserve">cabo de força ps2 </t>
  </si>
  <si>
    <t>hd 320</t>
  </si>
  <si>
    <t>paulinho</t>
  </si>
  <si>
    <t>cartinha de dinheiro</t>
  </si>
  <si>
    <t>brinquedo mordida</t>
  </si>
  <si>
    <t>arvore de natal</t>
  </si>
  <si>
    <t>paulinha</t>
  </si>
  <si>
    <t>bateria 2025 sony</t>
  </si>
  <si>
    <t>cabo hdmi 10m</t>
  </si>
  <si>
    <t>Xiaomi bluetooth fones</t>
  </si>
  <si>
    <t>cabo iphonekingo</t>
  </si>
  <si>
    <t>guirlanda verde/branca</t>
  </si>
  <si>
    <t>Pisca pisca colorido</t>
  </si>
  <si>
    <t>arminha de gel</t>
  </si>
  <si>
    <t>251125N6D00GHN</t>
  </si>
  <si>
    <t>251126QTAS3SAR</t>
  </si>
  <si>
    <t>2511195SVS58WQ</t>
  </si>
  <si>
    <t xml:space="preserve">cabo kingo tipo c </t>
  </si>
  <si>
    <t>251127T0EUU1WM</t>
  </si>
  <si>
    <t>7550209518518535943</t>
  </si>
  <si>
    <t xml:space="preserve">cabo completo iphone </t>
  </si>
  <si>
    <t>cabo v8</t>
  </si>
  <si>
    <t xml:space="preserve">fone grande </t>
  </si>
  <si>
    <t>arvore de natal M</t>
  </si>
  <si>
    <t>uno</t>
  </si>
  <si>
    <t>eliane</t>
  </si>
  <si>
    <t>Controle Com Fio Compatível Com Playstation Ps2 Cor Preto</t>
  </si>
  <si>
    <t>2512016D13CT6U</t>
  </si>
  <si>
    <t>251204E2WQ3CR3</t>
  </si>
  <si>
    <t>25112819EYDS0J</t>
  </si>
  <si>
    <t>251208S746WPVS</t>
  </si>
  <si>
    <t>251208TBTU0JQX</t>
  </si>
  <si>
    <t>251208RNR5ABPX</t>
  </si>
  <si>
    <t>251206KWK4SX80</t>
  </si>
  <si>
    <t>251205JU4D091G</t>
  </si>
  <si>
    <t>Copo Térmico Cerveja</t>
  </si>
  <si>
    <t>25112811QMV818</t>
  </si>
  <si>
    <t>Memory Card Opl</t>
  </si>
  <si>
    <t>251204E6UDR503</t>
  </si>
  <si>
    <t>251204EPGA4ETC</t>
  </si>
  <si>
    <t>251205GCHYG20G</t>
  </si>
  <si>
    <t>Par Alto Falante Snake Pro ESV320 6 Polegada 320W RMS 4 Ohms</t>
  </si>
  <si>
    <t>251205HE7YTHM6</t>
  </si>
  <si>
    <t>Mini Máquina De Costura Manual Portátil De Mão Tecido</t>
  </si>
  <si>
    <t>251208SMPRG11A</t>
  </si>
  <si>
    <t>251208R3JYP1TD</t>
  </si>
  <si>
    <t>Protetor De Rg</t>
  </si>
  <si>
    <t>251207QQBN0Q1H</t>
  </si>
  <si>
    <t>micro SD 32gb</t>
  </si>
  <si>
    <t>Adaptador display  porte</t>
  </si>
  <si>
    <t xml:space="preserve">Guarda chuva </t>
  </si>
  <si>
    <t>pilha AA recarregavel</t>
  </si>
  <si>
    <t>Carregador pilhas recarregavel</t>
  </si>
  <si>
    <t>Cascata led - Fios de fada</t>
  </si>
  <si>
    <t xml:space="preserve">Francisco </t>
  </si>
  <si>
    <t>wisley</t>
  </si>
  <si>
    <t>memoria 4gb ddr2</t>
  </si>
  <si>
    <t>Pendrive gravada</t>
  </si>
  <si>
    <t>fone de ouvido pmcell</t>
  </si>
  <si>
    <t xml:space="preserve">baby good </t>
  </si>
  <si>
    <t>caneta 24 cores</t>
  </si>
  <si>
    <t>3 par evok 300w</t>
  </si>
  <si>
    <t>Cabo iphone</t>
  </si>
  <si>
    <t>cabo de força</t>
  </si>
  <si>
    <t>Vall</t>
  </si>
  <si>
    <t>bomba de pneu eletrico</t>
  </si>
  <si>
    <t>cabo de iphone</t>
  </si>
  <si>
    <t xml:space="preserve">cabo tipo c </t>
  </si>
  <si>
    <t xml:space="preserve">Boneco Lego </t>
  </si>
  <si>
    <t>raquete eletrica</t>
  </si>
  <si>
    <t xml:space="preserve">pc dell </t>
  </si>
  <si>
    <t>monitor dell</t>
  </si>
  <si>
    <t>carregadro veicular</t>
  </si>
  <si>
    <t>251217JA47THQU</t>
  </si>
  <si>
    <t>Usina Smart 200</t>
  </si>
  <si>
    <t>1733237725498345439</t>
  </si>
  <si>
    <t>MemoryCard 64mb</t>
  </si>
  <si>
    <t>Controle ps2 simples</t>
  </si>
  <si>
    <t>UniTV V10</t>
  </si>
  <si>
    <t>581764922242532626</t>
  </si>
  <si>
    <t>Bobby god card</t>
  </si>
  <si>
    <t>card 50</t>
  </si>
  <si>
    <t>Bobby god</t>
  </si>
  <si>
    <t>fone bluetooth</t>
  </si>
  <si>
    <t>bingo</t>
  </si>
  <si>
    <t>Adaptor hdmi ps2</t>
  </si>
  <si>
    <t>jogo de ps2</t>
  </si>
  <si>
    <t>Val pequena</t>
  </si>
  <si>
    <t>quebra cabeça</t>
  </si>
  <si>
    <t>Projetor hy320</t>
  </si>
  <si>
    <t>251226BB55U3C7</t>
  </si>
  <si>
    <t>251228GM6DF9FD</t>
  </si>
  <si>
    <t>Controle Com Fio Compatível Com Playstation Ps2</t>
  </si>
  <si>
    <t>251228GQAC35RE</t>
  </si>
  <si>
    <t xml:space="preserve">uno </t>
  </si>
  <si>
    <t>Slime</t>
  </si>
  <si>
    <t>brinquedo mole</t>
  </si>
  <si>
    <t>Par Tweeter Tweter Tuita Tuite Evok 400</t>
  </si>
  <si>
    <t>581881466757613048</t>
  </si>
  <si>
    <t>Coluna2</t>
  </si>
  <si>
    <t>Coluna1</t>
  </si>
  <si>
    <t>Carregador Completo Iphone 20W</t>
  </si>
  <si>
    <t>aguardando</t>
  </si>
  <si>
    <t>vall</t>
  </si>
  <si>
    <t>Cheirinho</t>
  </si>
  <si>
    <t>26010470HA378U</t>
  </si>
  <si>
    <t xml:space="preserve">Nterruptor De Controle Remoto </t>
  </si>
  <si>
    <t>2601057PDHKMGS</t>
  </si>
  <si>
    <t xml:space="preserve">Desentupidor </t>
  </si>
  <si>
    <t>26010322KX6CM7</t>
  </si>
  <si>
    <t>26010321EYMMGF</t>
  </si>
  <si>
    <t xml:space="preserve">Case 2.5 Hd </t>
  </si>
  <si>
    <t>26010330Y0QYCC</t>
  </si>
  <si>
    <t>boneca</t>
  </si>
  <si>
    <t>Restauraçao Dados</t>
  </si>
  <si>
    <t>Eliane</t>
  </si>
  <si>
    <t>Gravação De Musica</t>
  </si>
  <si>
    <t>aleatorio</t>
  </si>
  <si>
    <t>Boneco Lego Kit</t>
  </si>
  <si>
    <t>Durex</t>
  </si>
  <si>
    <t>Moeba</t>
  </si>
  <si>
    <t>Cheirinho Para Carro</t>
  </si>
  <si>
    <t>260113UN53PDB3</t>
  </si>
  <si>
    <t>Pen Drive Com 10 Jogos Para Ps2</t>
  </si>
  <si>
    <t>1732942733137053663</t>
  </si>
  <si>
    <t>Tiktok</t>
  </si>
  <si>
    <t>Protetor Documento</t>
  </si>
  <si>
    <t>26011533GTJVCC</t>
  </si>
  <si>
    <t>Kit Maçarico</t>
  </si>
  <si>
    <t>260115363HXRNS</t>
  </si>
  <si>
    <t>Lixa De Unha</t>
  </si>
  <si>
    <t>Chip Sem Recarga</t>
  </si>
  <si>
    <t>Brinquedo Arminha</t>
  </si>
  <si>
    <t>Caixa De Som Pc</t>
  </si>
  <si>
    <t>Bolinha De Gel</t>
  </si>
  <si>
    <t>Bleybleyd</t>
  </si>
  <si>
    <t>Fone P9</t>
  </si>
  <si>
    <t>brinquedo</t>
  </si>
  <si>
    <t>Cabo Colorido</t>
  </si>
  <si>
    <t>Cabo Iphone 20W</t>
  </si>
  <si>
    <t>Capinha Iphone</t>
  </si>
  <si>
    <t>Cabo De Força - 3 Pinos</t>
  </si>
  <si>
    <t>Arminha De Agua</t>
  </si>
  <si>
    <t>Opl 16 Mb</t>
  </si>
  <si>
    <t>Pendrive 32</t>
  </si>
  <si>
    <t>thuane</t>
  </si>
  <si>
    <t>Conversor Vga Para Hdmi</t>
  </si>
  <si>
    <t>Mouse Sem Fio</t>
  </si>
  <si>
    <t>260120HKJW21F6</t>
  </si>
  <si>
    <t>Tweeter Evok 400</t>
  </si>
  <si>
    <t>260120HW0K4N7G</t>
  </si>
  <si>
    <t>Kit 10 Jogos Ps2</t>
  </si>
  <si>
    <t>BONECA</t>
  </si>
  <si>
    <t>Chaveiro</t>
  </si>
  <si>
    <t>aysha</t>
  </si>
  <si>
    <t>Uno</t>
  </si>
  <si>
    <t>Jogo Ps2 Shopee</t>
  </si>
  <si>
    <t>26012501R0305B</t>
  </si>
  <si>
    <t>Coleção_4_Jogos_Ben_10_Ps2</t>
  </si>
  <si>
    <t>260125W10MYBA6</t>
  </si>
  <si>
    <t xml:space="preserve">Kit Com 10 Mini Fusível </t>
  </si>
  <si>
    <t>260123QKXEPFNT</t>
  </si>
  <si>
    <t>2601262EWM7HSQ</t>
  </si>
  <si>
    <t>26012643AWWXYN</t>
  </si>
  <si>
    <t>Unitv V10</t>
  </si>
  <si>
    <t>26012877ASXSW2</t>
  </si>
  <si>
    <t>26012879CE069S</t>
  </si>
  <si>
    <t>2601287HCSF395</t>
  </si>
  <si>
    <t>2601288URC8VEF</t>
  </si>
  <si>
    <t>Capinha Simples</t>
  </si>
  <si>
    <t>remdio</t>
  </si>
  <si>
    <t>Cartao Micro Sd 16Gb</t>
  </si>
  <si>
    <t>260131E6UQ7MER</t>
  </si>
  <si>
    <t>582355031501800714</t>
  </si>
  <si>
    <t>Suporte Veicular</t>
  </si>
  <si>
    <t xml:space="preserve">Lanterna </t>
  </si>
  <si>
    <t>260202KGB8PW0S</t>
  </si>
  <si>
    <t>260202KDJAYA04</t>
  </si>
  <si>
    <t>260202KB9XFY1F</t>
  </si>
  <si>
    <t>260201HUCC9A14</t>
  </si>
  <si>
    <t>260130BPA5UXQ0</t>
  </si>
  <si>
    <t>Jogos De Ps2</t>
  </si>
  <si>
    <t>Desentupidor</t>
  </si>
  <si>
    <t>260203QVC1NHGG</t>
  </si>
  <si>
    <t>260203PK6Y0A25</t>
  </si>
  <si>
    <t>260203PRHGUC97</t>
  </si>
  <si>
    <t>260203Q3C34DNC</t>
  </si>
  <si>
    <t>260203QJNTUWSC</t>
  </si>
  <si>
    <t>Cabo De Rede</t>
  </si>
  <si>
    <t>260205TXSABCRN</t>
  </si>
  <si>
    <t>260205TXVP1P5N</t>
  </si>
  <si>
    <t>Clauberto</t>
  </si>
  <si>
    <t>Cabo Vga</t>
  </si>
  <si>
    <t>260205UK2H546J</t>
  </si>
  <si>
    <t>2602060TRY2SPR</t>
  </si>
  <si>
    <t>26020619R29YC5</t>
  </si>
  <si>
    <t>2602061AFHRWQS</t>
  </si>
  <si>
    <t>Carregador lehmox tipo c</t>
  </si>
  <si>
    <t>adaptador hdmi ps2</t>
  </si>
  <si>
    <t>controle ps2</t>
  </si>
  <si>
    <t>2602087DYXN63P</t>
  </si>
  <si>
    <t>Cheirinho para Carro</t>
  </si>
  <si>
    <t>26020987RHU086</t>
  </si>
  <si>
    <t>francisco relogio</t>
  </si>
  <si>
    <t>aleatorio uber</t>
  </si>
  <si>
    <t>fone i12</t>
  </si>
  <si>
    <t>sarah</t>
  </si>
  <si>
    <t>2602098NVFCAP8</t>
  </si>
  <si>
    <t>carregador simples</t>
  </si>
  <si>
    <t>260211EY108RQH</t>
  </si>
  <si>
    <t>260211EVXGJHUB</t>
  </si>
  <si>
    <t>260212G46PXBNW</t>
  </si>
  <si>
    <t>260212G72M35W6</t>
  </si>
  <si>
    <t>260212G4R2W2EE</t>
  </si>
  <si>
    <t>cooles</t>
  </si>
  <si>
    <t>260213JQR733AV</t>
  </si>
  <si>
    <t>260213JDRSN8HV</t>
  </si>
  <si>
    <t>Total</t>
  </si>
  <si>
    <t>Produtos</t>
  </si>
  <si>
    <t>Compras</t>
  </si>
  <si>
    <t>Estoque</t>
  </si>
  <si>
    <t>Vendas</t>
  </si>
  <si>
    <t>valor</t>
  </si>
  <si>
    <t>MARCA</t>
  </si>
  <si>
    <t>MODELO</t>
  </si>
  <si>
    <t>Q</t>
  </si>
  <si>
    <t>Adaptador Bluetooth</t>
  </si>
  <si>
    <t>IPHONE</t>
  </si>
  <si>
    <t>Iphone 14 PRO MAX</t>
  </si>
  <si>
    <t>Adaptador Ios P2</t>
  </si>
  <si>
    <t>Iphone 15</t>
  </si>
  <si>
    <t>Adaptador Micro Sd</t>
  </si>
  <si>
    <t>Iphone 15 PRO MAX</t>
  </si>
  <si>
    <t>Adaptador P2 - P10</t>
  </si>
  <si>
    <t>MOTOROLA</t>
  </si>
  <si>
    <t>G14</t>
  </si>
  <si>
    <t>Adaptador P2 Tipo C</t>
  </si>
  <si>
    <t>MOTO edge 30 neo</t>
  </si>
  <si>
    <t>Adaptador P3X2 - P2</t>
  </si>
  <si>
    <t xml:space="preserve">MOTO G30	</t>
  </si>
  <si>
    <t>Adaptador Rede - Usb</t>
  </si>
  <si>
    <t>SAMSUNG</t>
  </si>
  <si>
    <t>A10s</t>
  </si>
  <si>
    <t>Adaptador T</t>
  </si>
  <si>
    <t>A22 5g</t>
  </si>
  <si>
    <t>Adaptador Tipo C Para Usb</t>
  </si>
  <si>
    <t>m53</t>
  </si>
  <si>
    <t>Adaptador Tomada 2 Entrada</t>
  </si>
  <si>
    <t>XIAOMI</t>
  </si>
  <si>
    <t>mi 9a</t>
  </si>
  <si>
    <t>Adaptador V8 - Iphone</t>
  </si>
  <si>
    <t xml:space="preserve">Note 10 </t>
  </si>
  <si>
    <t>Adaptador Vga Para Hdmi</t>
  </si>
  <si>
    <t>Note 10 4g</t>
  </si>
  <si>
    <t>Note 12s</t>
  </si>
  <si>
    <t>Adaptador Wifi 2.5G Antena</t>
  </si>
  <si>
    <t>pc x3</t>
  </si>
  <si>
    <t>Adaptador Wifi 2.5G Antena Ms</t>
  </si>
  <si>
    <t>REDMI 12</t>
  </si>
  <si>
    <t>Adaptador Wifi 6</t>
  </si>
  <si>
    <t>REDMI 12c</t>
  </si>
  <si>
    <t>Alicate Universal 8 Id-4762A</t>
  </si>
  <si>
    <t>REDMI 12 pro 5g</t>
  </si>
  <si>
    <t>Arma De Hidrogel Ar15</t>
  </si>
  <si>
    <t>REDMI 13c</t>
  </si>
  <si>
    <t>Balança 10Kg</t>
  </si>
  <si>
    <t>Privacidade</t>
  </si>
  <si>
    <t>Balança De Precisão Xm-50522</t>
  </si>
  <si>
    <t>7 / 8  PLUS</t>
  </si>
  <si>
    <t>XR / 11</t>
  </si>
  <si>
    <t xml:space="preserve">Bateria 23A </t>
  </si>
  <si>
    <t>Bateria 9V</t>
  </si>
  <si>
    <t>Bobbie Goods Caderno</t>
  </si>
  <si>
    <t>Bobbie Goods Card</t>
  </si>
  <si>
    <t>Cabeça Carregador 3.1A Ka-5601</t>
  </si>
  <si>
    <t>Cabo Auxiliar P2 H'Maston</t>
  </si>
  <si>
    <t>Cabo Auxiliar P2 Le-804</t>
  </si>
  <si>
    <t>Cabo De Dados Tc Kapbom Kap 1Mtc</t>
  </si>
  <si>
    <t>Cabo De Dados V8 Kapbom Kap 1Mv8</t>
  </si>
  <si>
    <t>Cabo De Força - 2 Pinos</t>
  </si>
  <si>
    <t>Cabo De Força - Pc</t>
  </si>
  <si>
    <t xml:space="preserve">Cabo Displayport </t>
  </si>
  <si>
    <t>Cabo Hdmi 1,8/2M</t>
  </si>
  <si>
    <t>Cabo Hdmi 3M Multilaser</t>
  </si>
  <si>
    <t>Cabo H'Maston Hb01-1</t>
  </si>
  <si>
    <t>Cabo Iphone Caixa Branca</t>
  </si>
  <si>
    <t>Cabo Iphone Hb10-2 Iphone</t>
  </si>
  <si>
    <t>Cabo Iphone Hb10-3 Tipo C</t>
  </si>
  <si>
    <t>Cabo Iphone Kap</t>
  </si>
  <si>
    <t>Cabo P2/P10</t>
  </si>
  <si>
    <t>Cabo Pmcell Tc Laranja</t>
  </si>
  <si>
    <t>Cabo Rca Para Rca</t>
  </si>
  <si>
    <t>Cabo Spartan V8 Leo</t>
  </si>
  <si>
    <t>Cabo Tipo C - Digital</t>
  </si>
  <si>
    <t>Cabo Usb Extensor</t>
  </si>
  <si>
    <t>Cabo Usb X Usb</t>
  </si>
  <si>
    <t>Cabo V8 4.8 Max H72-1</t>
  </si>
  <si>
    <t>Cabo Verde</t>
  </si>
  <si>
    <t>Cabo Y P2/P3</t>
  </si>
  <si>
    <t>Cabos Variados Saco Branco</t>
  </si>
  <si>
    <t>Calculadora Pequena</t>
  </si>
  <si>
    <t xml:space="preserve">Caneta Depiladora </t>
  </si>
  <si>
    <t>Canivete Automático Knife</t>
  </si>
  <si>
    <t>Capa Celular Simples</t>
  </si>
  <si>
    <t>Capa De Chuva</t>
  </si>
  <si>
    <t>Card Caixa 50</t>
  </si>
  <si>
    <t>Carregador Cabeça 20W</t>
  </si>
  <si>
    <t>Carregador Completo Lehmox Tipo C</t>
  </si>
  <si>
    <t>Carregador Completo Lehmox v8</t>
  </si>
  <si>
    <t xml:space="preserve">Carregador Completo Lehmox iphone </t>
  </si>
  <si>
    <t>Jogo Ps2 tiktok</t>
  </si>
  <si>
    <t>Carregador Lehmox 5.1 Le-82</t>
  </si>
  <si>
    <t>Carregador Tipo C 4.1 Le-497</t>
  </si>
  <si>
    <t>Carregador Tipo C 50W</t>
  </si>
  <si>
    <t xml:space="preserve">Carregador Tipo C 67 W </t>
  </si>
  <si>
    <t>Carregador Tipo C Le-484</t>
  </si>
  <si>
    <t>Carregador Veicular Kingo</t>
  </si>
  <si>
    <t>Carregador Veicular Simples</t>
  </si>
  <si>
    <t>Carregador Veicular Spartan</t>
  </si>
  <si>
    <t>Carregador Veicular Tipo C Le-535</t>
  </si>
  <si>
    <t>Cascata Led - Fios De Fada</t>
  </si>
  <si>
    <t>Chave Allen - Canivete Ls-A08</t>
  </si>
  <si>
    <t>Chave Para Bicicleta</t>
  </si>
  <si>
    <t>Chip Normal</t>
  </si>
  <si>
    <t>Chip Recarregado</t>
  </si>
  <si>
    <t>Conjunto De Chaves Allen 9Pçs Ls-4113</t>
  </si>
  <si>
    <t>Controle Gamepad Com-7436</t>
  </si>
  <si>
    <t>Controle Ps2</t>
  </si>
  <si>
    <t>Controle Tv Universal</t>
  </si>
  <si>
    <t>Cooler Fan G-Vr332</t>
  </si>
  <si>
    <t>Cooler Table - Suporte Notbook</t>
  </si>
  <si>
    <t>Cordao Simples Cracha</t>
  </si>
  <si>
    <t>Cordão Vasco</t>
  </si>
  <si>
    <t>Cortador De Legumes Verde Grande</t>
  </si>
  <si>
    <t>Detector De Dinheiro</t>
  </si>
  <si>
    <t xml:space="preserve">Detector De Metal </t>
  </si>
  <si>
    <t>Dispenser Banheiro</t>
  </si>
  <si>
    <t>Escova De Dente Eletrica</t>
  </si>
  <si>
    <t>Extensor P2</t>
  </si>
  <si>
    <t>Fone De Ouvido Gamer Inova</t>
  </si>
  <si>
    <t>Fone De Ouvido Gamr Q0008</t>
  </si>
  <si>
    <t>Fone De Ouvido Inova Fon-30063</t>
  </si>
  <si>
    <t>Fone De Ouvido M10</t>
  </si>
  <si>
    <t>Fone I7</t>
  </si>
  <si>
    <t>Fone Jbl 950</t>
  </si>
  <si>
    <t>Fone M10</t>
  </si>
  <si>
    <t>Fone M20</t>
  </si>
  <si>
    <t>Fone Pmcell Leo</t>
  </si>
  <si>
    <t>Fone Pmcell Tc</t>
  </si>
  <si>
    <t>Fone Redmi Branco</t>
  </si>
  <si>
    <t>Fone Redmi Vermelho</t>
  </si>
  <si>
    <t>Fone Simples Ka-833 Leo</t>
  </si>
  <si>
    <t>Fone Simples Lef-1055 Leo</t>
  </si>
  <si>
    <t>Fone Simples Ms-5V 1 Leo</t>
  </si>
  <si>
    <t>Fone Tipo C Apple</t>
  </si>
  <si>
    <t>Fonte 12V</t>
  </si>
  <si>
    <t>Fonte Notebook Grasep</t>
  </si>
  <si>
    <t>Fonte Pc 200W</t>
  </si>
  <si>
    <t>Fonte Tv Box 5V</t>
  </si>
  <si>
    <t xml:space="preserve">Fonte Usb Sparta 5.8W </t>
  </si>
  <si>
    <t>Fonte Veicular Usb-C Spartan</t>
  </si>
  <si>
    <t>Game Pop It 15 Reais</t>
  </si>
  <si>
    <t>Garrafa 3 In 1 Colorida Leo</t>
  </si>
  <si>
    <t>Garrafa Colorida Motivacional</t>
  </si>
  <si>
    <t>Gatilhos Simples</t>
  </si>
  <si>
    <t>Globo De Luz  Com Controle</t>
  </si>
  <si>
    <t>Globo De Luz  Sem Controle</t>
  </si>
  <si>
    <t xml:space="preserve">Guarda Chuva Automático Transparente Cabo Curvo 8 Varetas </t>
  </si>
  <si>
    <t>Guirlanda Verde/Branca</t>
  </si>
  <si>
    <t xml:space="preserve">Hd 500 </t>
  </si>
  <si>
    <t>Hub 7 Portas 2.0</t>
  </si>
  <si>
    <t>Hub Usb 2</t>
  </si>
  <si>
    <t>Impressao Colorida</t>
  </si>
  <si>
    <t>Isqueiro Auto</t>
  </si>
  <si>
    <t>Jogo De Chaves Peq.</t>
  </si>
  <si>
    <t>Jogo De Xbox</t>
  </si>
  <si>
    <t>Jogos De Xbox</t>
  </si>
  <si>
    <t>Kemei Maquina De Barbear 4 In 1</t>
  </si>
  <si>
    <t>Kit Chave Com 6Pçs Lsc-Ppcs</t>
  </si>
  <si>
    <t>Kit Chaves 6024A</t>
  </si>
  <si>
    <t>Kit Colheres Colorida</t>
  </si>
  <si>
    <t>Kit Completo Carregador 20W</t>
  </si>
  <si>
    <t>Kit Costura Crs 1184</t>
  </si>
  <si>
    <t>Kit De Ferramentas 41Pçs Id-2226K</t>
  </si>
  <si>
    <t>Kit Facas</t>
  </si>
  <si>
    <t>Kit Ferramentas 41 Pçs Maleta</t>
  </si>
  <si>
    <t>Kit Fusível Grande Leo</t>
  </si>
  <si>
    <t xml:space="preserve">Kit Jogo De Facas </t>
  </si>
  <si>
    <t>Kit Mouse E Teclado Sem Fio K4</t>
  </si>
  <si>
    <t>Kit Pote Banheiro</t>
  </si>
  <si>
    <t>Kit Taboa Idea</t>
  </si>
  <si>
    <t xml:space="preserve">Kit Talheres </t>
  </si>
  <si>
    <t>Kit Teclado E Mouse Sem Fio Mb54264</t>
  </si>
  <si>
    <t>Kit Tesoura Cabelo</t>
  </si>
  <si>
    <t>Lapela Tipoc</t>
  </si>
  <si>
    <t xml:space="preserve">Laxasfit 2024 Relógio Inteligente </t>
  </si>
  <si>
    <t>Lego Ali</t>
  </si>
  <si>
    <t>Lego Grande</t>
  </si>
  <si>
    <t>Lego Pequeno</t>
  </si>
  <si>
    <t>Leitor De Cartao De Memoria Dkq02</t>
  </si>
  <si>
    <t>Leitor De Cartao De Memoria Uf0013</t>
  </si>
  <si>
    <t>Lousa Magica 12Pol</t>
  </si>
  <si>
    <t>Lousa Magica 12Pol Novo</t>
  </si>
  <si>
    <t>Lousa Magica 16Pol</t>
  </si>
  <si>
    <t>Lousa Magica 8Pol</t>
  </si>
  <si>
    <t xml:space="preserve">Luminária Astronauta </t>
  </si>
  <si>
    <t>Luminaria Solar Led Refletor</t>
  </si>
  <si>
    <t xml:space="preserve">Luvinha De Dedo </t>
  </si>
  <si>
    <t>Luvinhas Dedo N</t>
  </si>
  <si>
    <t>Maquina De Cabelo Dragao Ml</t>
  </si>
  <si>
    <t>Maquina Dourada Dragao</t>
  </si>
  <si>
    <t>Maquinha De Bolhas Automático</t>
  </si>
  <si>
    <t>Massageador Pistola</t>
  </si>
  <si>
    <t>Mata Mosquito Eletric Mw-555</t>
  </si>
  <si>
    <t>Memory Card 15Mb</t>
  </si>
  <si>
    <t>Memory Card 16Mb</t>
  </si>
  <si>
    <t>Micro Sd Kodak 64Gb</t>
  </si>
  <si>
    <t>Microscopio 1000X</t>
  </si>
  <si>
    <t>Mini Antena Digital</t>
  </si>
  <si>
    <t>Mini Jogo De Luz C/C</t>
  </si>
  <si>
    <t>Mini Liquidificado</t>
  </si>
  <si>
    <t>Mini Liquidificado Max</t>
  </si>
  <si>
    <t>Mini Pau De Self  Leo</t>
  </si>
  <si>
    <t>Mini Router Wifi</t>
  </si>
  <si>
    <t xml:space="preserve">Mochila Dobrável À Prova D'Água Design Exclusivo Escolar Unissex  Preto  </t>
  </si>
  <si>
    <t xml:space="preserve">Mochila Escolar Universitária Unissex </t>
  </si>
  <si>
    <t>Moldem Tplink</t>
  </si>
  <si>
    <t>Mouse B-Max</t>
  </si>
  <si>
    <t>Mouse Com Fio Exbom Md-9</t>
  </si>
  <si>
    <t>Mouse Com Fio In-20055</t>
  </si>
  <si>
    <t>Mouse Gamer 01</t>
  </si>
  <si>
    <t>Mouse Pad Com Gel</t>
  </si>
  <si>
    <t xml:space="preserve">Mouse Pad Simples </t>
  </si>
  <si>
    <t>Par Alto Falante Evok 6X9 280Rms</t>
  </si>
  <si>
    <t>Pd Usb Adaptador De Carregamento Leo</t>
  </si>
  <si>
    <t>Pelicularelogio 49Mm</t>
  </si>
  <si>
    <t>Pente De Cabelo Redondo</t>
  </si>
  <si>
    <t>Placa De Som Usb</t>
  </si>
  <si>
    <t>Porta Cracha Completo</t>
  </si>
  <si>
    <t xml:space="preserve">Porta Retrato Duplo Te Amo De Plástico 10X15 Cm Colors </t>
  </si>
  <si>
    <t>Processador De Alimentos Pequeno Leo</t>
  </si>
  <si>
    <t>Ralador De Legumes Diagonal</t>
  </si>
  <si>
    <t xml:space="preserve">Relógio Pulseira M7 Inteligente Smatband Monitora Pressão </t>
  </si>
  <si>
    <t>Suporte Articulado</t>
  </si>
  <si>
    <t>Suporte Celular Braço Leo</t>
  </si>
  <si>
    <t>Suporte De Celular Ima Leo</t>
  </si>
  <si>
    <t>Suporte De Mesa Ecooda Ec9085</t>
  </si>
  <si>
    <t>Suporte De Tv Pequeno</t>
  </si>
  <si>
    <t>Suporte De Tv Simples</t>
  </si>
  <si>
    <t>Suporte Fone Leo</t>
  </si>
  <si>
    <t>Suporte Gancho Adesivo</t>
  </si>
  <si>
    <t>Suporte Magnetico 360 Kac305</t>
  </si>
  <si>
    <t>Suporte Triplo Jb-K5556</t>
  </si>
  <si>
    <t xml:space="preserve">Suporte Veicular </t>
  </si>
  <si>
    <t>Suporte Veicular B-Max Bmg-07</t>
  </si>
  <si>
    <t>Suporte Veicular Ventosa It-Blue</t>
  </si>
  <si>
    <t>Tapete Massageador</t>
  </si>
  <si>
    <t>Teclado Bright 0014</t>
  </si>
  <si>
    <t>Teclado Bring Usb Preto</t>
  </si>
  <si>
    <t>Tripe Pequeno</t>
  </si>
  <si>
    <t>Triturador De Alimentos Manual Grande</t>
  </si>
  <si>
    <t>ZM Store</t>
  </si>
  <si>
    <t>Número</t>
  </si>
  <si>
    <t>Endereço</t>
  </si>
  <si>
    <t>Feicenter box 64 Samambaia N</t>
  </si>
  <si>
    <t>Telefone</t>
  </si>
  <si>
    <t>(61) 98182-0906</t>
  </si>
  <si>
    <t>FICHA DE PEDIDO</t>
  </si>
  <si>
    <t>Cliente:</t>
  </si>
  <si>
    <t>Telefone:</t>
  </si>
  <si>
    <t>E-mail:</t>
  </si>
  <si>
    <t>Endereço:</t>
  </si>
  <si>
    <t>Cidade:</t>
  </si>
  <si>
    <t>CEP:</t>
  </si>
  <si>
    <t>Vendedor:</t>
  </si>
  <si>
    <t>Leonardo Coutinho</t>
  </si>
  <si>
    <t>Qtde</t>
  </si>
  <si>
    <t>Descrição</t>
  </si>
  <si>
    <t>Valor</t>
  </si>
  <si>
    <t>Produtos deixados a mais de 90 dias seram vendidos !!</t>
  </si>
  <si>
    <t>Observação</t>
  </si>
  <si>
    <t>Valor Total</t>
  </si>
  <si>
    <t>Desconto</t>
  </si>
  <si>
    <t xml:space="preserve">Garantia </t>
  </si>
  <si>
    <t>30 dias</t>
  </si>
  <si>
    <t>Data final</t>
  </si>
  <si>
    <t>Valor final</t>
  </si>
  <si>
    <t>Vendas  CNPJ 2024</t>
  </si>
  <si>
    <t>Contas a pagar 03</t>
  </si>
  <si>
    <t>Divida</t>
  </si>
  <si>
    <t>Total dividas</t>
  </si>
  <si>
    <t>Divida higor</t>
  </si>
  <si>
    <t>Meses</t>
  </si>
  <si>
    <t>Vendas Shopee</t>
  </si>
  <si>
    <t>Presencial</t>
  </si>
  <si>
    <t>Infinite</t>
  </si>
  <si>
    <t>Picpay</t>
  </si>
  <si>
    <t>Magalu</t>
  </si>
  <si>
    <t>Nome</t>
  </si>
  <si>
    <t>dt</t>
  </si>
  <si>
    <t>Remédio</t>
  </si>
  <si>
    <t>10x</t>
  </si>
  <si>
    <t>Banco</t>
  </si>
  <si>
    <t>Valor sem desconto</t>
  </si>
  <si>
    <t>Valor com desconto</t>
  </si>
  <si>
    <t>Total divida</t>
  </si>
  <si>
    <t>Adaptador IOS p2</t>
  </si>
  <si>
    <t>Janeiro</t>
  </si>
  <si>
    <t>Aluguel</t>
  </si>
  <si>
    <t>Pago</t>
  </si>
  <si>
    <t>Itaú</t>
  </si>
  <si>
    <t>Falta pagar</t>
  </si>
  <si>
    <t>Fevereiro</t>
  </si>
  <si>
    <t>NET1</t>
  </si>
  <si>
    <t>Empresa MP</t>
  </si>
  <si>
    <t>-------------------</t>
  </si>
  <si>
    <t>------------</t>
  </si>
  <si>
    <t>Adaptador p2 - p10</t>
  </si>
  <si>
    <t>Março</t>
  </si>
  <si>
    <t>Mae</t>
  </si>
  <si>
    <t xml:space="preserve">Total </t>
  </si>
  <si>
    <t>Cartão MP</t>
  </si>
  <si>
    <t>Produtos pego</t>
  </si>
  <si>
    <t>Abril</t>
  </si>
  <si>
    <t>CARTAO</t>
  </si>
  <si>
    <t>Cadeado com Alarme</t>
  </si>
  <si>
    <t>Maio</t>
  </si>
  <si>
    <t>RENATA</t>
  </si>
  <si>
    <t>Cartão NU</t>
  </si>
  <si>
    <t>Dinheiro emprestado</t>
  </si>
  <si>
    <t>Adaptador rede - usb</t>
  </si>
  <si>
    <t>Junho</t>
  </si>
  <si>
    <t>CHIP</t>
  </si>
  <si>
    <t>Empresa NU</t>
  </si>
  <si>
    <t>Trava de freio a disco</t>
  </si>
  <si>
    <t>Julho</t>
  </si>
  <si>
    <t>Shopee 1</t>
  </si>
  <si>
    <t>Neon</t>
  </si>
  <si>
    <t>Hub divisor</t>
  </si>
  <si>
    <t xml:space="preserve">Adaptador Tomada 2 Entradas + 3 Usb Celular Universal Led  Variada  </t>
  </si>
  <si>
    <t>Agosto</t>
  </si>
  <si>
    <t>Shopee 2</t>
  </si>
  <si>
    <t>Nu PJ</t>
  </si>
  <si>
    <t>Adaptador v8 - Iphone</t>
  </si>
  <si>
    <t>Setembro</t>
  </si>
  <si>
    <t>DARF</t>
  </si>
  <si>
    <t>Outubro</t>
  </si>
  <si>
    <t>Aliexpress</t>
  </si>
  <si>
    <t>Novembro</t>
  </si>
  <si>
    <t>NET CPF</t>
  </si>
  <si>
    <t>Total pego</t>
  </si>
  <si>
    <t>Dezembro</t>
  </si>
  <si>
    <t>NET PJ</t>
  </si>
  <si>
    <t>Soma</t>
  </si>
  <si>
    <t>AGUA</t>
  </si>
  <si>
    <t>Falta</t>
  </si>
  <si>
    <t>TOTAL</t>
  </si>
  <si>
    <t>Antena Digital</t>
  </si>
  <si>
    <t>Infiniti</t>
  </si>
  <si>
    <t>Bomba D'Agua Automatica</t>
  </si>
  <si>
    <t>Cabo Colorido 2 Metros Iphone</t>
  </si>
  <si>
    <t>Cabo Colorido Iphone 1M</t>
  </si>
  <si>
    <t>Cabo Iphone Tipo C - Leo</t>
  </si>
  <si>
    <t>Cabos Variados Saco Branco Leo</t>
  </si>
  <si>
    <t>caixa de som id-2438u</t>
  </si>
  <si>
    <t>Caixa de som LS-666B Microfone</t>
  </si>
  <si>
    <t>Canivete Multiuso Id-8406C Leo</t>
  </si>
  <si>
    <t>Carregador veicular kingo</t>
  </si>
  <si>
    <t>Carregador veicular spartan</t>
  </si>
  <si>
    <t>Carro de metal - kombi</t>
  </si>
  <si>
    <t>Case Iphone C&amp;H</t>
  </si>
  <si>
    <t>Case Iphone Transparente</t>
  </si>
  <si>
    <t>Controle Ps4</t>
  </si>
  <si>
    <t>Conversor Digital Full Hd</t>
  </si>
  <si>
    <t>Copo Stanley Com Som</t>
  </si>
  <si>
    <t>Cortador De Legumes Verde grande</t>
  </si>
  <si>
    <t>Detector de dinheiro</t>
  </si>
  <si>
    <t>E7S Tws Fones Leo</t>
  </si>
  <si>
    <t xml:space="preserve">Esfregão Mop De Limpeza Triangular Giratório De 360° </t>
  </si>
  <si>
    <t>Estilingue led</t>
  </si>
  <si>
    <t>Fone Airpods Max</t>
  </si>
  <si>
    <t>Fone de ouvido gamer inova</t>
  </si>
  <si>
    <t>Lampião Solar Leo</t>
  </si>
  <si>
    <t>Lanterna de cabeça LEY-1723</t>
  </si>
  <si>
    <t>Manicure E Pedicure Cortadores 12Pc Pequeno</t>
  </si>
  <si>
    <t>Manicure E Pedicure Cortadores 19Pc Grande</t>
  </si>
  <si>
    <t>Manicure E Pedicure Cortadores 9Pc Pequeno</t>
  </si>
  <si>
    <t>Mini router wifi</t>
  </si>
  <si>
    <t>moldem tplink</t>
  </si>
  <si>
    <t>Multímetro Digital Md-160</t>
  </si>
  <si>
    <t>Pendrive Al 32Gb</t>
  </si>
  <si>
    <t>Pendrive Gravada</t>
  </si>
  <si>
    <t>Pilha Aa Cartela</t>
  </si>
  <si>
    <t>Pistola De Ar Limpeza Leo</t>
  </si>
  <si>
    <t>Powebank  10K KA-951</t>
  </si>
  <si>
    <t>powerbank 10k gol</t>
  </si>
  <si>
    <t>Powerbank 10K Inova</t>
  </si>
  <si>
    <t>Protetor Solar Para Brisa</t>
  </si>
  <si>
    <t>Pulseira Mi Band</t>
  </si>
  <si>
    <t>Regua Tomada</t>
  </si>
  <si>
    <t>Relógio Despertador Leo</t>
  </si>
  <si>
    <t xml:space="preserve">Relógio Inteligente Bluetooth 4.0 Smartwatch D20 1.3" 150Mah  </t>
  </si>
  <si>
    <t>Relógio Inteligente Kl201 Black</t>
  </si>
  <si>
    <t>Relógio Prata Leo</t>
  </si>
  <si>
    <t xml:space="preserve">Robot Transforme </t>
  </si>
  <si>
    <t>Rodo Para Pia</t>
  </si>
  <si>
    <t xml:space="preserve">Rodo XMop Esfregão Giratório 360° Magico Twist Com Extrusão </t>
  </si>
  <si>
    <t>Sacola 44x39x20cm Xadrez</t>
  </si>
  <si>
    <t>Samsung A04E</t>
  </si>
  <si>
    <t>Sensor De Presença</t>
  </si>
  <si>
    <t>Smartwatch I7 Pro Max</t>
  </si>
  <si>
    <t>Ssd 512Gb</t>
  </si>
  <si>
    <t>Suporte articulado</t>
  </si>
  <si>
    <t>Suporte magnetico 360 KAC305</t>
  </si>
  <si>
    <t>Tapete massageador</t>
  </si>
  <si>
    <t>Trena Leiser Leo</t>
  </si>
  <si>
    <t>Tripe pequeno</t>
  </si>
  <si>
    <t>X15 Tws Sem Fio Bluetooth</t>
  </si>
  <si>
    <t>Kit pote banheiro</t>
  </si>
  <si>
    <t>Dispenser banheiro</t>
  </si>
  <si>
    <t>Cabo hdmi 1,8/2m</t>
  </si>
  <si>
    <t>conversor displayport / vga</t>
  </si>
  <si>
    <t>Controle Pubg COM-7436</t>
  </si>
  <si>
    <t>Case hd HD003</t>
  </si>
  <si>
    <t>Extensor p2</t>
  </si>
  <si>
    <t>Teclado bring usb preto</t>
  </si>
  <si>
    <t>Maquina de cabelo dragao ML</t>
  </si>
  <si>
    <t>Maquinha de bolhas automático</t>
  </si>
  <si>
    <t>Aspirador de carro sem fios ali</t>
  </si>
  <si>
    <t>Smartwhat T10 ULTRA 2</t>
  </si>
  <si>
    <t>carregador completo LEHMOX LE-497 tipo C</t>
  </si>
  <si>
    <t>Cabo hdmi 3m multilaser</t>
  </si>
  <si>
    <t>Venda Celular</t>
  </si>
  <si>
    <t>Cabo RCA para RCA</t>
  </si>
  <si>
    <t>Case HD simples</t>
  </si>
  <si>
    <t>Arvore de natal pisca pisca 20cm</t>
  </si>
  <si>
    <t>Estençao 5m</t>
  </si>
  <si>
    <t>cabo de dados Tc kapbom kap 1mTC</t>
  </si>
  <si>
    <t>Leitor de cartao de memoria DKQ02</t>
  </si>
  <si>
    <t>Leitor de cartao de memoria UF0013</t>
  </si>
  <si>
    <t>Caixinha de som AL-1115</t>
  </si>
  <si>
    <t>Cabo auxiliar p2 H'MASTON</t>
  </si>
  <si>
    <t>Hub usb 2</t>
  </si>
  <si>
    <t>adaptador wifi 6</t>
  </si>
  <si>
    <t>SSD  2.5 SSD 128GB PC</t>
  </si>
  <si>
    <t>pendrive 16gb pequena</t>
  </si>
  <si>
    <t>Carregador veicular tipo c LE-535</t>
  </si>
  <si>
    <t>Cabo iphone hb10-2 Iphone</t>
  </si>
  <si>
    <t>Cabo iphone hb10-3 tipo c</t>
  </si>
  <si>
    <t>Cabo h'maston hb01-1</t>
  </si>
  <si>
    <t>Teclado bright 0014</t>
  </si>
  <si>
    <t xml:space="preserve">Taser azul </t>
  </si>
  <si>
    <t>Arminha de gel ak47 SY-0135</t>
  </si>
  <si>
    <t>Unitv</t>
  </si>
  <si>
    <t>Atual</t>
  </si>
  <si>
    <t>qt</t>
  </si>
  <si>
    <t>Vendio</t>
  </si>
  <si>
    <t>Jogos Xbox</t>
  </si>
  <si>
    <t xml:space="preserve">Peliculas Vendidas </t>
  </si>
  <si>
    <t xml:space="preserve">Peliculas Disponiveis </t>
  </si>
  <si>
    <t>007 From Russi</t>
  </si>
  <si>
    <t>007 Legends</t>
  </si>
  <si>
    <t>marca</t>
  </si>
  <si>
    <t>Modelo</t>
  </si>
  <si>
    <t>Compativel</t>
  </si>
  <si>
    <t>Ace Bombat The Belkan War</t>
  </si>
  <si>
    <t>Ace combat assault horizon</t>
  </si>
  <si>
    <t>Iphone</t>
  </si>
  <si>
    <t>XS MAX/ 11 PRO MAX</t>
  </si>
  <si>
    <t>6G</t>
  </si>
  <si>
    <t>Astro Boy</t>
  </si>
  <si>
    <t>Anarchy Reigns</t>
  </si>
  <si>
    <t>7 / 8 g</t>
  </si>
  <si>
    <t>Bad Boys miami takedown</t>
  </si>
  <si>
    <t xml:space="preserve">Arcade </t>
  </si>
  <si>
    <t>Iphone PRIVACIDADE</t>
  </si>
  <si>
    <t>Barn Yard</t>
  </si>
  <si>
    <t>Army Of Tiio</t>
  </si>
  <si>
    <t>7G / 8G</t>
  </si>
  <si>
    <t xml:space="preserve">7 PLUS / 8 PLUS </t>
  </si>
  <si>
    <t>Batmam begins</t>
  </si>
  <si>
    <t>Batman 3 lego</t>
  </si>
  <si>
    <t>Battlefield 2 Modern Combat</t>
  </si>
  <si>
    <t>Batman Arkham City</t>
  </si>
  <si>
    <t>X / XS / 11 PRO</t>
  </si>
  <si>
    <t>XS - 11 PRO - A01 CORE</t>
  </si>
  <si>
    <t>Beach Volleyball</t>
  </si>
  <si>
    <t xml:space="preserve">Bayoneta </t>
  </si>
  <si>
    <t>Samsung</t>
  </si>
  <si>
    <t>A13</t>
  </si>
  <si>
    <t>XS / 11</t>
  </si>
  <si>
    <t>Bem 10 Utimate Alien</t>
  </si>
  <si>
    <t>Bioshock</t>
  </si>
  <si>
    <t>13 4G</t>
  </si>
  <si>
    <t>Bem 10 vilgah attacks</t>
  </si>
  <si>
    <t>Bioshock 2</t>
  </si>
  <si>
    <t>A15</t>
  </si>
  <si>
    <t>XS MAX</t>
  </si>
  <si>
    <t>POCO F1 / IPHONE XS MAX / IPHONE 11 PRO MAX</t>
  </si>
  <si>
    <t>Biohazard Outbreak File 2</t>
  </si>
  <si>
    <t>Bioshock Infinite</t>
  </si>
  <si>
    <t>A20S</t>
  </si>
  <si>
    <t>12 PRO / IPHONE 11</t>
  </si>
  <si>
    <t>Black</t>
  </si>
  <si>
    <t>Borderlands 2</t>
  </si>
  <si>
    <t>A30S</t>
  </si>
  <si>
    <t>12 PRO</t>
  </si>
  <si>
    <t>Blade 2</t>
  </si>
  <si>
    <t>Bound By Flame</t>
  </si>
  <si>
    <t>A32 4G</t>
  </si>
  <si>
    <t>12 PRO MAX</t>
  </si>
  <si>
    <t>Bomba Patch</t>
  </si>
  <si>
    <t>BRAZUKAS 2023</t>
  </si>
  <si>
    <t>A24</t>
  </si>
  <si>
    <t>13 / 13 PRO</t>
  </si>
  <si>
    <t>IPHONE 13 / IPHONE 14 / E 14 PRO</t>
  </si>
  <si>
    <t>Bomba Patch 2024</t>
  </si>
  <si>
    <t>BRAZUKAS 2025</t>
  </si>
  <si>
    <t>A51</t>
  </si>
  <si>
    <t>13 PRO MAX</t>
  </si>
  <si>
    <t xml:space="preserve">Bomba Patch Leonardo </t>
  </si>
  <si>
    <t>Bulletstorm</t>
  </si>
  <si>
    <t>A53</t>
  </si>
  <si>
    <t>13 PRO MAX / 14 PLUS</t>
  </si>
  <si>
    <t>Bomba Patch Mix Itaqui 2024</t>
  </si>
  <si>
    <t>Cabelas Dangerous Hunter 20</t>
  </si>
  <si>
    <t>A50</t>
  </si>
  <si>
    <t xml:space="preserve">14 / 14 PRO </t>
  </si>
  <si>
    <t>IPHONE 13 PRO / IPHONE 14 / IPHONE 13</t>
  </si>
  <si>
    <t>Bomberman Kart 3</t>
  </si>
  <si>
    <t>Cabelas Survival</t>
  </si>
  <si>
    <t>A70</t>
  </si>
  <si>
    <t>Bomberman Land 3</t>
  </si>
  <si>
    <t>Calela African</t>
  </si>
  <si>
    <t>S24 FE</t>
  </si>
  <si>
    <t>14 PRO MAX</t>
  </si>
  <si>
    <t>IPHONE 14 PRO MAX - IPHONE 13 PRO MAX - IPHONE 15 PRO MAX</t>
  </si>
  <si>
    <t>Bully</t>
  </si>
  <si>
    <t>call of duty black ops</t>
  </si>
  <si>
    <t>Motorola</t>
  </si>
  <si>
    <t>G30</t>
  </si>
  <si>
    <t>Burnout 3</t>
  </si>
  <si>
    <t>Capcom Digital Collection</t>
  </si>
  <si>
    <t>G73</t>
  </si>
  <si>
    <t>IPHONE 15 - IPHONE 15 PRO</t>
  </si>
  <si>
    <t>Call Of Duty Word At War</t>
  </si>
  <si>
    <t>Captain America Super Soldier</t>
  </si>
  <si>
    <t>G54</t>
  </si>
  <si>
    <t>15 PLUS</t>
  </si>
  <si>
    <t>Cars</t>
  </si>
  <si>
    <t>Clash Of The Titans</t>
  </si>
  <si>
    <t>M32</t>
  </si>
  <si>
    <t>Sansung</t>
  </si>
  <si>
    <t>j5 prime</t>
  </si>
  <si>
    <t>Castevania Curse Of Dark</t>
  </si>
  <si>
    <t>Crysis 2</t>
  </si>
  <si>
    <t>Xaiome</t>
  </si>
  <si>
    <t>XM 9 SE</t>
  </si>
  <si>
    <t>A01</t>
  </si>
  <si>
    <t>XIAOMI MI9 SE / MI PLAY</t>
  </si>
  <si>
    <t>Chicken Little</t>
  </si>
  <si>
    <t>Dance Dance Revolution</t>
  </si>
  <si>
    <t>MI 9T</t>
  </si>
  <si>
    <t>A24 - M34 - A25</t>
  </si>
  <si>
    <t>Conflict Global Terror</t>
  </si>
  <si>
    <t xml:space="preserve">Darkvoid </t>
  </si>
  <si>
    <t>PC X5 PRO</t>
  </si>
  <si>
    <t>A21 / A 21S</t>
  </si>
  <si>
    <t>A21S - MOTO G52 - POCO M3 PRO - MOTO G41</t>
  </si>
  <si>
    <t>crash action pack</t>
  </si>
  <si>
    <t>Dead Islaand Riptide</t>
  </si>
  <si>
    <t>RD 8</t>
  </si>
  <si>
    <t>A22 5G</t>
  </si>
  <si>
    <t>MOTO G50 / MOTO G30 / SAMSUN A12 / SAMSUNG M12 / SAMSUNG A02S</t>
  </si>
  <si>
    <t>Dark Watch</t>
  </si>
  <si>
    <t>Deadpol</t>
  </si>
  <si>
    <t>SAMSUNG / M34 4G / M21S / M31</t>
  </si>
  <si>
    <t>Def Jam Fight for ny</t>
  </si>
  <si>
    <t>Devil May Cry 4</t>
  </si>
  <si>
    <t>A25 5G</t>
  </si>
  <si>
    <t>Digimon Rumble Arena 2</t>
  </si>
  <si>
    <t>Dirt 3</t>
  </si>
  <si>
    <t>A31 / A32</t>
  </si>
  <si>
    <t>A20 / A30 /A50 / M31 / G8 PLUS / NOTE 8</t>
  </si>
  <si>
    <t>Donkey Kong Country The Trilogy</t>
  </si>
  <si>
    <t>Disney universe</t>
  </si>
  <si>
    <t>A34</t>
  </si>
  <si>
    <t>S22+ / A54 / A24</t>
  </si>
  <si>
    <t>Down Hill Domination</t>
  </si>
  <si>
    <t>Duck Tales</t>
  </si>
  <si>
    <t>A35 / A35 5G</t>
  </si>
  <si>
    <t>A55 - M35 - S23 PLUS - S22 PLUS</t>
  </si>
  <si>
    <t>Drive</t>
  </si>
  <si>
    <t>Dynasty Warriors 8</t>
  </si>
  <si>
    <t>A 71</t>
  </si>
  <si>
    <t>A80 - A21 - POCO X3 PRO - MOTO G41 - MOTO G52 - XIAOMI MI 11 LITE - MOTO G62 - REALME 7 PRO - REDMI NOTE 10 S - XIAOMI NOTE 10 - A71</t>
  </si>
  <si>
    <t>E Football 2024</t>
  </si>
  <si>
    <t>Dynasty Warriors Empire</t>
  </si>
  <si>
    <t>A72</t>
  </si>
  <si>
    <t>MI POCO F3 / M51 / MOTO G52 / XIAOMI REDMI NOTE 10 PRO / XIAOMI MI 11i</t>
  </si>
  <si>
    <t>E Football 2024 Wjd</t>
  </si>
  <si>
    <t>Enemy Front</t>
  </si>
  <si>
    <t>S10 E</t>
  </si>
  <si>
    <t>Evil Dead Regeneration</t>
  </si>
  <si>
    <t>F3Ar</t>
  </si>
  <si>
    <t>S22</t>
  </si>
  <si>
    <t>S21 FE</t>
  </si>
  <si>
    <t>F1 06</t>
  </si>
  <si>
    <t>Fallout 3</t>
  </si>
  <si>
    <t>S23FE</t>
  </si>
  <si>
    <t>S22 PLUS - A54 - S23 PLUS</t>
  </si>
  <si>
    <t>Family Guy Video Game</t>
  </si>
  <si>
    <t>Guita hero AEROSMIT</t>
  </si>
  <si>
    <t>S23</t>
  </si>
  <si>
    <t>S22+</t>
  </si>
  <si>
    <t>Fantastic 4</t>
  </si>
  <si>
    <t>Guitar hero 3 legends of rock</t>
  </si>
  <si>
    <t>G5</t>
  </si>
  <si>
    <t>Fifa 2019</t>
  </si>
  <si>
    <t>Indiana Jones 2 lego</t>
  </si>
  <si>
    <t>G6 PLUS</t>
  </si>
  <si>
    <t>Final Fantasy X</t>
  </si>
  <si>
    <t>Indiana Jones lego</t>
  </si>
  <si>
    <t>G6</t>
  </si>
  <si>
    <t>Final Fantasy X-2</t>
  </si>
  <si>
    <t>Injustice Gods Amongus</t>
  </si>
  <si>
    <t>G7 PLAY</t>
  </si>
  <si>
    <t>G7 / G7 PLAY / G8 PLUS / G8 PLAY / A01</t>
  </si>
  <si>
    <t>Ghost Recon 2</t>
  </si>
  <si>
    <t>Just Cause 2</t>
  </si>
  <si>
    <t>G5 PLUS</t>
  </si>
  <si>
    <t>REDMI NOTE 3</t>
  </si>
  <si>
    <t>God Of War 1</t>
  </si>
  <si>
    <t>Just dance 2015</t>
  </si>
  <si>
    <t>G7 PLUS</t>
  </si>
  <si>
    <t>NOTE 7 / A20 / A30 / G7 / G7 PLUS /G8 PLUS / G8 PLAY</t>
  </si>
  <si>
    <t>God Of War 2</t>
  </si>
  <si>
    <t>just dance 2019</t>
  </si>
  <si>
    <t>E5 / G6 PLAY</t>
  </si>
  <si>
    <t>MOTO G6 PLAY</t>
  </si>
  <si>
    <t>GTA 5</t>
  </si>
  <si>
    <t>Khights Contract</t>
  </si>
  <si>
    <t xml:space="preserve">G8 </t>
  </si>
  <si>
    <t>MOTO G8 / POCO M3 / XIAMI 11 LITE / REDMI NOTE 11 / REDMI NOTE 10 / POCO X4 / RELME 7 PRO / SAMSUNG A52</t>
  </si>
  <si>
    <t>GTA San andres</t>
  </si>
  <si>
    <t>Left 4 Dead</t>
  </si>
  <si>
    <t>G8 POWER LITE</t>
  </si>
  <si>
    <t>MOTO G9 / G9 PLAY / E7 POWER / E7 PLUS / A70 / K50S / K41S / REDMI 9 / REDMI 9A / REDMI 9C</t>
  </si>
  <si>
    <t>Gta Vice City</t>
  </si>
  <si>
    <t>Left 4 Dead 2</t>
  </si>
  <si>
    <t>G8 PLUS</t>
  </si>
  <si>
    <t>A10S / A20 / A30S / G8 PLUS / G8 PLAY / NOTE 7 / NOTE 8</t>
  </si>
  <si>
    <t>Harry Potter</t>
  </si>
  <si>
    <t>Lost Planet 3</t>
  </si>
  <si>
    <t>G8 PLAY</t>
  </si>
  <si>
    <t>A10 G8 Play G8 Plus G7 Plus</t>
  </si>
  <si>
    <t>Indiana jones lego the original</t>
  </si>
  <si>
    <t>Madagascar 3</t>
  </si>
  <si>
    <t>G8 POWER</t>
  </si>
  <si>
    <t>MOTO G8 / ONE HYPER / A11 / NOTE 9</t>
  </si>
  <si>
    <t>I-Ninja</t>
  </si>
  <si>
    <t>Marvel Super Hero Squard</t>
  </si>
  <si>
    <t>G9 PLUS</t>
  </si>
  <si>
    <t>A12</t>
  </si>
  <si>
    <t>Jurassic The Hunted</t>
  </si>
  <si>
    <t>Mass2 Effect</t>
  </si>
  <si>
    <t>G9 PLAY</t>
  </si>
  <si>
    <t>A03 / M23 / A12 / A13 / G30 / G50 / E20 / A20S / E 7 POWER / ONE FUNSION</t>
  </si>
  <si>
    <t>Justice League Heroes</t>
  </si>
  <si>
    <t>Metalgearrising</t>
  </si>
  <si>
    <t>G9 POWER</t>
  </si>
  <si>
    <t>MOTO G200</t>
  </si>
  <si>
    <t>Kilzone</t>
  </si>
  <si>
    <t>Metro Last Light</t>
  </si>
  <si>
    <t xml:space="preserve">G10 / G20 / G30 </t>
  </si>
  <si>
    <t>MOTO E20 / ONE FUSIO / G20 / G30 / G9 PLAY / E7 PLUS / E7 PLAY / A02S</t>
  </si>
  <si>
    <t>King Kong</t>
  </si>
  <si>
    <t>Midnight Club los angeles</t>
  </si>
  <si>
    <t>G71 / G62 / G53 / G32 / G13 / G22 / G54</t>
  </si>
  <si>
    <t>Los Increibles La Amenaza Del Socavador</t>
  </si>
  <si>
    <t>Minecraft</t>
  </si>
  <si>
    <t>MOTO G10 - REALME C25 - REALME C11 - A23 - G20 - MOTO E20 - MOTO ONE FUSION - MOTO E13</t>
  </si>
  <si>
    <t xml:space="preserve">Los Sims </t>
  </si>
  <si>
    <t>Minecraft Story Mode</t>
  </si>
  <si>
    <t>SAMSUNG A22 / M22</t>
  </si>
  <si>
    <t>Madagascar</t>
  </si>
  <si>
    <t>Mini Ninjas</t>
  </si>
  <si>
    <t>M34</t>
  </si>
  <si>
    <t>A34 4G / S22+</t>
  </si>
  <si>
    <t>Mafia</t>
  </si>
  <si>
    <t>Mirror'S Edge</t>
  </si>
  <si>
    <t>G42</t>
  </si>
  <si>
    <t>G41 / G52 / G71 / A53 / REDMI NOTE 10 / A11</t>
  </si>
  <si>
    <t>Marvel X Capcom</t>
  </si>
  <si>
    <t>Morph X</t>
  </si>
  <si>
    <t>G51</t>
  </si>
  <si>
    <t>K62 / MOTO G51 / A11 / MOTO ONE FUSION / POCO F3 / XIAOMI MI 11 LIGTH / MOTO G71 / XIAOMI MI 11 / REALME C6 PRO / A11</t>
  </si>
  <si>
    <t>Medal Of Honor Vanguard</t>
  </si>
  <si>
    <t>Mortal Kombat Dc Universe</t>
  </si>
  <si>
    <t>G53</t>
  </si>
  <si>
    <t>G62 / G71 / REDIMI NOTE 11 4G / S20 FE / RM NOTE 10 4G / RM NOTE 10 S</t>
  </si>
  <si>
    <t>Megaman X8</t>
  </si>
  <si>
    <t>N3 2</t>
  </si>
  <si>
    <t>G34 - G54 - G71 - G62 - G53 - G32 - G13 - G22 - G14</t>
  </si>
  <si>
    <t>Metal slug anthology</t>
  </si>
  <si>
    <t>Naruto Rise Of A Ninja</t>
  </si>
  <si>
    <t>G71 5G</t>
  </si>
  <si>
    <t>Mickey Mouse Collection</t>
  </si>
  <si>
    <t>Naruto The Broken Bond</t>
  </si>
  <si>
    <t>MOTO G04 - MOTO G34 - MOTO G32 - MOTO G73 - NOTE 12 - NOTE 13</t>
  </si>
  <si>
    <t>mortal Kombat Armageddon</t>
  </si>
  <si>
    <t>Need For Speed Mostwanted</t>
  </si>
  <si>
    <t>G100</t>
  </si>
  <si>
    <t>moto g40 fusion / moto g60</t>
  </si>
  <si>
    <t>Moto Gp08</t>
  </si>
  <si>
    <t>Ninja 2</t>
  </si>
  <si>
    <t>G200</t>
  </si>
  <si>
    <t>MOTO G60 - MOTO G9 PLUS - MOTO G200</t>
  </si>
  <si>
    <t>Motocross Mania 3</t>
  </si>
  <si>
    <t>Novo pes 2023</t>
  </si>
  <si>
    <t>EDGE 20 / EDGE 20 PRO</t>
  </si>
  <si>
    <t>Motor Storm Arctic Edge</t>
  </si>
  <si>
    <t xml:space="preserve">Pac-Man </t>
  </si>
  <si>
    <t>EDGE 30 NEO</t>
  </si>
  <si>
    <t>Naruto Utimate Ninja</t>
  </si>
  <si>
    <t>PES 13</t>
  </si>
  <si>
    <t>ONE</t>
  </si>
  <si>
    <t>K9 / K8 PLUS / POCO F1 / MI 8 LITE / ZENFONE 5 / P30 / NOTE 6 PRO / E6 PLAY</t>
  </si>
  <si>
    <t>Naruto Utimate Ninja 3</t>
  </si>
  <si>
    <t>Pirates Of The Caribbean</t>
  </si>
  <si>
    <t xml:space="preserve">Xaiome </t>
  </si>
  <si>
    <t>MI 8</t>
  </si>
  <si>
    <t>MI 8 PRO</t>
  </si>
  <si>
    <t>Nba 2012</t>
  </si>
  <si>
    <t>Prey</t>
  </si>
  <si>
    <t>MI 8 LITE</t>
  </si>
  <si>
    <t>Need For Speed Carbon</t>
  </si>
  <si>
    <t>Prince Of Persia Prodigy</t>
  </si>
  <si>
    <t>RD NOTE 8 PRO</t>
  </si>
  <si>
    <t>M10S</t>
  </si>
  <si>
    <t>Need For Speed Hot Mostwanted</t>
  </si>
  <si>
    <t>Prototype 2</t>
  </si>
  <si>
    <t>RM NOTE 9S</t>
  </si>
  <si>
    <t>A71 - A80</t>
  </si>
  <si>
    <t>Need For Speed Hot Pursuit</t>
  </si>
  <si>
    <t xml:space="preserve">Rango </t>
  </si>
  <si>
    <t xml:space="preserve">RM 9 </t>
  </si>
  <si>
    <t>SAMSUNG M21S / SAMSUNG M31</t>
  </si>
  <si>
    <t>Need For Speed Underground</t>
  </si>
  <si>
    <t>Rapala For Kinect</t>
  </si>
  <si>
    <t>RM 9C</t>
  </si>
  <si>
    <t>A23 / A12 / A32 / MOTO E 7 PLUS / A23 / A03S / REDMI 9 POWER / REDMI 9T / REALME C11 / REALME C25 / POCO M3 / REDMI 9A / REDMI 9I</t>
  </si>
  <si>
    <t>Neeed For Speed Underground 2</t>
  </si>
  <si>
    <t>Ratatouille</t>
  </si>
  <si>
    <t>9T</t>
  </si>
  <si>
    <t>REDMI NOTE 8T / REDMI NOTE 9 4G / POCO M3</t>
  </si>
  <si>
    <t>Nicktoons Attack Of Th Toybots</t>
  </si>
  <si>
    <t>Rio</t>
  </si>
  <si>
    <t>XM NOTE 10 PRO</t>
  </si>
  <si>
    <t>A73 / M51 / A52 / A71 / A72 / A21S / A21 / MOTO G STYLUS / REDMI NOTE 10 / REDMI NOTE 10S / REDMI NOTE 10 PRO / MI 11 i / XIAOMI MI 11 LITE</t>
  </si>
  <si>
    <t>One Piegce Grand Adventure</t>
  </si>
  <si>
    <t>Rise Of The Argonauts</t>
  </si>
  <si>
    <t>XM 10 LITE</t>
  </si>
  <si>
    <t>Over The Hedge</t>
  </si>
  <si>
    <t>Risen</t>
  </si>
  <si>
    <t>RM 10C</t>
  </si>
  <si>
    <t>P4 Persona 4</t>
  </si>
  <si>
    <t>Risen 2</t>
  </si>
  <si>
    <t>NOTE 10 PRO</t>
  </si>
  <si>
    <t>G53 / G32 / G82 / G71 REDIMI NOTE 10 PRO / XIAOMI MI11 / SAMSUNG A72 / LG K51S / SAMSUNG A73 / MI 11 LITE</t>
  </si>
  <si>
    <t>Pac Man Word 3</t>
  </si>
  <si>
    <t>Risen 3</t>
  </si>
  <si>
    <t>NOTE 10 4G</t>
  </si>
  <si>
    <t>Panzer elite action</t>
  </si>
  <si>
    <t>Rock Band 3</t>
  </si>
  <si>
    <t>RM NOTE 11 / 11S / 12S</t>
  </si>
  <si>
    <t>NOTE 10 / A51 / A11 / S20 FE</t>
  </si>
  <si>
    <t>Pes 2013</t>
  </si>
  <si>
    <t>Rock Of The Dead</t>
  </si>
  <si>
    <t>RM NOTE 11 4G</t>
  </si>
  <si>
    <t>Pes 2019</t>
  </si>
  <si>
    <t>Saints Row The Third</t>
  </si>
  <si>
    <t xml:space="preserve">RM NOTE 12 PRO </t>
  </si>
  <si>
    <t>Pes 2024</t>
  </si>
  <si>
    <t>Section 8</t>
  </si>
  <si>
    <t>RM 12</t>
  </si>
  <si>
    <t>Pes Treme Terra V10</t>
  </si>
  <si>
    <t>Sherek Forever After</t>
  </si>
  <si>
    <t>RM NOTE 12</t>
  </si>
  <si>
    <t>Peter Jacksons King Kong</t>
  </si>
  <si>
    <t>Singularity</t>
  </si>
  <si>
    <t>NOTE 12 C</t>
  </si>
  <si>
    <t>Rainbow Six 3</t>
  </si>
  <si>
    <t xml:space="preserve">Sombras De Mordor </t>
  </si>
  <si>
    <t>NOTE 12 S</t>
  </si>
  <si>
    <t>Soul Calibur V</t>
  </si>
  <si>
    <t>RM NOTE 13 PRO</t>
  </si>
  <si>
    <t>Red Dead Revolver</t>
  </si>
  <si>
    <t>Spide-Man Shattered Dimensions</t>
  </si>
  <si>
    <t>RM 13 C</t>
  </si>
  <si>
    <t>Samsung Galaxy A06 - A05 / A05S / Redmi 13C / Realme Note 50 / Realme C53 / Realme C51 / Realme C61 / Poco C65</t>
  </si>
  <si>
    <t>Resident Evil Code Veronica Dublado</t>
  </si>
  <si>
    <t>Spiden-Man Edge Of Time</t>
  </si>
  <si>
    <t>PC F5 /F5 PRO</t>
  </si>
  <si>
    <t>Rumble Roses</t>
  </si>
  <si>
    <t xml:space="preserve">Spider man the amazing </t>
  </si>
  <si>
    <t>PC M5 4G</t>
  </si>
  <si>
    <t>Saint Sena</t>
  </si>
  <si>
    <t>Spider-Man The Amazing 2</t>
  </si>
  <si>
    <t>X6 / X6 PRO</t>
  </si>
  <si>
    <t>Scooby-Doo</t>
  </si>
  <si>
    <t>Splinter Cell Clacklist</t>
  </si>
  <si>
    <t>XM A3</t>
  </si>
  <si>
    <t>Sega Essentials 7X1</t>
  </si>
  <si>
    <t>Spyro</t>
  </si>
  <si>
    <t>POCO M3</t>
  </si>
  <si>
    <t>Sherek 2</t>
  </si>
  <si>
    <t>Star Trek Legacy</t>
  </si>
  <si>
    <t>NOTE 20 5G</t>
  </si>
  <si>
    <t>Sherek The Third</t>
  </si>
  <si>
    <t>Star Wars The Force</t>
  </si>
  <si>
    <t>PC X3</t>
  </si>
  <si>
    <t>Socom Combined Assault</t>
  </si>
  <si>
    <t>Street Fighter 4</t>
  </si>
  <si>
    <t>Sonic Utimate Genesis</t>
  </si>
  <si>
    <t xml:space="preserve">Tdu 2 </t>
  </si>
  <si>
    <t>Spider-Man 3</t>
  </si>
  <si>
    <t>Tekken Tag Tournaments 2</t>
  </si>
  <si>
    <t>Spider-Man Frien Or Foe</t>
  </si>
  <si>
    <t>Terraria</t>
  </si>
  <si>
    <t>Spider-Man Web Of Shadowns</t>
  </si>
  <si>
    <t xml:space="preserve">Test Drive Ferrari </t>
  </si>
  <si>
    <t>The Cursed Crusade</t>
  </si>
  <si>
    <t>Super Bomba Patch 2024</t>
  </si>
  <si>
    <t>The Golden Compass</t>
  </si>
  <si>
    <t>Super Bomba Patch 2025</t>
  </si>
  <si>
    <t>The king of fighters XIII</t>
  </si>
  <si>
    <t>Super Coleçao 7784 Jogos</t>
  </si>
  <si>
    <t>The Smurfs 2</t>
  </si>
  <si>
    <t>Super Hero Squad</t>
  </si>
  <si>
    <t>the witcher 2</t>
  </si>
  <si>
    <t>Superman Retur</t>
  </si>
  <si>
    <t>Thor</t>
  </si>
  <si>
    <t>Tarzan</t>
  </si>
  <si>
    <t>Tom Clancys vegas 2</t>
  </si>
  <si>
    <t>Teen Titans</t>
  </si>
  <si>
    <t>Vanquish</t>
  </si>
  <si>
    <t>Test drive ferrari</t>
  </si>
  <si>
    <t>W2K17</t>
  </si>
  <si>
    <t>The Godfather</t>
  </si>
  <si>
    <t>Warriors Oroch 2</t>
  </si>
  <si>
    <t>The Punisher</t>
  </si>
  <si>
    <t xml:space="preserve">Watchmen </t>
  </si>
  <si>
    <t>The Simpsons Hit &amp; Run</t>
  </si>
  <si>
    <t>Where The Wild Things Are</t>
  </si>
  <si>
    <t>The Simpsons Road Rage</t>
  </si>
  <si>
    <t>Wolfenstein</t>
  </si>
  <si>
    <t>The Sims 2</t>
  </si>
  <si>
    <t>Wsc Real 11</t>
  </si>
  <si>
    <t>The Spiderwick</t>
  </si>
  <si>
    <t>Xcom Enemy Within</t>
  </si>
  <si>
    <t>The Warriors</t>
  </si>
  <si>
    <t>Time Crises 3</t>
  </si>
  <si>
    <t>tomb raider underworld</t>
  </si>
  <si>
    <t>Toy Store 3</t>
  </si>
  <si>
    <t>Truecrime New York City</t>
  </si>
  <si>
    <t>Urban Reigh</t>
  </si>
  <si>
    <t>Woody Woodpecker</t>
  </si>
  <si>
    <t>Xman Origins Wolverine</t>
  </si>
  <si>
    <t>Avatar - The Legend of Aang</t>
  </si>
  <si>
    <t>Digital</t>
  </si>
  <si>
    <t>Battle Stadium D O N Latino Final</t>
  </si>
  <si>
    <t>Black Dublado</t>
  </si>
  <si>
    <t>Bully Dublado v1.0 PT-BR</t>
  </si>
  <si>
    <t>Darkwatch Hack Edition</t>
  </si>
  <si>
    <t>Devil May Cry 3 Dublado em PT-BR</t>
  </si>
  <si>
    <t>Dragon Ball Budokai Tenkaichi 4 Dublado V4</t>
  </si>
  <si>
    <t>FIFA Street</t>
  </si>
  <si>
    <t>God Of PES 2023</t>
  </si>
  <si>
    <t>God Of War 1 Dublado</t>
  </si>
  <si>
    <t>God of War 2 Dublado</t>
  </si>
  <si>
    <t>Gran Turismo 4 Hack Edition</t>
  </si>
  <si>
    <t>GTA III Mod Menu Hack Edition</t>
  </si>
  <si>
    <t>GTA San Andreas Dublado</t>
  </si>
  <si>
    <t>Guitar Hero 1 (PT-BR)</t>
  </si>
  <si>
    <t>Guitar Hero III - Legends of Rock PT-BR)</t>
  </si>
  <si>
    <t>ICE AGE 2 THE MELTDOWN</t>
  </si>
  <si>
    <t>Jurassic Park</t>
  </si>
  <si>
    <t>Kung Fu Panda PT-BR</t>
  </si>
  <si>
    <t>Marvel vs Capcom 2 Hack Edition Down Remix</t>
  </si>
  <si>
    <t>Medal of Honor - European Assault</t>
  </si>
  <si>
    <t>Medal of Honor Rising Sun</t>
  </si>
  <si>
    <t>METAL GEAR SOLID 2</t>
  </si>
  <si>
    <t>MIDNIGHT CLUB 3 REMIX</t>
  </si>
  <si>
    <t>Mortal Kombat - Shaolin Monks (PT-BR)</t>
  </si>
  <si>
    <t>Mortal Kombat Arcade  Collection</t>
  </si>
  <si>
    <t>Mortal Kombat Armageddon</t>
  </si>
  <si>
    <t>Motoqueiro Fantasma PT-BR</t>
  </si>
  <si>
    <t>Naruto Shippuden - Kizuna Drive</t>
  </si>
  <si>
    <t xml:space="preserve">Need for Speed Carbon </t>
  </si>
  <si>
    <t xml:space="preserve">Need For Speed Most Wanted Black Edition </t>
  </si>
  <si>
    <t xml:space="preserve">Need for Speed Undercover </t>
  </si>
  <si>
    <t>Need for Speed Underground 1</t>
  </si>
  <si>
    <t>Need for Speed Underground 2 Dublado</t>
  </si>
  <si>
    <t>PES 2019 ADVANCED V2.0</t>
  </si>
  <si>
    <t>PES 2026 Axel CM Final Edition</t>
  </si>
  <si>
    <t>Pokémon GBA Collection</t>
  </si>
  <si>
    <t>Prince of Persia - The Sands of Time PT-BR</t>
  </si>
  <si>
    <t>resident evil 4 PTBR</t>
  </si>
  <si>
    <t>The King of Fighters 98 Ultimate - Match</t>
  </si>
  <si>
    <t>The King of Fighters 2002 Unlimited Match</t>
  </si>
  <si>
    <t>Tony Hawk's Pro Skater 4</t>
  </si>
  <si>
    <t>Ultimate Spider-Man - Limited Edition (BR)</t>
  </si>
  <si>
    <t>Yu-Gi-Oh! Capsule Monsters</t>
  </si>
  <si>
    <t>Total de vendas</t>
  </si>
  <si>
    <t>Uni</t>
  </si>
  <si>
    <t>Ano</t>
  </si>
  <si>
    <t>Valor vendido</t>
  </si>
  <si>
    <t>Jogo ps2 shopee</t>
  </si>
  <si>
    <t>serviço aleatorio</t>
  </si>
  <si>
    <t>Carregador completo iphone</t>
  </si>
  <si>
    <t>cheirinho</t>
  </si>
  <si>
    <t xml:space="preserve">nterruptor De Controle Remoto </t>
  </si>
  <si>
    <t>Restauraçao dados</t>
  </si>
  <si>
    <t>gravaçao de musica</t>
  </si>
  <si>
    <t>boneco lego kit</t>
  </si>
  <si>
    <t>Pen Drive Com 10 Jogos Para PS2</t>
  </si>
  <si>
    <t>protetor documento</t>
  </si>
  <si>
    <t>kit maçarico</t>
  </si>
  <si>
    <t>lixa de unha</t>
  </si>
  <si>
    <t>chip sem recarga</t>
  </si>
  <si>
    <t>brinquedo arminha</t>
  </si>
  <si>
    <t>caixa de som pc</t>
  </si>
  <si>
    <t>bolinha de gel</t>
  </si>
  <si>
    <t>fone p9</t>
  </si>
  <si>
    <t>cabo colorido</t>
  </si>
  <si>
    <t>capinha iphone</t>
  </si>
  <si>
    <t>cabo de força 3</t>
  </si>
  <si>
    <t>arminha de agua</t>
  </si>
  <si>
    <t>opl 16 mb</t>
  </si>
  <si>
    <t>pendrive 32</t>
  </si>
  <si>
    <t>conversor vga para hdmi</t>
  </si>
  <si>
    <t>mouse sem fio</t>
  </si>
  <si>
    <t>chaveiro</t>
  </si>
  <si>
    <t>formataçao</t>
  </si>
  <si>
    <t>Coleção_4_Jogos_Ben_10_PS2</t>
  </si>
  <si>
    <t>cartao micro sd 16gb</t>
  </si>
  <si>
    <t>suporte veicular</t>
  </si>
  <si>
    <t xml:space="preserve">lanterna </t>
  </si>
  <si>
    <t>JOGOS DE PS2</t>
  </si>
  <si>
    <t>Relatório de Vendas por Mês</t>
  </si>
  <si>
    <t>Nome do Mês</t>
  </si>
  <si>
    <t>Quantidade Vendida</t>
  </si>
  <si>
    <t>Valor Total Vendido</t>
  </si>
  <si>
    <t>Lucro Total</t>
  </si>
  <si>
    <t>Total 2024</t>
  </si>
  <si>
    <t>Total 2025</t>
  </si>
  <si>
    <t>Total 2026</t>
  </si>
  <si>
    <t>TOTAL GERAL</t>
  </si>
  <si>
    <t>opl</t>
  </si>
  <si>
    <t>memorycard</t>
  </si>
  <si>
    <t>260214MX09MKJK</t>
  </si>
  <si>
    <t>Power Vox 12 Polegadas 800w</t>
  </si>
  <si>
    <t>gatilho simples</t>
  </si>
  <si>
    <t>260214PRACWP1G</t>
  </si>
  <si>
    <t>260214NC6AV4AW</t>
  </si>
  <si>
    <t>260213HSDSJMQX</t>
  </si>
  <si>
    <t>260216UC5PEXQS</t>
  </si>
  <si>
    <t>260216T9YQWBCN</t>
  </si>
  <si>
    <t>260216UB0PYHCE</t>
  </si>
  <si>
    <t>260215S10WG2NV</t>
  </si>
  <si>
    <t>260215QY2AJYYW</t>
  </si>
  <si>
    <t>260215S0NNWVA1</t>
  </si>
  <si>
    <t>2602181G0BWP7K</t>
  </si>
  <si>
    <t>2602170V61Y572</t>
  </si>
  <si>
    <t>jogo de faqueiro</t>
  </si>
  <si>
    <t xml:space="preserve">ana </t>
  </si>
  <si>
    <t>luvinhas dedo</t>
  </si>
  <si>
    <t>2602194QD3PDMR</t>
  </si>
  <si>
    <t>Adaptador Tomada</t>
  </si>
  <si>
    <t>260219506EESHD</t>
  </si>
  <si>
    <t>26022088CEW7MH</t>
  </si>
  <si>
    <t>kit opl + 32gb</t>
  </si>
  <si>
    <t>582693256409416785</t>
  </si>
  <si>
    <t>582671832439162687</t>
  </si>
  <si>
    <t>pente</t>
  </si>
  <si>
    <t>alea</t>
  </si>
  <si>
    <t>cliente instagram</t>
  </si>
  <si>
    <t>SSd 240gb</t>
  </si>
  <si>
    <t>cartinha 50</t>
  </si>
  <si>
    <t>260223E5E800MU</t>
  </si>
  <si>
    <t>Par Alto Falante Snake Pro ESV320</t>
  </si>
  <si>
    <t>260223DWGFD4CB</t>
  </si>
  <si>
    <t>cliente ps2 Victor Brandão</t>
  </si>
  <si>
    <t>mara</t>
  </si>
  <si>
    <t>582767102684267825</t>
  </si>
  <si>
    <t>260224HATE1P51</t>
  </si>
  <si>
    <t>582832973697222108</t>
  </si>
  <si>
    <t>582802201370330561</t>
  </si>
  <si>
    <t>cabo hdmi</t>
  </si>
  <si>
    <t>ps2</t>
  </si>
  <si>
    <t>adptador hdmi ps2</t>
  </si>
  <si>
    <t>cliente ps2</t>
  </si>
  <si>
    <t>mouse pad</t>
  </si>
  <si>
    <t>computador</t>
  </si>
  <si>
    <t>computador 1 in all lenovo</t>
  </si>
  <si>
    <t>entrada</t>
  </si>
  <si>
    <t>estensao 10m</t>
  </si>
  <si>
    <t>cabo de força 2 pinos</t>
  </si>
  <si>
    <t>camera dupla</t>
  </si>
  <si>
    <t>patricia</t>
  </si>
  <si>
    <t>camera simples</t>
  </si>
  <si>
    <t>Cartao de memoria 64gb</t>
  </si>
  <si>
    <t>brinquedo aviao</t>
  </si>
  <si>
    <t>hd 750gb</t>
  </si>
  <si>
    <t xml:space="preserve">titwwer </t>
  </si>
  <si>
    <t>olx</t>
  </si>
  <si>
    <t>582949664542655793</t>
  </si>
  <si>
    <t>582969363430213371</t>
  </si>
  <si>
    <t>aleatoria</t>
  </si>
  <si>
    <t>cabo iphone 2m</t>
  </si>
  <si>
    <t>2603143RH3G5SJ</t>
  </si>
  <si>
    <t>260311SUCVJT5B</t>
  </si>
  <si>
    <t>260312UJJBBAVE</t>
  </si>
  <si>
    <t>260311SA40Y1F8</t>
  </si>
  <si>
    <t>260311SNXJHKSB</t>
  </si>
  <si>
    <t>260313103HV5F6</t>
  </si>
  <si>
    <t>26031325T58KDX</t>
  </si>
  <si>
    <t>2603131G6CJM2Y</t>
  </si>
  <si>
    <t>2603143K853WWM</t>
  </si>
  <si>
    <t>2603145F5U847D</t>
  </si>
  <si>
    <t>583028210992842730</t>
  </si>
  <si>
    <t>583003560395768948</t>
  </si>
  <si>
    <t>583076402794039259</t>
  </si>
  <si>
    <t>Case hd 2.5</t>
  </si>
  <si>
    <t>2603156GA6X2KW</t>
  </si>
  <si>
    <t>evok 280 rms</t>
  </si>
  <si>
    <t>2603168MB44W5B</t>
  </si>
  <si>
    <t>2603157YRJQ60Y</t>
  </si>
  <si>
    <t>2603168N84XUJ5</t>
  </si>
  <si>
    <t>2603169878A177</t>
  </si>
  <si>
    <t>fonte de celular simples</t>
  </si>
  <si>
    <t>260320MRH5UP5A</t>
  </si>
  <si>
    <t>260323UA87XECC</t>
  </si>
  <si>
    <t>fone pmcell</t>
  </si>
  <si>
    <t>hd 1t</t>
  </si>
  <si>
    <t>583086581104871031</t>
  </si>
  <si>
    <t>583098538648110579</t>
  </si>
  <si>
    <t>583114960457861054</t>
  </si>
  <si>
    <t>583128761118000431</t>
  </si>
  <si>
    <t>583128912663119443</t>
  </si>
  <si>
    <t>583155029219772144</t>
  </si>
  <si>
    <t>583191996668544497</t>
  </si>
  <si>
    <t>notebook terceiro</t>
  </si>
  <si>
    <t>frigideira ovo</t>
  </si>
  <si>
    <t>bolsa termica</t>
  </si>
  <si>
    <t>gravaçao</t>
  </si>
  <si>
    <t>balança grande</t>
  </si>
  <si>
    <t>mochila termica</t>
  </si>
  <si>
    <t>2604052N4YAKVP</t>
  </si>
  <si>
    <t>260403U0Q395NK</t>
  </si>
  <si>
    <t>260403TU7QV6XT</t>
  </si>
  <si>
    <t>260401NR0BA272</t>
  </si>
  <si>
    <t>260328BWM81AGS</t>
  </si>
  <si>
    <t>260409CD2W2XJB</t>
  </si>
  <si>
    <t>260409BFX8SS7A</t>
  </si>
  <si>
    <t>260409BSHH7E0Q</t>
  </si>
  <si>
    <t>2604089DYV9NFE</t>
  </si>
  <si>
    <t>2604088H2RCBCG</t>
  </si>
  <si>
    <t>2604088EAMB58S</t>
  </si>
  <si>
    <t>26040888X1M69H</t>
  </si>
  <si>
    <t>2604088WQH4MP3</t>
  </si>
  <si>
    <t>2604077VFTMCCS</t>
  </si>
  <si>
    <t>583421944481809850</t>
  </si>
  <si>
    <t>583435469169263884</t>
  </si>
  <si>
    <t>583436730013615732</t>
  </si>
  <si>
    <t xml:space="preserve">cabo iphone </t>
  </si>
  <si>
    <t>vall pequena</t>
  </si>
  <si>
    <t>260410DK38AXXA</t>
  </si>
  <si>
    <t>260410DP6H17MK</t>
  </si>
  <si>
    <t>260410F789WW11</t>
  </si>
  <si>
    <t>pc dell</t>
  </si>
  <si>
    <t>carregador completo tipo c</t>
  </si>
  <si>
    <t>260413PV0SU306</t>
  </si>
  <si>
    <t>260411HKY18FYT</t>
  </si>
  <si>
    <t xml:space="preserve"> 260401NR0BA272</t>
  </si>
  <si>
    <t>260413NCR54MQE</t>
  </si>
  <si>
    <t>260414R65317J0</t>
  </si>
  <si>
    <t>260411G5FBQ3XV</t>
  </si>
  <si>
    <t>260411GFJ31RRA</t>
  </si>
  <si>
    <t>260412JPXBAC7T</t>
  </si>
  <si>
    <t>260412K9E3GT7K</t>
  </si>
  <si>
    <t>260412KUNPAFPG</t>
  </si>
  <si>
    <t>260413MR5QNNP9</t>
  </si>
  <si>
    <t>260413NHDG2M9S</t>
  </si>
  <si>
    <t>260413NQ1NXHYE</t>
  </si>
  <si>
    <t xml:space="preserve">Lanterna Multiuso 8 Em 1 </t>
  </si>
  <si>
    <t>260413PVYRRD3C</t>
  </si>
  <si>
    <t>260415SNH97YP2</t>
  </si>
  <si>
    <t>260414Q9STB3DN</t>
  </si>
  <si>
    <t>260414QVW70J9K</t>
  </si>
  <si>
    <t>2604172JHMVSDW</t>
  </si>
  <si>
    <t>26041847PHYC32</t>
  </si>
  <si>
    <t>26041619KGDYFH</t>
  </si>
  <si>
    <t>2604184UTQHWTB</t>
  </si>
  <si>
    <t>fone de ouvido para iphone</t>
  </si>
  <si>
    <t>mae bebe</t>
  </si>
  <si>
    <t>583479030878472056</t>
  </si>
  <si>
    <t>583479882090972614</t>
  </si>
  <si>
    <t>583496655317993267</t>
  </si>
  <si>
    <t>583507949532579537</t>
  </si>
  <si>
    <t>583508537126847701</t>
  </si>
  <si>
    <t>583535071876711979</t>
  </si>
  <si>
    <t>583549454049118089</t>
  </si>
  <si>
    <t>583551026406720705</t>
  </si>
  <si>
    <t>583553405403694455</t>
  </si>
  <si>
    <t>adaptador wifi</t>
  </si>
  <si>
    <t>260421C6SSPHA5</t>
  </si>
  <si>
    <t>260421C89S5NE6</t>
  </si>
  <si>
    <t>260421CMEX7DWT</t>
  </si>
  <si>
    <t>260421CNENTYWD</t>
  </si>
  <si>
    <t>260420BBSM223J</t>
  </si>
  <si>
    <t>2604209HXS1DJ5</t>
  </si>
  <si>
    <t>mouse simples</t>
  </si>
  <si>
    <t>teclado simples</t>
  </si>
  <si>
    <t>cabeça usp</t>
  </si>
  <si>
    <t>super cola</t>
  </si>
  <si>
    <t>relogio m2</t>
  </si>
  <si>
    <t>smartwhat xaiome</t>
  </si>
  <si>
    <t>balança digital</t>
  </si>
  <si>
    <t>jogos de xbox</t>
  </si>
  <si>
    <t>2604280T01SJ8T</t>
  </si>
  <si>
    <t>260423K0DD8TQ5</t>
  </si>
  <si>
    <t>260425NRMJTJ1W</t>
  </si>
  <si>
    <t>260426RJS23MB2</t>
  </si>
  <si>
    <t>260426S0SH02BJ</t>
  </si>
  <si>
    <t xml:space="preserve"> 2605019WWE8B9Y</t>
  </si>
  <si>
    <t>60502AD1TAKX0</t>
  </si>
  <si>
    <t>260502B264YRW1</t>
  </si>
  <si>
    <t>26042701X1MQWY</t>
  </si>
  <si>
    <t>260505JFA3YXQE</t>
  </si>
  <si>
    <t>260506MDXPYT4P</t>
  </si>
  <si>
    <t xml:space="preserve"> 260506MUHE6AAR</t>
  </si>
  <si>
    <t xml:space="preserve">carregador completo </t>
  </si>
  <si>
    <t>583876539229374042</t>
  </si>
  <si>
    <t>583899379960350386</t>
  </si>
  <si>
    <t>583915753558738499</t>
  </si>
  <si>
    <t>583619328241861914</t>
  </si>
  <si>
    <t>583637996265834144</t>
  </si>
  <si>
    <t>583657289674360718</t>
  </si>
  <si>
    <t>583699368798159949</t>
  </si>
  <si>
    <t>583729687816472455</t>
  </si>
  <si>
    <t>583847449511429402</t>
  </si>
  <si>
    <t>260507QWTJATPX</t>
  </si>
  <si>
    <t>260507RR9X6HP4</t>
  </si>
  <si>
    <t>karol</t>
  </si>
  <si>
    <t>cabo carregador tipoc</t>
  </si>
  <si>
    <t>carregador completo</t>
  </si>
  <si>
    <t>gravaçao musica</t>
  </si>
  <si>
    <t>260513951BNUXD</t>
  </si>
  <si>
    <t>2605126P91C4RV</t>
  </si>
  <si>
    <t>26051154M47D2S</t>
  </si>
  <si>
    <t>26051023Y32UH6</t>
  </si>
  <si>
    <t>carregador tipo c</t>
  </si>
  <si>
    <t>carregador veicular</t>
  </si>
  <si>
    <t>cabo e força</t>
  </si>
  <si>
    <t>bateria 2032</t>
  </si>
  <si>
    <t>Figurinhas copa ifood</t>
  </si>
  <si>
    <t>DAY</t>
  </si>
  <si>
    <t>SARAH</t>
  </si>
  <si>
    <t>figurinha separada ifood</t>
  </si>
  <si>
    <t>kalebe</t>
  </si>
  <si>
    <t>Figurinhas copa brasil</t>
  </si>
  <si>
    <t>figurinhas copa brasil</t>
  </si>
  <si>
    <t xml:space="preserve">ferro de passar roupa </t>
  </si>
  <si>
    <t>relogio pequeno</t>
  </si>
  <si>
    <t>ssd 12gb</t>
  </si>
  <si>
    <t>figurinhas</t>
  </si>
  <si>
    <t xml:space="preserve">fone xaiome </t>
  </si>
  <si>
    <t>bandeirinha 3m</t>
  </si>
  <si>
    <t>porta rg</t>
  </si>
  <si>
    <t>cartinha neymar</t>
  </si>
  <si>
    <t>mikaely</t>
  </si>
  <si>
    <t>61 9368-7737</t>
  </si>
  <si>
    <t>Brasília</t>
  </si>
  <si>
    <t xml:space="preserve">Observação do serviço: </t>
  </si>
  <si>
    <t xml:space="preserve">Notebook Samsung RV415, com fonte, formatação simples. </t>
  </si>
  <si>
    <t>grvaçao de musica</t>
  </si>
  <si>
    <t xml:space="preserve">jogo ps2 </t>
  </si>
  <si>
    <t>260520TGBK12TA</t>
  </si>
  <si>
    <t>Power Vox 12 Polegadas 1000w</t>
  </si>
  <si>
    <t>260520TGBK12TB</t>
  </si>
  <si>
    <t>260515EU5QUHSW</t>
  </si>
  <si>
    <t>260526DTGJEGPQ</t>
  </si>
  <si>
    <t>260528HKCF4DH2</t>
  </si>
  <si>
    <t>Arquivo pdf Shopee</t>
  </si>
  <si>
    <t>260531S85XH2CM</t>
  </si>
  <si>
    <t>260531U9XWGJNQ</t>
  </si>
  <si>
    <t>260525C758V5PB</t>
  </si>
  <si>
    <t>260527FM7VYVW5</t>
  </si>
  <si>
    <t>260531UBQR4QEB</t>
  </si>
  <si>
    <t>260529MV79AB08</t>
  </si>
  <si>
    <t>260526D8R6YTW1</t>
  </si>
  <si>
    <t>2605248BHY5FNX</t>
  </si>
  <si>
    <t>260529PCMCB6M5</t>
  </si>
  <si>
    <t>260528J1MSR1WM</t>
  </si>
  <si>
    <t>260529MJP3NUNV</t>
  </si>
  <si>
    <t>260529P78M9G45</t>
  </si>
  <si>
    <t xml:space="preserve"> 260529NXFECXMX</t>
  </si>
  <si>
    <t>260601UG0U18WR</t>
  </si>
  <si>
    <t>260601UGBQ39NJ</t>
  </si>
  <si>
    <t>260601UKQAUR2H</t>
  </si>
  <si>
    <t>260601UXGQ01BJ</t>
  </si>
  <si>
    <t>2606010MJDNVMR</t>
  </si>
  <si>
    <t>Evok 6'' 6mb300 300w Rms Mid Bass</t>
  </si>
  <si>
    <t>260529MB8B6BM6</t>
  </si>
  <si>
    <t>260530PMRMR99A</t>
  </si>
  <si>
    <t>260602355XYHPS</t>
  </si>
  <si>
    <t>2606021D7H2QCC</t>
  </si>
  <si>
    <t>2606020YFPP4MQ</t>
  </si>
  <si>
    <t>2606035MGQMDYY</t>
  </si>
  <si>
    <t>2606034202M90X</t>
  </si>
  <si>
    <t xml:space="preserve">Evok 6x9 280rms 560w 4ohms </t>
  </si>
  <si>
    <t>2606045XY8MGF4</t>
  </si>
  <si>
    <t>Power Vox 12 Polegadas 1000w Rms 4 Ohms Preto</t>
  </si>
  <si>
    <t>2606045Y090WHW</t>
  </si>
  <si>
    <t xml:space="preserve"> 2606033UE8PV0V</t>
  </si>
  <si>
    <t>2606035KKVFRNU</t>
  </si>
  <si>
    <t>2606046MGAH404</t>
  </si>
  <si>
    <t>260606B1XKPJYT</t>
  </si>
  <si>
    <t>260606B6MYY3DX</t>
  </si>
  <si>
    <t>2606046P31KQAH</t>
  </si>
  <si>
    <t>2606058PUG6HXN</t>
  </si>
  <si>
    <t>260606B1FWFNXG</t>
  </si>
  <si>
    <t>26060590G5B9P4</t>
  </si>
  <si>
    <t>260606AY2SD1DW</t>
  </si>
  <si>
    <t>26060481Y18VMK</t>
  </si>
  <si>
    <t>260606BPCWMEVU</t>
  </si>
  <si>
    <t xml:space="preserve">Evok 6'' 6mb300 300w Rms Mid Bass </t>
  </si>
  <si>
    <t xml:space="preserve">memorycard opl </t>
  </si>
  <si>
    <t>figurinha personalizada</t>
  </si>
  <si>
    <t>valor recebido</t>
  </si>
  <si>
    <t>valor a pagar</t>
  </si>
  <si>
    <t>lucro</t>
  </si>
  <si>
    <t>valor anuncio</t>
  </si>
  <si>
    <t>valor 
desocnto</t>
  </si>
  <si>
    <t>Valor da taxa</t>
  </si>
  <si>
    <t>mini boby god</t>
  </si>
  <si>
    <t>usina</t>
  </si>
  <si>
    <t>album de figurinhas</t>
  </si>
  <si>
    <t>figurinhas da copa</t>
  </si>
  <si>
    <t>vuvulzela</t>
  </si>
  <si>
    <t>Opl</t>
  </si>
  <si>
    <t>chaveiro copa</t>
  </si>
  <si>
    <t>bandeira carro</t>
  </si>
  <si>
    <t>cartinha pokemon</t>
  </si>
  <si>
    <t>bola de futebol</t>
  </si>
  <si>
    <t>mikaelle</t>
  </si>
  <si>
    <t>pdf da copa</t>
  </si>
  <si>
    <t>gravação ps2</t>
  </si>
  <si>
    <t>impressao figurinhas</t>
  </si>
  <si>
    <t>tv box unitv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</si>
</sst>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\ * #,##0.00_-;\-&quot;R$&quot;\ * #,##0.00_-;_-&quot;R$&quot;\ * &quot;-&quot;??_-;_-@"/>
    <numFmt numFmtId="165" formatCode="&quot;R$&quot;\ #,##0.00"/>
    <numFmt numFmtId="166" formatCode="_-* #,##0_-;\-* #,##0_-;_-* &quot;-&quot;??_-;_-@_-"/>
    <numFmt numFmtId="167" formatCode="\R\$\ #,##0.00"/>
  </numFmts>
  <fonts count="65">
    <font>
      <sz val="11"/>
      <color theme="1"/>
      <name val="Calibri"/>
      <scheme val="minor"/>
    </font>
    <font>
      <b/>
      <sz val="16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theme="0"/>
      <name val="Calibri"/>
      <family val="2"/>
    </font>
    <font>
      <sz val="10"/>
      <color theme="1"/>
      <name val="Open Sans"/>
      <family val="2"/>
    </font>
    <font>
      <b/>
      <sz val="12"/>
      <color theme="1"/>
      <name val="Open Sans"/>
      <family val="2"/>
    </font>
    <font>
      <sz val="11"/>
      <color rgb="FF0000FF"/>
      <name val="Open Sans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b/>
      <sz val="12"/>
      <color theme="1"/>
      <name val="Calibri"/>
      <family val="2"/>
    </font>
    <font>
      <b/>
      <sz val="11"/>
      <color theme="0"/>
      <name val="Open Sans"/>
      <family val="2"/>
    </font>
    <font>
      <b/>
      <sz val="11"/>
      <color rgb="FFFFFFFF"/>
      <name val="Open Sans"/>
      <family val="2"/>
    </font>
    <font>
      <b/>
      <sz val="11"/>
      <color theme="0"/>
      <name val="Calibri"/>
      <family val="2"/>
    </font>
    <font>
      <sz val="10"/>
      <color rgb="FF0070C0"/>
      <name val="Open Sans"/>
      <family val="2"/>
    </font>
    <font>
      <sz val="10"/>
      <color theme="0"/>
      <name val="Open Sans"/>
      <family val="2"/>
    </font>
    <font>
      <b/>
      <sz val="10"/>
      <color theme="0"/>
      <name val="Open Sans"/>
      <family val="2"/>
    </font>
    <font>
      <b/>
      <i/>
      <sz val="10"/>
      <color rgb="FFFFFFFF"/>
      <name val="Open Sans"/>
      <family val="2"/>
    </font>
    <font>
      <sz val="11"/>
      <color rgb="FF0070C0"/>
      <name val="Calibri"/>
      <family val="2"/>
    </font>
    <font>
      <b/>
      <sz val="11"/>
      <color rgb="FFFFFFFF"/>
      <name val="Calibri"/>
      <family val="2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1"/>
      <color rgb="FF212121"/>
      <name val="Arial"/>
      <family val="2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name val="Calibri"/>
      <family val="2"/>
    </font>
    <font>
      <b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rgb="FF000000"/>
      <name val="Open Sans"/>
      <family val="2"/>
    </font>
    <font>
      <sz val="11"/>
      <color rgb="FF000000"/>
      <name val="Calibri"/>
      <family val="2"/>
      <scheme val="minor"/>
    </font>
    <font>
      <b/>
      <i/>
      <sz val="10"/>
      <color rgb="FF000000"/>
      <name val="Open Sans"/>
      <family val="2"/>
    </font>
    <font>
      <sz val="11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 Unicode MS"/>
    </font>
    <font>
      <b/>
      <sz val="12"/>
      <color rgb="FF000000"/>
      <name val="Open Sans"/>
      <family val="2"/>
    </font>
    <font>
      <b/>
      <sz val="16"/>
      <name val="Aptos Narrow"/>
      <family val="2"/>
    </font>
    <font>
      <b/>
      <sz val="12"/>
      <name val="Aptos Narrow"/>
      <family val="2"/>
    </font>
    <font>
      <b/>
      <sz val="14"/>
      <name val="Aptos Narrow"/>
      <family val="2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Segoe UI"/>
      <family val="2"/>
    </font>
    <font>
      <u/>
      <sz val="10"/>
      <color rgb="FF000000"/>
      <name val="Open Sans"/>
      <family val="2"/>
    </font>
    <font>
      <b/>
      <sz val="36"/>
      <color theme="1"/>
      <name val="Calibri"/>
      <family val="2"/>
      <scheme val="minor"/>
    </font>
    <font>
      <u val="singleAccounting"/>
      <sz val="10"/>
      <color rgb="FF000000"/>
      <name val="Open Sans"/>
      <family val="2"/>
    </font>
    <font>
      <u val="singleAccounting"/>
      <sz val="11"/>
      <color rgb="FF000000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sz val="10"/>
      <color theme="1"/>
      <name val="Open Sans"/>
    </font>
    <font>
      <sz val="11"/>
      <color rgb="FF0061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theme="1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8D8D8"/>
      </patternFill>
    </fill>
    <fill>
      <patternFill patternType="solid">
        <fgColor rgb="FFFFFF00"/>
      </patternFill>
    </fill>
    <fill>
      <patternFill patternType="solid">
        <fgColor rgb="FFC6EFCE"/>
      </patternFill>
    </fill>
    <fill>
      <patternFill patternType="solid">
        <fgColor rgb="FFDEEAF6"/>
      </patternFill>
    </fill>
    <fill>
      <patternFill patternType="solid">
        <fgColor rgb="FFD9E2F3"/>
      </patternFill>
    </fill>
    <fill>
      <patternFill patternType="solid">
        <fgColor rgb="FF61FD9C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00B05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B4C6E7"/>
      </patternFill>
    </fill>
    <fill>
      <patternFill patternType="solid">
        <fgColor theme="3" tint="4.9989318521683403E-2"/>
        <bgColor indexed="65"/>
      </patternFill>
    </fill>
    <fill>
      <patternFill patternType="solid">
        <fgColor theme="0"/>
      </patternFill>
    </fill>
    <fill>
      <patternFill patternType="solid">
        <fgColor theme="3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ADD8E6"/>
      </patternFill>
    </fill>
    <fill>
      <patternFill patternType="solid">
        <fgColor rgb="FFD3D3D3"/>
      </patternFill>
    </fill>
    <fill>
      <patternFill patternType="solid">
        <fgColor rgb="FFFFFFE0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002060"/>
        <bgColor rgb="FF00206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">
    <xf numFmtId="0" fontId="0" fillId="0" borderId="1"/>
    <xf numFmtId="44" fontId="55" fillId="0" borderId="1" applyFont="0" applyFill="0" applyBorder="0" applyAlignment="0" applyProtection="0"/>
    <xf numFmtId="9" fontId="55" fillId="0" borderId="1" applyFont="0" applyFill="0" applyBorder="0" applyAlignment="0" applyProtection="0"/>
    <xf numFmtId="43" fontId="55" fillId="0" borderId="1" applyFont="0" applyFill="0" applyBorder="0" applyAlignment="0" applyProtection="0"/>
  </cellStyleXfs>
  <cellXfs count="329">
    <xf numFmtId="0" fontId="0" fillId="0" borderId="1" xfId="0"/>
    <xf numFmtId="0" fontId="11" fillId="2" borderId="6" xfId="0" applyFont="1" applyFill="1" applyBorder="1" applyAlignment="1">
      <alignment horizontal="center" vertical="center"/>
    </xf>
    <xf numFmtId="14" fontId="11" fillId="2" borderId="6" xfId="0" applyNumberFormat="1" applyFont="1" applyFill="1" applyBorder="1" applyAlignment="1">
      <alignment horizontal="center" vertical="center"/>
    </xf>
    <xf numFmtId="49" fontId="11" fillId="2" borderId="6" xfId="0" applyNumberFormat="1" applyFont="1" applyFill="1" applyBorder="1" applyAlignment="1">
      <alignment horizontal="center" vertical="center"/>
    </xf>
    <xf numFmtId="1" fontId="11" fillId="2" borderId="6" xfId="0" applyNumberFormat="1" applyFont="1" applyFill="1" applyBorder="1" applyAlignment="1">
      <alignment horizontal="center" vertical="center"/>
    </xf>
    <xf numFmtId="164" fontId="11" fillId="2" borderId="6" xfId="0" applyNumberFormat="1" applyFont="1" applyFill="1" applyBorder="1" applyAlignment="1">
      <alignment horizontal="center" vertical="center" wrapText="1"/>
    </xf>
    <xf numFmtId="164" fontId="12" fillId="2" borderId="6" xfId="0" applyNumberFormat="1" applyFont="1" applyFill="1" applyBorder="1" applyAlignment="1">
      <alignment horizontal="center" vertical="center" wrapText="1"/>
    </xf>
    <xf numFmtId="49" fontId="12" fillId="2" borderId="6" xfId="0" applyNumberFormat="1" applyFont="1" applyFill="1" applyBorder="1" applyAlignment="1">
      <alignment horizontal="center" vertical="center" wrapText="1"/>
    </xf>
    <xf numFmtId="165" fontId="11" fillId="2" borderId="6" xfId="0" applyNumberFormat="1" applyFont="1" applyFill="1" applyBorder="1" applyAlignment="1">
      <alignment horizontal="center" vertical="center" wrapText="1"/>
    </xf>
    <xf numFmtId="164" fontId="11" fillId="2" borderId="7" xfId="0" applyNumberFormat="1" applyFont="1" applyFill="1" applyBorder="1" applyAlignment="1">
      <alignment horizontal="center" vertical="center" wrapText="1"/>
    </xf>
    <xf numFmtId="164" fontId="13" fillId="2" borderId="5" xfId="0" applyNumberFormat="1" applyFont="1" applyFill="1" applyBorder="1" applyAlignment="1">
      <alignment horizontal="center" vertical="center"/>
    </xf>
    <xf numFmtId="49" fontId="14" fillId="9" borderId="5" xfId="0" applyNumberFormat="1" applyFont="1" applyFill="1" applyBorder="1" applyAlignment="1">
      <alignment horizontal="center" vertical="center"/>
    </xf>
    <xf numFmtId="49" fontId="15" fillId="9" borderId="5" xfId="0" applyNumberFormat="1" applyFont="1" applyFill="1" applyBorder="1" applyAlignment="1">
      <alignment horizontal="center"/>
    </xf>
    <xf numFmtId="49" fontId="16" fillId="9" borderId="5" xfId="0" applyNumberFormat="1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 wrapText="1"/>
    </xf>
    <xf numFmtId="0" fontId="14" fillId="10" borderId="5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wrapText="1"/>
    </xf>
    <xf numFmtId="164" fontId="19" fillId="2" borderId="5" xfId="0" applyNumberFormat="1" applyFont="1" applyFill="1" applyBorder="1" applyAlignment="1">
      <alignment horizontal="center" vertical="center"/>
    </xf>
    <xf numFmtId="14" fontId="8" fillId="0" borderId="1" xfId="0" applyNumberFormat="1" applyFont="1"/>
    <xf numFmtId="49" fontId="5" fillId="0" borderId="1" xfId="0" applyNumberFormat="1" applyFont="1" applyAlignment="1">
      <alignment horizontal="left" vertical="center"/>
    </xf>
    <xf numFmtId="1" fontId="8" fillId="0" borderId="1" xfId="0" applyNumberFormat="1" applyFont="1"/>
    <xf numFmtId="49" fontId="8" fillId="0" borderId="1" xfId="0" applyNumberFormat="1" applyFont="1"/>
    <xf numFmtId="164" fontId="8" fillId="0" borderId="1" xfId="0" applyNumberFormat="1" applyFont="1"/>
    <xf numFmtId="9" fontId="18" fillId="0" borderId="1" xfId="0" applyNumberFormat="1" applyFont="1"/>
    <xf numFmtId="164" fontId="8" fillId="0" borderId="8" xfId="0" applyNumberFormat="1" applyFont="1" applyBorder="1"/>
    <xf numFmtId="0" fontId="44" fillId="8" borderId="5" xfId="0" applyFont="1" applyFill="1" applyBorder="1" applyAlignment="1">
      <alignment horizontal="center" vertical="center"/>
    </xf>
    <xf numFmtId="0" fontId="45" fillId="9" borderId="5" xfId="0" applyFont="1" applyFill="1" applyBorder="1" applyAlignment="1">
      <alignment horizontal="center" vertical="center"/>
    </xf>
    <xf numFmtId="0" fontId="45" fillId="9" borderId="5" xfId="0" applyFont="1" applyFill="1" applyBorder="1" applyAlignment="1">
      <alignment horizontal="center"/>
    </xf>
    <xf numFmtId="0" fontId="45" fillId="10" borderId="5" xfId="0" applyFont="1" applyFill="1" applyBorder="1" applyAlignment="1">
      <alignment horizontal="center"/>
    </xf>
    <xf numFmtId="14" fontId="44" fillId="8" borderId="5" xfId="0" applyNumberFormat="1" applyFont="1" applyFill="1" applyBorder="1" applyAlignment="1">
      <alignment horizontal="center" vertical="center"/>
    </xf>
    <xf numFmtId="14" fontId="45" fillId="9" borderId="5" xfId="0" applyNumberFormat="1" applyFont="1" applyFill="1" applyBorder="1" applyAlignment="1">
      <alignment horizontal="center" vertical="center"/>
    </xf>
    <xf numFmtId="14" fontId="45" fillId="9" borderId="5" xfId="0" applyNumberFormat="1" applyFont="1" applyFill="1" applyBorder="1" applyAlignment="1">
      <alignment horizontal="center"/>
    </xf>
    <xf numFmtId="14" fontId="45" fillId="10" borderId="5" xfId="0" applyNumberFormat="1" applyFont="1" applyFill="1" applyBorder="1" applyAlignment="1">
      <alignment horizontal="center"/>
    </xf>
    <xf numFmtId="16" fontId="45" fillId="10" borderId="5" xfId="0" applyNumberFormat="1" applyFont="1" applyFill="1" applyBorder="1" applyAlignment="1">
      <alignment horizontal="center" wrapText="1"/>
    </xf>
    <xf numFmtId="49" fontId="46" fillId="8" borderId="5" xfId="0" applyNumberFormat="1" applyFont="1" applyFill="1" applyBorder="1" applyAlignment="1">
      <alignment horizontal="left" vertical="center"/>
    </xf>
    <xf numFmtId="49" fontId="45" fillId="9" borderId="5" xfId="0" applyNumberFormat="1" applyFont="1" applyFill="1" applyBorder="1" applyAlignment="1">
      <alignment horizontal="left" vertical="center"/>
    </xf>
    <xf numFmtId="49" fontId="45" fillId="10" borderId="5" xfId="0" applyNumberFormat="1" applyFont="1" applyFill="1" applyBorder="1" applyAlignment="1">
      <alignment horizontal="left" vertical="center"/>
    </xf>
    <xf numFmtId="0" fontId="47" fillId="11" borderId="5" xfId="0" applyFont="1" applyFill="1" applyBorder="1" applyAlignment="1">
      <alignment vertical="center"/>
    </xf>
    <xf numFmtId="0" fontId="47" fillId="13" borderId="5" xfId="0" applyFont="1" applyFill="1" applyBorder="1" applyAlignment="1">
      <alignment vertical="center"/>
    </xf>
    <xf numFmtId="0" fontId="46" fillId="10" borderId="5" xfId="0" applyFont="1" applyFill="1" applyBorder="1" applyAlignment="1">
      <alignment vertical="center"/>
    </xf>
    <xf numFmtId="1" fontId="44" fillId="8" borderId="5" xfId="0" applyNumberFormat="1" applyFont="1" applyFill="1" applyBorder="1" applyAlignment="1">
      <alignment horizontal="center" vertical="center"/>
    </xf>
    <xf numFmtId="1" fontId="45" fillId="9" borderId="5" xfId="0" applyNumberFormat="1" applyFont="1" applyFill="1" applyBorder="1" applyAlignment="1">
      <alignment horizontal="center" vertical="center"/>
    </xf>
    <xf numFmtId="1" fontId="45" fillId="9" borderId="5" xfId="0" applyNumberFormat="1" applyFont="1" applyFill="1" applyBorder="1" applyAlignment="1">
      <alignment horizontal="center"/>
    </xf>
    <xf numFmtId="1" fontId="45" fillId="10" borderId="5" xfId="0" applyNumberFormat="1" applyFont="1" applyFill="1" applyBorder="1" applyAlignment="1">
      <alignment horizontal="center"/>
    </xf>
    <xf numFmtId="0" fontId="45" fillId="10" borderId="5" xfId="0" applyFont="1" applyFill="1" applyBorder="1" applyAlignment="1">
      <alignment horizontal="center" wrapText="1"/>
    </xf>
    <xf numFmtId="49" fontId="44" fillId="8" borderId="5" xfId="0" applyNumberFormat="1" applyFont="1" applyFill="1" applyBorder="1" applyAlignment="1">
      <alignment horizontal="center" vertical="center"/>
    </xf>
    <xf numFmtId="49" fontId="45" fillId="9" borderId="5" xfId="0" applyNumberFormat="1" applyFont="1" applyFill="1" applyBorder="1" applyAlignment="1">
      <alignment horizontal="center" vertical="center"/>
    </xf>
    <xf numFmtId="49" fontId="45" fillId="9" borderId="5" xfId="0" applyNumberFormat="1" applyFont="1" applyFill="1" applyBorder="1" applyAlignment="1">
      <alignment horizontal="center"/>
    </xf>
    <xf numFmtId="49" fontId="45" fillId="10" borderId="5" xfId="0" applyNumberFormat="1" applyFont="1" applyFill="1" applyBorder="1" applyAlignment="1">
      <alignment horizontal="center"/>
    </xf>
    <xf numFmtId="164" fontId="46" fillId="8" borderId="5" xfId="0" applyNumberFormat="1" applyFont="1" applyFill="1" applyBorder="1" applyAlignment="1">
      <alignment horizontal="center" vertical="center"/>
    </xf>
    <xf numFmtId="164" fontId="44" fillId="8" borderId="5" xfId="0" applyNumberFormat="1" applyFont="1" applyFill="1" applyBorder="1" applyAlignment="1">
      <alignment horizontal="center" vertical="center"/>
    </xf>
    <xf numFmtId="164" fontId="45" fillId="9" borderId="5" xfId="0" applyNumberFormat="1" applyFont="1" applyFill="1" applyBorder="1" applyAlignment="1">
      <alignment horizontal="center" vertical="center"/>
    </xf>
    <xf numFmtId="164" fontId="45" fillId="10" borderId="5" xfId="0" applyNumberFormat="1" applyFont="1" applyFill="1" applyBorder="1" applyAlignment="1">
      <alignment horizontal="center" vertical="center"/>
    </xf>
    <xf numFmtId="164" fontId="46" fillId="10" borderId="5" xfId="0" applyNumberFormat="1" applyFont="1" applyFill="1" applyBorder="1" applyAlignment="1">
      <alignment horizontal="center" vertical="center"/>
    </xf>
    <xf numFmtId="164" fontId="46" fillId="10" borderId="5" xfId="0" applyNumberFormat="1" applyFont="1" applyFill="1" applyBorder="1" applyAlignment="1">
      <alignment horizontal="center" vertical="center" wrapText="1"/>
    </xf>
    <xf numFmtId="49" fontId="45" fillId="10" borderId="5" xfId="0" applyNumberFormat="1" applyFont="1" applyFill="1" applyBorder="1" applyAlignment="1">
      <alignment horizontal="center" vertical="center"/>
    </xf>
    <xf numFmtId="0" fontId="45" fillId="10" borderId="5" xfId="0" applyFont="1" applyFill="1" applyBorder="1" applyAlignment="1">
      <alignment horizontal="center" vertical="center" wrapText="1"/>
    </xf>
    <xf numFmtId="9" fontId="44" fillId="8" borderId="5" xfId="0" applyNumberFormat="1" applyFont="1" applyFill="1" applyBorder="1" applyAlignment="1">
      <alignment horizontal="center" vertical="center"/>
    </xf>
    <xf numFmtId="44" fontId="48" fillId="8" borderId="5" xfId="0" applyNumberFormat="1" applyFont="1" applyFill="1" applyBorder="1" applyAlignment="1">
      <alignment horizontal="center" vertical="center"/>
    </xf>
    <xf numFmtId="165" fontId="14" fillId="9" borderId="5" xfId="0" applyNumberFormat="1" applyFont="1" applyFill="1" applyBorder="1" applyAlignment="1">
      <alignment horizontal="center" vertical="center"/>
    </xf>
    <xf numFmtId="44" fontId="14" fillId="9" borderId="5" xfId="0" applyNumberFormat="1" applyFont="1" applyFill="1" applyBorder="1" applyAlignment="1">
      <alignment horizontal="center" vertical="center"/>
    </xf>
    <xf numFmtId="49" fontId="14" fillId="10" borderId="5" xfId="0" applyNumberFormat="1" applyFont="1" applyFill="1" applyBorder="1" applyAlignment="1">
      <alignment horizontal="center" vertical="center"/>
    </xf>
    <xf numFmtId="165" fontId="14" fillId="10" borderId="5" xfId="0" applyNumberFormat="1" applyFont="1" applyFill="1" applyBorder="1" applyAlignment="1">
      <alignment horizontal="center" vertical="center"/>
    </xf>
    <xf numFmtId="0" fontId="48" fillId="10" borderId="5" xfId="0" applyFont="1" applyFill="1" applyBorder="1" applyAlignment="1">
      <alignment vertical="center" wrapText="1"/>
    </xf>
    <xf numFmtId="44" fontId="14" fillId="10" borderId="5" xfId="0" applyNumberFormat="1" applyFont="1" applyFill="1" applyBorder="1" applyAlignment="1">
      <alignment horizontal="center" vertical="center"/>
    </xf>
    <xf numFmtId="49" fontId="5" fillId="10" borderId="5" xfId="0" applyNumberFormat="1" applyFont="1" applyFill="1" applyBorder="1" applyAlignment="1">
      <alignment horizontal="left" vertical="center"/>
    </xf>
    <xf numFmtId="49" fontId="5" fillId="10" borderId="1" xfId="0" applyNumberFormat="1" applyFont="1" applyFill="1" applyAlignment="1">
      <alignment horizontal="left" vertical="center"/>
    </xf>
    <xf numFmtId="164" fontId="0" fillId="0" borderId="1" xfId="0" applyNumberFormat="1"/>
    <xf numFmtId="164" fontId="13" fillId="2" borderId="25" xfId="0" applyNumberFormat="1" applyFont="1" applyFill="1" applyBorder="1" applyAlignment="1">
      <alignment horizontal="center" vertical="center"/>
    </xf>
    <xf numFmtId="164" fontId="13" fillId="2" borderId="22" xfId="0" applyNumberFormat="1" applyFont="1" applyFill="1" applyBorder="1" applyAlignment="1">
      <alignment horizontal="center" vertical="center"/>
    </xf>
    <xf numFmtId="0" fontId="0" fillId="13" borderId="1" xfId="0" applyFill="1"/>
    <xf numFmtId="0" fontId="0" fillId="0" borderId="5" xfId="0" applyBorder="1" applyAlignment="1">
      <alignment horizontal="center" vertical="center"/>
    </xf>
    <xf numFmtId="0" fontId="45" fillId="10" borderId="25" xfId="0" applyFont="1" applyFill="1" applyBorder="1" applyAlignment="1">
      <alignment horizontal="center"/>
    </xf>
    <xf numFmtId="0" fontId="45" fillId="10" borderId="22" xfId="0" applyFont="1" applyFill="1" applyBorder="1" applyAlignment="1">
      <alignment horizontal="center"/>
    </xf>
    <xf numFmtId="0" fontId="45" fillId="13" borderId="5" xfId="0" applyFont="1" applyFill="1" applyBorder="1" applyAlignment="1">
      <alignment horizontal="center"/>
    </xf>
    <xf numFmtId="14" fontId="45" fillId="10" borderId="25" xfId="0" applyNumberFormat="1" applyFont="1" applyFill="1" applyBorder="1" applyAlignment="1">
      <alignment horizontal="center"/>
    </xf>
    <xf numFmtId="14" fontId="45" fillId="10" borderId="22" xfId="0" applyNumberFormat="1" applyFont="1" applyFill="1" applyBorder="1" applyAlignment="1">
      <alignment horizontal="center"/>
    </xf>
    <xf numFmtId="14" fontId="45" fillId="13" borderId="5" xfId="0" applyNumberFormat="1" applyFont="1" applyFill="1" applyBorder="1" applyAlignment="1">
      <alignment horizontal="center"/>
    </xf>
    <xf numFmtId="49" fontId="45" fillId="10" borderId="25" xfId="0" applyNumberFormat="1" applyFont="1" applyFill="1" applyBorder="1" applyAlignment="1">
      <alignment horizontal="left" vertical="center"/>
    </xf>
    <xf numFmtId="49" fontId="45" fillId="10" borderId="22" xfId="0" applyNumberFormat="1" applyFont="1" applyFill="1" applyBorder="1" applyAlignment="1">
      <alignment horizontal="left" vertical="center"/>
    </xf>
    <xf numFmtId="49" fontId="45" fillId="13" borderId="5" xfId="0" applyNumberFormat="1" applyFont="1" applyFill="1" applyBorder="1" applyAlignment="1">
      <alignment horizontal="left" vertical="center"/>
    </xf>
    <xf numFmtId="49" fontId="45" fillId="10" borderId="5" xfId="0" quotePrefix="1" applyNumberFormat="1" applyFont="1" applyFill="1" applyBorder="1" applyAlignment="1">
      <alignment horizontal="left" vertical="center"/>
    </xf>
    <xf numFmtId="49" fontId="45" fillId="10" borderId="5" xfId="0" applyNumberFormat="1" applyFont="1" applyFill="1" applyBorder="1" applyAlignment="1">
      <alignment horizontal="left" vertical="center" wrapText="1"/>
    </xf>
    <xf numFmtId="1" fontId="45" fillId="10" borderId="25" xfId="0" applyNumberFormat="1" applyFont="1" applyFill="1" applyBorder="1" applyAlignment="1">
      <alignment horizontal="center"/>
    </xf>
    <xf numFmtId="1" fontId="45" fillId="10" borderId="22" xfId="0" applyNumberFormat="1" applyFont="1" applyFill="1" applyBorder="1" applyAlignment="1">
      <alignment horizontal="center"/>
    </xf>
    <xf numFmtId="1" fontId="45" fillId="13" borderId="5" xfId="0" applyNumberFormat="1" applyFont="1" applyFill="1" applyBorder="1" applyAlignment="1">
      <alignment horizontal="center"/>
    </xf>
    <xf numFmtId="49" fontId="45" fillId="10" borderId="25" xfId="0" applyNumberFormat="1" applyFont="1" applyFill="1" applyBorder="1" applyAlignment="1">
      <alignment horizontal="center"/>
    </xf>
    <xf numFmtId="49" fontId="45" fillId="10" borderId="22" xfId="0" applyNumberFormat="1" applyFont="1" applyFill="1" applyBorder="1" applyAlignment="1">
      <alignment horizontal="center"/>
    </xf>
    <xf numFmtId="49" fontId="45" fillId="13" borderId="5" xfId="0" applyNumberFormat="1" applyFont="1" applyFill="1" applyBorder="1" applyAlignment="1">
      <alignment horizontal="center"/>
    </xf>
    <xf numFmtId="164" fontId="46" fillId="8" borderId="25" xfId="0" applyNumberFormat="1" applyFont="1" applyFill="1" applyBorder="1" applyAlignment="1">
      <alignment horizontal="center" vertical="center"/>
    </xf>
    <xf numFmtId="164" fontId="46" fillId="8" borderId="22" xfId="0" applyNumberFormat="1" applyFont="1" applyFill="1" applyBorder="1" applyAlignment="1">
      <alignment horizontal="center" vertical="center"/>
    </xf>
    <xf numFmtId="164" fontId="45" fillId="10" borderId="25" xfId="0" applyNumberFormat="1" applyFont="1" applyFill="1" applyBorder="1" applyAlignment="1">
      <alignment horizontal="center" vertical="center"/>
    </xf>
    <xf numFmtId="164" fontId="45" fillId="10" borderId="22" xfId="0" applyNumberFormat="1" applyFont="1" applyFill="1" applyBorder="1" applyAlignment="1">
      <alignment horizontal="center" vertical="center"/>
    </xf>
    <xf numFmtId="164" fontId="45" fillId="13" borderId="5" xfId="0" applyNumberFormat="1" applyFont="1" applyFill="1" applyBorder="1" applyAlignment="1">
      <alignment horizontal="center" vertical="center"/>
    </xf>
    <xf numFmtId="164" fontId="45" fillId="8" borderId="5" xfId="0" applyNumberFormat="1" applyFont="1" applyFill="1" applyBorder="1" applyAlignment="1">
      <alignment horizontal="center" vertical="center"/>
    </xf>
    <xf numFmtId="49" fontId="45" fillId="10" borderId="28" xfId="0" applyNumberFormat="1" applyFont="1" applyFill="1" applyBorder="1" applyAlignment="1">
      <alignment horizontal="center" vertical="center"/>
    </xf>
    <xf numFmtId="49" fontId="45" fillId="13" borderId="28" xfId="0" applyNumberFormat="1" applyFont="1" applyFill="1" applyBorder="1" applyAlignment="1">
      <alignment horizontal="center" vertical="center"/>
    </xf>
    <xf numFmtId="49" fontId="45" fillId="10" borderId="17" xfId="0" applyNumberFormat="1" applyFont="1" applyFill="1" applyBorder="1" applyAlignment="1">
      <alignment horizontal="center" vertical="center"/>
    </xf>
    <xf numFmtId="9" fontId="44" fillId="13" borderId="5" xfId="0" applyNumberFormat="1" applyFont="1" applyFill="1" applyBorder="1" applyAlignment="1">
      <alignment horizontal="center" vertical="center"/>
    </xf>
    <xf numFmtId="9" fontId="44" fillId="8" borderId="22" xfId="0" applyNumberFormat="1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44" fontId="14" fillId="13" borderId="5" xfId="0" applyNumberFormat="1" applyFont="1" applyFill="1" applyBorder="1" applyAlignment="1">
      <alignment horizontal="center" vertical="center"/>
    </xf>
    <xf numFmtId="44" fontId="14" fillId="10" borderId="22" xfId="0" applyNumberFormat="1" applyFont="1" applyFill="1" applyBorder="1" applyAlignment="1">
      <alignment horizontal="center" vertical="center"/>
    </xf>
    <xf numFmtId="164" fontId="44" fillId="8" borderId="26" xfId="0" applyNumberFormat="1" applyFont="1" applyFill="1" applyBorder="1" applyAlignment="1">
      <alignment horizontal="center" vertical="center"/>
    </xf>
    <xf numFmtId="164" fontId="44" fillId="13" borderId="26" xfId="0" applyNumberFormat="1" applyFont="1" applyFill="1" applyBorder="1" applyAlignment="1">
      <alignment horizontal="center" vertical="center"/>
    </xf>
    <xf numFmtId="164" fontId="44" fillId="8" borderId="22" xfId="0" applyNumberFormat="1" applyFont="1" applyFill="1" applyBorder="1" applyAlignment="1">
      <alignment horizontal="center" vertical="center"/>
    </xf>
    <xf numFmtId="164" fontId="44" fillId="8" borderId="27" xfId="0" applyNumberFormat="1" applyFont="1" applyFill="1" applyBorder="1" applyAlignment="1">
      <alignment horizontal="center" vertical="center"/>
    </xf>
    <xf numFmtId="0" fontId="49" fillId="10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 wrapText="1"/>
    </xf>
    <xf numFmtId="0" fontId="45" fillId="10" borderId="5" xfId="0" applyFont="1" applyFill="1" applyBorder="1" applyAlignment="1">
      <alignment horizontal="left" vertical="center"/>
    </xf>
    <xf numFmtId="166" fontId="46" fillId="10" borderId="1" xfId="0" applyNumberFormat="1" applyFont="1" applyFill="1" applyAlignment="1">
      <alignment horizontal="center" vertical="center"/>
    </xf>
    <xf numFmtId="9" fontId="44" fillId="8" borderId="26" xfId="0" applyNumberFormat="1" applyFont="1" applyFill="1" applyBorder="1" applyAlignment="1">
      <alignment horizontal="center" vertical="center"/>
    </xf>
    <xf numFmtId="0" fontId="46" fillId="10" borderId="5" xfId="0" applyFont="1" applyFill="1" applyBorder="1" applyAlignment="1">
      <alignment horizontal="center" vertical="center"/>
    </xf>
    <xf numFmtId="0" fontId="50" fillId="10" borderId="1" xfId="0" applyFont="1" applyFill="1" applyAlignment="1">
      <alignment vertical="center"/>
    </xf>
    <xf numFmtId="0" fontId="46" fillId="10" borderId="1" xfId="0" applyFont="1" applyFill="1"/>
    <xf numFmtId="0" fontId="34" fillId="2" borderId="2" xfId="0" applyFont="1" applyFill="1" applyBorder="1" applyAlignment="1">
      <alignment horizontal="center" vertical="center"/>
    </xf>
    <xf numFmtId="1" fontId="34" fillId="2" borderId="3" xfId="0" applyNumberFormat="1" applyFont="1" applyFill="1" applyBorder="1" applyAlignment="1">
      <alignment horizontal="center" vertical="center"/>
    </xf>
    <xf numFmtId="0" fontId="34" fillId="2" borderId="3" xfId="0" applyFont="1" applyFill="1" applyBorder="1" applyAlignment="1">
      <alignment horizontal="center" vertical="center"/>
    </xf>
    <xf numFmtId="164" fontId="34" fillId="2" borderId="3" xfId="0" applyNumberFormat="1" applyFont="1" applyFill="1" applyBorder="1" applyAlignment="1">
      <alignment horizontal="center" vertical="center"/>
    </xf>
    <xf numFmtId="0" fontId="3" fillId="0" borderId="1" xfId="0" applyFont="1"/>
    <xf numFmtId="0" fontId="4" fillId="3" borderId="5" xfId="0" applyFont="1" applyFill="1" applyBorder="1" applyAlignment="1">
      <alignment horizontal="center" vertical="center"/>
    </xf>
    <xf numFmtId="164" fontId="7" fillId="4" borderId="1" xfId="0" applyNumberFormat="1" applyFont="1" applyFill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164" fontId="7" fillId="0" borderId="1" xfId="0" applyNumberFormat="1" applyFont="1" applyAlignment="1">
      <alignment horizontal="center" vertical="center"/>
    </xf>
    <xf numFmtId="0" fontId="8" fillId="0" borderId="1" xfId="0" applyFont="1" applyAlignment="1">
      <alignment vertical="center"/>
    </xf>
    <xf numFmtId="0" fontId="10" fillId="0" borderId="1" xfId="0" applyFont="1" applyAlignment="1">
      <alignment vertical="center"/>
    </xf>
    <xf numFmtId="0" fontId="33" fillId="0" borderId="1" xfId="0" applyFont="1"/>
    <xf numFmtId="0" fontId="35" fillId="16" borderId="5" xfId="0" applyFont="1" applyFill="1" applyBorder="1"/>
    <xf numFmtId="0" fontId="35" fillId="10" borderId="5" xfId="0" applyFont="1" applyFill="1" applyBorder="1"/>
    <xf numFmtId="49" fontId="35" fillId="10" borderId="5" xfId="0" applyNumberFormat="1" applyFont="1" applyFill="1" applyBorder="1" applyAlignment="1">
      <alignment horizontal="left" vertical="center"/>
    </xf>
    <xf numFmtId="0" fontId="35" fillId="10" borderId="25" xfId="0" applyFont="1" applyFill="1" applyBorder="1" applyAlignment="1">
      <alignment horizontal="left" vertical="center"/>
    </xf>
    <xf numFmtId="0" fontId="35" fillId="16" borderId="5" xfId="0" applyFont="1" applyFill="1" applyBorder="1" applyAlignment="1">
      <alignment horizontal="left" vertical="center"/>
    </xf>
    <xf numFmtId="0" fontId="35" fillId="10" borderId="5" xfId="0" applyFont="1" applyFill="1" applyBorder="1" applyAlignment="1">
      <alignment horizontal="left" vertical="center"/>
    </xf>
    <xf numFmtId="0" fontId="35" fillId="10" borderId="5" xfId="0" applyFont="1" applyFill="1" applyBorder="1" applyAlignment="1">
      <alignment vertical="center"/>
    </xf>
    <xf numFmtId="1" fontId="45" fillId="16" borderId="28" xfId="0" applyNumberFormat="1" applyFont="1" applyFill="1" applyBorder="1" applyAlignment="1">
      <alignment horizontal="center" vertical="center"/>
    </xf>
    <xf numFmtId="1" fontId="45" fillId="10" borderId="28" xfId="0" applyNumberFormat="1" applyFont="1" applyFill="1" applyBorder="1" applyAlignment="1">
      <alignment horizontal="center" vertical="center"/>
    </xf>
    <xf numFmtId="1" fontId="51" fillId="16" borderId="5" xfId="0" applyNumberFormat="1" applyFont="1" applyFill="1" applyBorder="1" applyAlignment="1">
      <alignment horizontal="center" vertical="center"/>
    </xf>
    <xf numFmtId="1" fontId="51" fillId="10" borderId="5" xfId="0" applyNumberFormat="1" applyFont="1" applyFill="1" applyBorder="1" applyAlignment="1">
      <alignment horizontal="center" vertical="center"/>
    </xf>
    <xf numFmtId="1" fontId="45" fillId="16" borderId="5" xfId="0" applyNumberFormat="1" applyFont="1" applyFill="1" applyBorder="1" applyAlignment="1">
      <alignment horizontal="center" vertical="center"/>
    </xf>
    <xf numFmtId="1" fontId="45" fillId="10" borderId="5" xfId="0" applyNumberFormat="1" applyFont="1" applyFill="1" applyBorder="1" applyAlignment="1">
      <alignment horizontal="center" vertical="center"/>
    </xf>
    <xf numFmtId="164" fontId="45" fillId="16" borderId="5" xfId="0" applyNumberFormat="1" applyFont="1" applyFill="1" applyBorder="1" applyAlignment="1">
      <alignment vertical="center"/>
    </xf>
    <xf numFmtId="164" fontId="45" fillId="10" borderId="5" xfId="0" applyNumberFormat="1" applyFont="1" applyFill="1" applyBorder="1" applyAlignment="1">
      <alignment vertical="center"/>
    </xf>
    <xf numFmtId="164" fontId="45" fillId="16" borderId="5" xfId="0" applyNumberFormat="1" applyFont="1" applyFill="1" applyBorder="1" applyAlignment="1">
      <alignment horizontal="center" vertical="center"/>
    </xf>
    <xf numFmtId="0" fontId="22" fillId="0" borderId="16" xfId="0" applyFont="1" applyBorder="1"/>
    <xf numFmtId="0" fontId="22" fillId="0" borderId="21" xfId="0" applyFont="1" applyBorder="1"/>
    <xf numFmtId="0" fontId="22" fillId="0" borderId="20" xfId="0" applyFont="1" applyBorder="1"/>
    <xf numFmtId="0" fontId="22" fillId="0" borderId="17" xfId="0" applyFont="1" applyBorder="1"/>
    <xf numFmtId="0" fontId="22" fillId="0" borderId="9" xfId="0" applyFont="1" applyBorder="1"/>
    <xf numFmtId="0" fontId="22" fillId="0" borderId="10" xfId="0" applyFont="1" applyBorder="1"/>
    <xf numFmtId="0" fontId="22" fillId="0" borderId="11" xfId="0" applyFont="1" applyBorder="1"/>
    <xf numFmtId="0" fontId="22" fillId="0" borderId="2" xfId="0" applyFont="1" applyBorder="1"/>
    <xf numFmtId="0" fontId="22" fillId="0" borderId="12" xfId="0" applyFont="1" applyBorder="1"/>
    <xf numFmtId="0" fontId="22" fillId="0" borderId="1" xfId="0" applyFont="1"/>
    <xf numFmtId="0" fontId="22" fillId="0" borderId="1" xfId="0" applyFont="1" applyAlignment="1">
      <alignment horizontal="center" vertical="center"/>
    </xf>
    <xf numFmtId="0" fontId="22" fillId="0" borderId="8" xfId="0" applyFont="1" applyBorder="1"/>
    <xf numFmtId="0" fontId="22" fillId="0" borderId="1" xfId="0" applyFont="1" applyAlignment="1">
      <alignment horizontal="right"/>
    </xf>
    <xf numFmtId="0" fontId="22" fillId="0" borderId="1" xfId="0" applyFont="1" applyAlignment="1">
      <alignment horizontal="center"/>
    </xf>
    <xf numFmtId="0" fontId="22" fillId="0" borderId="13" xfId="0" applyFont="1" applyBorder="1"/>
    <xf numFmtId="0" fontId="22" fillId="0" borderId="14" xfId="0" applyFont="1" applyBorder="1"/>
    <xf numFmtId="0" fontId="22" fillId="0" borderId="15" xfId="0" applyFont="1" applyBorder="1"/>
    <xf numFmtId="0" fontId="22" fillId="15" borderId="6" xfId="0" applyFont="1" applyFill="1" applyBorder="1"/>
    <xf numFmtId="0" fontId="22" fillId="0" borderId="5" xfId="0" applyFont="1" applyBorder="1" applyAlignment="1">
      <alignment horizontal="center" vertical="center"/>
    </xf>
    <xf numFmtId="44" fontId="22" fillId="0" borderId="5" xfId="1" applyFont="1" applyBorder="1" applyAlignment="1">
      <alignment horizontal="center" vertical="center"/>
    </xf>
    <xf numFmtId="44" fontId="24" fillId="0" borderId="5" xfId="1" applyFont="1" applyBorder="1" applyAlignment="1">
      <alignment horizontal="center" vertical="center"/>
    </xf>
    <xf numFmtId="44" fontId="25" fillId="0" borderId="5" xfId="1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44" fontId="26" fillId="0" borderId="5" xfId="1" applyFont="1" applyBorder="1" applyAlignment="1">
      <alignment horizontal="center" vertical="center"/>
    </xf>
    <xf numFmtId="0" fontId="24" fillId="0" borderId="1" xfId="0" applyFont="1"/>
    <xf numFmtId="14" fontId="22" fillId="0" borderId="1" xfId="0" applyNumberFormat="1" applyFont="1" applyAlignment="1">
      <alignment horizontal="center"/>
    </xf>
    <xf numFmtId="0" fontId="22" fillId="0" borderId="18" xfId="0" applyFont="1" applyBorder="1"/>
    <xf numFmtId="0" fontId="22" fillId="0" borderId="19" xfId="0" applyFont="1" applyBorder="1"/>
    <xf numFmtId="0" fontId="23" fillId="0" borderId="1" xfId="0" applyFont="1" applyAlignment="1">
      <alignment horizontal="center" vertical="center"/>
    </xf>
    <xf numFmtId="0" fontId="0" fillId="0" borderId="1" xfId="0" applyAlignment="1">
      <alignment vertical="center"/>
    </xf>
    <xf numFmtId="0" fontId="36" fillId="0" borderId="1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20" fillId="2" borderId="5" xfId="0" applyNumberFormat="1" applyFont="1" applyFill="1" applyBorder="1" applyAlignment="1">
      <alignment horizontal="center" vertical="center"/>
    </xf>
    <xf numFmtId="0" fontId="0" fillId="0" borderId="1" xfId="0" applyAlignment="1">
      <alignment horizontal="center"/>
    </xf>
    <xf numFmtId="44" fontId="0" fillId="0" borderId="1" xfId="1" applyFont="1"/>
    <xf numFmtId="0" fontId="21" fillId="2" borderId="1" xfId="0" applyFont="1" applyFill="1" applyAlignment="1">
      <alignment vertical="center"/>
    </xf>
    <xf numFmtId="44" fontId="21" fillId="2" borderId="1" xfId="1" applyFont="1" applyFill="1" applyAlignment="1">
      <alignment horizontal="center" vertical="center"/>
    </xf>
    <xf numFmtId="44" fontId="21" fillId="2" borderId="1" xfId="1" applyFont="1" applyFill="1" applyAlignment="1">
      <alignment vertical="center"/>
    </xf>
    <xf numFmtId="0" fontId="0" fillId="0" borderId="1" xfId="0" applyAlignment="1">
      <alignment horizontal="center" vertical="center"/>
    </xf>
    <xf numFmtId="44" fontId="22" fillId="0" borderId="1" xfId="1" applyFont="1"/>
    <xf numFmtId="0" fontId="27" fillId="16" borderId="5" xfId="0" applyFont="1" applyFill="1" applyBorder="1" applyAlignment="1">
      <alignment horizontal="left" vertical="center"/>
    </xf>
    <xf numFmtId="1" fontId="5" fillId="16" borderId="5" xfId="0" applyNumberFormat="1" applyFont="1" applyFill="1" applyBorder="1" applyAlignment="1">
      <alignment horizontal="center" vertical="center"/>
    </xf>
    <xf numFmtId="1" fontId="6" fillId="16" borderId="5" xfId="0" applyNumberFormat="1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5" xfId="0" applyNumberFormat="1" applyFont="1" applyBorder="1" applyAlignment="1">
      <alignment vertical="center"/>
    </xf>
    <xf numFmtId="44" fontId="0" fillId="0" borderId="1" xfId="1" applyFont="1" applyAlignment="1">
      <alignment horizontal="center"/>
    </xf>
    <xf numFmtId="0" fontId="0" fillId="0" borderId="1" xfId="0" applyAlignment="1">
      <alignment horizontal="left"/>
    </xf>
    <xf numFmtId="0" fontId="0" fillId="0" borderId="1" xfId="0" quotePrefix="1" applyAlignment="1">
      <alignment horizontal="center" vertical="center"/>
    </xf>
    <xf numFmtId="44" fontId="0" fillId="0" borderId="1" xfId="0" quotePrefix="1" applyNumberFormat="1" applyAlignment="1">
      <alignment horizontal="center" vertical="center"/>
    </xf>
    <xf numFmtId="0" fontId="27" fillId="10" borderId="5" xfId="0" applyFont="1" applyFill="1" applyBorder="1" applyAlignment="1">
      <alignment horizontal="left" vertical="center"/>
    </xf>
    <xf numFmtId="1" fontId="5" fillId="10" borderId="5" xfId="0" applyNumberFormat="1" applyFont="1" applyFill="1" applyBorder="1" applyAlignment="1">
      <alignment horizontal="center" vertical="center"/>
    </xf>
    <xf numFmtId="1" fontId="6" fillId="10" borderId="5" xfId="0" applyNumberFormat="1" applyFont="1" applyFill="1" applyBorder="1" applyAlignment="1">
      <alignment horizontal="center" vertical="center"/>
    </xf>
    <xf numFmtId="0" fontId="0" fillId="0" borderId="1" xfId="0" applyAlignment="1">
      <alignment wrapText="1"/>
    </xf>
    <xf numFmtId="0" fontId="28" fillId="10" borderId="5" xfId="0" applyFont="1" applyFill="1" applyBorder="1" applyAlignment="1">
      <alignment vertical="center"/>
    </xf>
    <xf numFmtId="0" fontId="5" fillId="10" borderId="5" xfId="0" applyFont="1" applyFill="1" applyBorder="1" applyAlignment="1">
      <alignment horizontal="center" vertical="center"/>
    </xf>
    <xf numFmtId="44" fontId="0" fillId="0" borderId="1" xfId="0" applyNumberFormat="1"/>
    <xf numFmtId="0" fontId="5" fillId="16" borderId="5" xfId="0" applyFont="1" applyFill="1" applyBorder="1" applyAlignment="1">
      <alignment horizontal="center" vertical="center"/>
    </xf>
    <xf numFmtId="16" fontId="0" fillId="0" borderId="1" xfId="0" applyNumberFormat="1"/>
    <xf numFmtId="0" fontId="9" fillId="10" borderId="5" xfId="0" applyFont="1" applyFill="1" applyBorder="1" applyAlignment="1">
      <alignment horizontal="left" vertical="center"/>
    </xf>
    <xf numFmtId="0" fontId="28" fillId="16" borderId="5" xfId="0" applyFont="1" applyFill="1" applyBorder="1" applyAlignment="1">
      <alignment vertical="center"/>
    </xf>
    <xf numFmtId="0" fontId="9" fillId="16" borderId="5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center" vertical="center"/>
    </xf>
    <xf numFmtId="1" fontId="5" fillId="7" borderId="5" xfId="0" applyNumberFormat="1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left"/>
    </xf>
    <xf numFmtId="0" fontId="27" fillId="16" borderId="1" xfId="0" applyFont="1" applyFill="1" applyAlignment="1">
      <alignment horizontal="left" vertical="center"/>
    </xf>
    <xf numFmtId="0" fontId="29" fillId="10" borderId="5" xfId="0" applyFont="1" applyFill="1" applyBorder="1" applyAlignment="1">
      <alignment horizontal="left" vertical="center"/>
    </xf>
    <xf numFmtId="0" fontId="24" fillId="17" borderId="5" xfId="0" applyFont="1" applyFill="1" applyBorder="1" applyAlignment="1">
      <alignment horizontal="center" vertical="center"/>
    </xf>
    <xf numFmtId="0" fontId="24" fillId="17" borderId="24" xfId="0" applyFont="1" applyFill="1" applyBorder="1" applyAlignment="1">
      <alignment horizontal="center" vertical="center"/>
    </xf>
    <xf numFmtId="0" fontId="30" fillId="3" borderId="1" xfId="0" applyFont="1" applyFill="1" applyAlignment="1">
      <alignment horizontal="center" vertical="center"/>
    </xf>
    <xf numFmtId="0" fontId="30" fillId="3" borderId="1" xfId="0" applyFont="1" applyFill="1" applyAlignment="1">
      <alignment vertical="center"/>
    </xf>
    <xf numFmtId="0" fontId="30" fillId="3" borderId="4" xfId="0" applyFont="1" applyFill="1" applyBorder="1" applyAlignment="1">
      <alignment vertical="center"/>
    </xf>
    <xf numFmtId="0" fontId="30" fillId="3" borderId="2" xfId="0" applyFont="1" applyFill="1" applyBorder="1" applyAlignment="1">
      <alignment vertical="center"/>
    </xf>
    <xf numFmtId="0" fontId="22" fillId="0" borderId="5" xfId="0" applyFont="1" applyBorder="1"/>
    <xf numFmtId="0" fontId="22" fillId="0" borderId="24" xfId="0" applyFont="1" applyBorder="1" applyAlignment="1">
      <alignment horizontal="center" vertical="center"/>
    </xf>
    <xf numFmtId="0" fontId="30" fillId="3" borderId="5" xfId="0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horizontal="center" vertical="center"/>
    </xf>
    <xf numFmtId="0" fontId="0" fillId="0" borderId="5" xfId="0" applyBorder="1"/>
    <xf numFmtId="2" fontId="0" fillId="0" borderId="5" xfId="0" applyNumberFormat="1" applyBorder="1" applyAlignment="1">
      <alignment horizontal="center" vertical="center"/>
    </xf>
    <xf numFmtId="0" fontId="22" fillId="0" borderId="3" xfId="0" applyFont="1" applyBorder="1"/>
    <xf numFmtId="0" fontId="2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2" fillId="0" borderId="25" xfId="0" applyFont="1" applyBorder="1"/>
    <xf numFmtId="0" fontId="22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22" xfId="0" applyFont="1" applyBorder="1"/>
    <xf numFmtId="0" fontId="22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5" fillId="18" borderId="5" xfId="0" applyFont="1" applyFill="1" applyBorder="1"/>
    <xf numFmtId="0" fontId="31" fillId="0" borderId="5" xfId="0" applyFont="1" applyBorder="1"/>
    <xf numFmtId="0" fontId="32" fillId="19" borderId="5" xfId="0" applyFont="1" applyFill="1" applyBorder="1" applyAlignment="1">
      <alignment horizontal="center" vertical="center"/>
    </xf>
    <xf numFmtId="49" fontId="5" fillId="18" borderId="5" xfId="0" applyNumberFormat="1" applyFont="1" applyFill="1" applyBorder="1" applyAlignment="1">
      <alignment horizontal="left" vertical="center"/>
    </xf>
    <xf numFmtId="0" fontId="0" fillId="18" borderId="5" xfId="0" applyFill="1" applyBorder="1" applyAlignment="1">
      <alignment horizontal="center" vertical="center"/>
    </xf>
    <xf numFmtId="1" fontId="22" fillId="0" borderId="1" xfId="0" applyNumberFormat="1" applyFont="1" applyAlignment="1">
      <alignment horizontal="center" vertical="center"/>
    </xf>
    <xf numFmtId="44" fontId="22" fillId="0" borderId="1" xfId="1" applyFont="1" applyAlignment="1">
      <alignment horizontal="center" vertical="center"/>
    </xf>
    <xf numFmtId="0" fontId="37" fillId="3" borderId="1" xfId="0" applyFont="1" applyFill="1" applyAlignment="1">
      <alignment horizontal="center" vertical="center"/>
    </xf>
    <xf numFmtId="0" fontId="0" fillId="18" borderId="5" xfId="0" applyFill="1" applyBorder="1"/>
    <xf numFmtId="0" fontId="53" fillId="22" borderId="30" xfId="0" applyFont="1" applyFill="1" applyBorder="1" applyAlignment="1">
      <alignment horizontal="center" vertical="top"/>
    </xf>
    <xf numFmtId="3" fontId="43" fillId="0" borderId="31" xfId="0" applyNumberFormat="1" applyFont="1" applyBorder="1" applyAlignment="1">
      <alignment horizontal="center" vertical="top"/>
    </xf>
    <xf numFmtId="49" fontId="43" fillId="0" borderId="31" xfId="0" applyNumberFormat="1" applyFont="1" applyBorder="1" applyAlignment="1">
      <alignment horizontal="left" vertical="top"/>
    </xf>
    <xf numFmtId="3" fontId="43" fillId="0" borderId="31" xfId="0" applyNumberFormat="1" applyFont="1" applyBorder="1" applyAlignment="1">
      <alignment horizontal="right" vertical="top"/>
    </xf>
    <xf numFmtId="167" fontId="43" fillId="0" borderId="31" xfId="0" applyNumberFormat="1" applyFont="1" applyBorder="1" applyAlignment="1">
      <alignment horizontal="right" vertical="top"/>
    </xf>
    <xf numFmtId="3" fontId="53" fillId="22" borderId="32" xfId="0" applyNumberFormat="1" applyFont="1" applyFill="1" applyBorder="1" applyAlignment="1">
      <alignment horizontal="right" vertical="top"/>
    </xf>
    <xf numFmtId="167" fontId="53" fillId="22" borderId="32" xfId="0" applyNumberFormat="1" applyFont="1" applyFill="1" applyBorder="1" applyAlignment="1">
      <alignment horizontal="right" vertical="top"/>
    </xf>
    <xf numFmtId="0" fontId="45" fillId="24" borderId="31" xfId="0" applyFont="1" applyFill="1" applyBorder="1" applyAlignment="1">
      <alignment horizontal="center"/>
    </xf>
    <xf numFmtId="0" fontId="45" fillId="24" borderId="31" xfId="0" applyFont="1" applyFill="1" applyBorder="1" applyAlignment="1">
      <alignment horizontal="left" vertical="center"/>
    </xf>
    <xf numFmtId="0" fontId="46" fillId="25" borderId="31" xfId="0" applyFont="1" applyFill="1" applyBorder="1" applyAlignment="1">
      <alignment horizontal="center" vertical="center"/>
    </xf>
    <xf numFmtId="0" fontId="13" fillId="26" borderId="31" xfId="0" applyFont="1" applyFill="1" applyBorder="1" applyAlignment="1">
      <alignment horizontal="center" vertical="center"/>
    </xf>
    <xf numFmtId="0" fontId="45" fillId="24" borderId="31" xfId="0" applyFont="1" applyFill="1" applyBorder="1" applyAlignment="1">
      <alignment horizontal="center" vertical="center"/>
    </xf>
    <xf numFmtId="0" fontId="44" fillId="25" borderId="31" xfId="0" applyFont="1" applyFill="1" applyBorder="1" applyAlignment="1">
      <alignment horizontal="center" vertical="center"/>
    </xf>
    <xf numFmtId="3" fontId="54" fillId="23" borderId="33" xfId="0" applyNumberFormat="1" applyFont="1" applyFill="1" applyBorder="1" applyAlignment="1">
      <alignment horizontal="right" vertical="top"/>
    </xf>
    <xf numFmtId="167" fontId="54" fillId="23" borderId="33" xfId="0" applyNumberFormat="1" applyFont="1" applyFill="1" applyBorder="1" applyAlignment="1">
      <alignment horizontal="right" vertical="top"/>
    </xf>
    <xf numFmtId="0" fontId="43" fillId="0" borderId="31" xfId="0" applyFont="1" applyBorder="1" applyAlignment="1">
      <alignment horizontal="center" vertical="top"/>
    </xf>
    <xf numFmtId="0" fontId="43" fillId="27" borderId="31" xfId="0" applyFont="1" applyFill="1" applyBorder="1" applyAlignment="1">
      <alignment horizontal="center" vertical="top"/>
    </xf>
    <xf numFmtId="3" fontId="43" fillId="27" borderId="31" xfId="0" applyNumberFormat="1" applyFont="1" applyFill="1" applyBorder="1" applyAlignment="1">
      <alignment horizontal="center" vertical="top"/>
    </xf>
    <xf numFmtId="49" fontId="43" fillId="27" borderId="31" xfId="0" applyNumberFormat="1" applyFont="1" applyFill="1" applyBorder="1" applyAlignment="1">
      <alignment horizontal="left" vertical="top"/>
    </xf>
    <xf numFmtId="3" fontId="43" fillId="27" borderId="31" xfId="0" applyNumberFormat="1" applyFont="1" applyFill="1" applyBorder="1" applyAlignment="1">
      <alignment horizontal="right" vertical="top"/>
    </xf>
    <xf numFmtId="167" fontId="43" fillId="27" borderId="31" xfId="0" applyNumberFormat="1" applyFont="1" applyFill="1" applyBorder="1" applyAlignment="1">
      <alignment horizontal="right" vertical="top"/>
    </xf>
    <xf numFmtId="164" fontId="45" fillId="10" borderId="31" xfId="0" applyNumberFormat="1" applyFont="1" applyFill="1" applyBorder="1" applyAlignment="1">
      <alignment horizontal="center" vertical="center"/>
    </xf>
    <xf numFmtId="164" fontId="46" fillId="8" borderId="31" xfId="0" applyNumberFormat="1" applyFont="1" applyFill="1" applyBorder="1" applyAlignment="1">
      <alignment horizontal="center" vertical="center"/>
    </xf>
    <xf numFmtId="49" fontId="58" fillId="10" borderId="5" xfId="0" applyNumberFormat="1" applyFont="1" applyFill="1" applyBorder="1" applyAlignment="1">
      <alignment horizontal="left" vertical="center"/>
    </xf>
    <xf numFmtId="164" fontId="60" fillId="10" borderId="5" xfId="0" applyNumberFormat="1" applyFont="1" applyFill="1" applyBorder="1" applyAlignment="1">
      <alignment horizontal="center" vertical="center"/>
    </xf>
    <xf numFmtId="164" fontId="61" fillId="8" borderId="5" xfId="0" applyNumberFormat="1" applyFont="1" applyFill="1" applyBorder="1" applyAlignment="1">
      <alignment horizontal="center" vertical="center"/>
    </xf>
    <xf numFmtId="44" fontId="0" fillId="0" borderId="1" xfId="1" applyFont="1" applyAlignment="1">
      <alignment horizontal="center" vertical="center"/>
    </xf>
    <xf numFmtId="0" fontId="0" fillId="0" borderId="1" xfId="0" applyAlignment="1">
      <alignment horizontal="center" vertical="center" wrapText="1"/>
    </xf>
    <xf numFmtId="9" fontId="0" fillId="0" borderId="1" xfId="0" applyNumberFormat="1" applyAlignment="1">
      <alignment horizontal="center" vertical="center"/>
    </xf>
    <xf numFmtId="44" fontId="62" fillId="0" borderId="1" xfId="1" applyFont="1" applyAlignment="1">
      <alignment horizontal="center" vertical="center"/>
    </xf>
    <xf numFmtId="0" fontId="0" fillId="0" borderId="1" xfId="0"/>
    <xf numFmtId="49" fontId="63" fillId="0" borderId="31" xfId="0" applyNumberFormat="1" applyFont="1" applyBorder="1" applyAlignment="1">
      <alignment horizontal="left" vertical="center"/>
    </xf>
    <xf numFmtId="1" fontId="63" fillId="0" borderId="31" xfId="0" applyNumberFormat="1" applyFont="1" applyBorder="1" applyAlignment="1">
      <alignment horizontal="center"/>
    </xf>
    <xf numFmtId="49" fontId="63" fillId="0" borderId="31" xfId="0" applyNumberFormat="1" applyFont="1" applyBorder="1" applyAlignment="1">
      <alignment horizontal="center"/>
    </xf>
    <xf numFmtId="164" fontId="8" fillId="28" borderId="33" xfId="0" applyNumberFormat="1" applyFont="1" applyFill="1" applyBorder="1" applyAlignment="1">
      <alignment horizontal="center" vertical="center"/>
    </xf>
    <xf numFmtId="164" fontId="13" fillId="29" borderId="33" xfId="0" applyNumberFormat="1" applyFont="1" applyFill="1" applyBorder="1" applyAlignment="1">
      <alignment horizontal="center" vertical="center"/>
    </xf>
    <xf numFmtId="164" fontId="63" fillId="0" borderId="31" xfId="0" applyNumberFormat="1" applyFont="1" applyBorder="1" applyAlignment="1">
      <alignment horizontal="center" vertical="center"/>
    </xf>
    <xf numFmtId="164" fontId="64" fillId="28" borderId="31" xfId="0" applyNumberFormat="1" applyFont="1" applyFill="1" applyBorder="1" applyAlignment="1">
      <alignment horizontal="center" vertical="center"/>
    </xf>
    <xf numFmtId="9" fontId="64" fillId="28" borderId="26" xfId="2" applyFont="1" applyFill="1" applyBorder="1" applyAlignment="1">
      <alignment horizontal="center" vertical="center"/>
    </xf>
    <xf numFmtId="49" fontId="5" fillId="0" borderId="31" xfId="0" applyNumberFormat="1" applyFont="1" applyBorder="1" applyAlignment="1">
      <alignment horizontal="left" vertical="center"/>
    </xf>
    <xf numFmtId="0" fontId="4" fillId="3" borderId="26" xfId="0" applyFont="1" applyFill="1" applyBorder="1" applyAlignment="1">
      <alignment horizontal="center" vertical="center"/>
    </xf>
    <xf numFmtId="0" fontId="38" fillId="0" borderId="24" xfId="0" applyFont="1" applyBorder="1"/>
    <xf numFmtId="0" fontId="22" fillId="0" borderId="5" xfId="0" applyFont="1" applyBorder="1" applyAlignment="1">
      <alignment horizontal="left" indent="1"/>
    </xf>
    <xf numFmtId="44" fontId="22" fillId="0" borderId="29" xfId="0" applyNumberFormat="1" applyFont="1" applyBorder="1" applyAlignment="1">
      <alignment horizontal="center"/>
    </xf>
    <xf numFmtId="44" fontId="40" fillId="0" borderId="23" xfId="1" applyFont="1" applyBorder="1" applyAlignment="1">
      <alignment horizontal="center"/>
    </xf>
    <xf numFmtId="44" fontId="22" fillId="0" borderId="29" xfId="1" applyFont="1" applyBorder="1" applyAlignment="1">
      <alignment horizontal="center"/>
    </xf>
    <xf numFmtId="0" fontId="39" fillId="0" borderId="1" xfId="0" applyFont="1" applyAlignment="1">
      <alignment horizontal="center" vertical="center"/>
    </xf>
    <xf numFmtId="0" fontId="41" fillId="0" borderId="23" xfId="0" applyFont="1" applyBorder="1" applyAlignment="1">
      <alignment horizontal="left"/>
    </xf>
    <xf numFmtId="0" fontId="22" fillId="0" borderId="29" xfId="0" applyFont="1" applyBorder="1" applyAlignment="1">
      <alignment horizontal="left"/>
    </xf>
    <xf numFmtId="0" fontId="22" fillId="0" borderId="23" xfId="0" applyFont="1" applyBorder="1" applyAlignment="1">
      <alignment horizontal="left"/>
    </xf>
    <xf numFmtId="44" fontId="25" fillId="0" borderId="26" xfId="1" applyFont="1" applyBorder="1" applyAlignment="1">
      <alignment horizontal="center" vertical="center"/>
    </xf>
    <xf numFmtId="44" fontId="24" fillId="0" borderId="24" xfId="1" applyFont="1" applyBorder="1" applyAlignment="1">
      <alignment horizontal="center" vertical="center"/>
    </xf>
    <xf numFmtId="44" fontId="24" fillId="0" borderId="28" xfId="1" applyFont="1" applyBorder="1" applyAlignment="1">
      <alignment horizontal="center" vertical="center"/>
    </xf>
    <xf numFmtId="44" fontId="25" fillId="0" borderId="27" xfId="1" applyFont="1" applyBorder="1" applyAlignment="1">
      <alignment horizontal="center" vertical="center"/>
    </xf>
    <xf numFmtId="44" fontId="24" fillId="0" borderId="16" xfId="1" applyFont="1" applyBorder="1" applyAlignment="1">
      <alignment horizontal="center" vertical="center"/>
    </xf>
    <xf numFmtId="44" fontId="24" fillId="0" borderId="17" xfId="1" applyFont="1" applyBorder="1" applyAlignment="1">
      <alignment horizontal="center" vertical="center"/>
    </xf>
    <xf numFmtId="44" fontId="24" fillId="0" borderId="4" xfId="1" applyFont="1" applyBorder="1" applyAlignment="1">
      <alignment horizontal="center" vertical="center"/>
    </xf>
    <xf numFmtId="44" fontId="24" fillId="0" borderId="1" xfId="1" applyFont="1" applyBorder="1" applyAlignment="1">
      <alignment horizontal="center" vertical="center"/>
    </xf>
    <xf numFmtId="44" fontId="24" fillId="0" borderId="2" xfId="1" applyFont="1" applyBorder="1" applyAlignment="1">
      <alignment horizontal="center" vertical="center"/>
    </xf>
    <xf numFmtId="44" fontId="24" fillId="0" borderId="34" xfId="1" applyFont="1" applyBorder="1" applyAlignment="1">
      <alignment horizontal="center" vertical="center"/>
    </xf>
    <xf numFmtId="44" fontId="24" fillId="0" borderId="18" xfId="1" applyFont="1" applyBorder="1" applyAlignment="1">
      <alignment horizontal="center" vertical="center"/>
    </xf>
    <xf numFmtId="44" fontId="24" fillId="0" borderId="19" xfId="1" applyFont="1" applyBorder="1" applyAlignment="1">
      <alignment horizontal="center" vertical="center"/>
    </xf>
    <xf numFmtId="0" fontId="22" fillId="15" borderId="9" xfId="0" applyFont="1" applyFill="1" applyBorder="1" applyAlignment="1">
      <alignment horizontal="left"/>
    </xf>
    <xf numFmtId="0" fontId="22" fillId="15" borderId="10" xfId="0" applyFont="1" applyFill="1" applyBorder="1" applyAlignment="1">
      <alignment horizontal="left"/>
    </xf>
    <xf numFmtId="0" fontId="22" fillId="15" borderId="11" xfId="0" applyFont="1" applyFill="1" applyBorder="1" applyAlignment="1">
      <alignment horizontal="left"/>
    </xf>
    <xf numFmtId="0" fontId="59" fillId="0" borderId="1" xfId="0" applyFont="1" applyAlignment="1">
      <alignment horizontal="center"/>
    </xf>
    <xf numFmtId="0" fontId="36" fillId="20" borderId="1" xfId="0" applyFont="1" applyFill="1" applyAlignment="1">
      <alignment horizontal="center" vertical="center"/>
    </xf>
    <xf numFmtId="0" fontId="22" fillId="0" borderId="1" xfId="0" applyFont="1" applyAlignment="1">
      <alignment horizontal="center" vertical="center"/>
    </xf>
    <xf numFmtId="14" fontId="22" fillId="0" borderId="1" xfId="0" applyNumberFormat="1" applyFont="1" applyAlignment="1">
      <alignment horizontal="center" vertical="center"/>
    </xf>
    <xf numFmtId="0" fontId="39" fillId="0" borderId="1" xfId="0" applyFont="1" applyAlignment="1">
      <alignment horizontal="center"/>
    </xf>
    <xf numFmtId="0" fontId="22" fillId="0" borderId="1" xfId="0" applyFont="1" applyAlignment="1">
      <alignment horizontal="right"/>
    </xf>
    <xf numFmtId="0" fontId="22" fillId="0" borderId="1" xfId="0" applyFont="1" applyAlignment="1">
      <alignment horizontal="center"/>
    </xf>
    <xf numFmtId="0" fontId="26" fillId="0" borderId="5" xfId="0" applyFont="1" applyBorder="1" applyAlignment="1">
      <alignment horizontal="left" indent="1"/>
    </xf>
    <xf numFmtId="0" fontId="26" fillId="0" borderId="30" xfId="0" applyFont="1" applyBorder="1" applyAlignment="1">
      <alignment horizontal="center"/>
    </xf>
    <xf numFmtId="164" fontId="20" fillId="2" borderId="26" xfId="0" applyNumberFormat="1" applyFont="1" applyFill="1" applyBorder="1" applyAlignment="1">
      <alignment horizontal="center" vertical="center"/>
    </xf>
    <xf numFmtId="0" fontId="38" fillId="0" borderId="28" xfId="0" applyFont="1" applyBorder="1"/>
    <xf numFmtId="0" fontId="21" fillId="2" borderId="1" xfId="0" applyFont="1" applyFill="1" applyAlignment="1">
      <alignment horizontal="center" vertical="center"/>
    </xf>
    <xf numFmtId="0" fontId="36" fillId="0" borderId="1" xfId="0" applyFont="1" applyAlignment="1">
      <alignment horizontal="center" vertical="center"/>
    </xf>
    <xf numFmtId="0" fontId="42" fillId="0" borderId="1" xfId="0" applyFont="1" applyAlignment="1">
      <alignment horizontal="center"/>
    </xf>
    <xf numFmtId="0" fontId="23" fillId="0" borderId="1" xfId="0" applyFont="1" applyAlignment="1">
      <alignment horizontal="center" vertical="center"/>
    </xf>
    <xf numFmtId="0" fontId="30" fillId="3" borderId="4" xfId="0" applyFont="1" applyFill="1" applyBorder="1" applyAlignment="1">
      <alignment horizontal="center" vertical="center"/>
    </xf>
    <xf numFmtId="0" fontId="30" fillId="3" borderId="1" xfId="0" applyFont="1" applyFill="1" applyAlignment="1">
      <alignment horizontal="center" vertical="center"/>
    </xf>
    <xf numFmtId="0" fontId="52" fillId="21" borderId="0" xfId="0" applyFont="1" applyFill="1" applyBorder="1" applyAlignment="1">
      <alignment horizontal="center" vertical="center"/>
    </xf>
    <xf numFmtId="0" fontId="0" fillId="0" borderId="1" xfId="0"/>
    <xf numFmtId="0" fontId="53" fillId="22" borderId="32" xfId="0" applyFont="1" applyFill="1" applyBorder="1" applyAlignment="1">
      <alignment horizontal="center" vertical="top"/>
    </xf>
    <xf numFmtId="0" fontId="54" fillId="23" borderId="33" xfId="0" applyFont="1" applyFill="1" applyBorder="1" applyAlignment="1">
      <alignment horizontal="center" vertical="top"/>
    </xf>
    <xf numFmtId="0" fontId="0" fillId="0" borderId="33" xfId="0" applyBorder="1"/>
  </cellXfs>
  <cellStyles count="4">
    <cellStyle name="Moeda" xfId="1" xr:uid="{00000000-0005-0000-0000-000001000000}"/>
    <cellStyle name="Normal" xfId="0" builtinId="0"/>
    <cellStyle name="Porcentagem" xfId="2" xr:uid="{00000000-0005-0000-0000-000002000000}"/>
    <cellStyle name="Vírgula" xfId="3" xr:uid="{00000000-0005-0000-0000-000003000000}"/>
  </cellStyles>
  <dxfs count="155"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002060"/>
          <bgColor rgb="FF00206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002060"/>
          <bgColor rgb="FF002060"/>
        </patternFill>
      </fill>
    </dxf>
    <dxf>
      <fill>
        <patternFill patternType="solid">
          <fgColor rgb="FF92D050"/>
          <bgColor rgb="FF92D05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/>
        <color theme="0"/>
      </font>
      <fill>
        <patternFill>
          <bgColor theme="1" tint="4.9989318521683403E-2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i val="0"/>
      </font>
      <fill>
        <patternFill patternType="solid">
          <fgColor rgb="FFFFC000"/>
          <bgColor rgb="FFFFC000"/>
        </patternFill>
      </fill>
    </dxf>
    <dxf>
      <font>
        <b/>
        <i/>
        <color theme="0"/>
      </font>
      <fill>
        <patternFill patternType="solid">
          <fgColor theme="1" tint="4.9989318521683403E-2"/>
          <bgColor theme="1" tint="4.9989318521683403E-2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7030A0"/>
          <bgColor rgb="FF7030A0"/>
        </patternFill>
      </fill>
    </dxf>
    <dxf>
      <font>
        <b/>
        <i/>
        <color theme="0"/>
      </font>
      <fill>
        <patternFill patternType="solid">
          <fgColor rgb="FF0070C0"/>
          <bgColor rgb="FF0070C0"/>
        </patternFill>
      </fill>
    </dxf>
    <dxf>
      <font>
        <b/>
        <i/>
        <color theme="0"/>
      </font>
      <fill>
        <patternFill patternType="solid">
          <fgColor rgb="FF00B0F0"/>
          <bgColor rgb="FF00B0F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  <color theme="0"/>
      </font>
      <fill>
        <patternFill patternType="solid">
          <fgColor rgb="FF00B050"/>
          <bgColor rgb="FF00B050"/>
        </patternFill>
      </fill>
    </dxf>
    <dxf>
      <font>
        <b/>
        <i/>
        <color theme="0"/>
      </font>
      <fill>
        <patternFill patternType="solid">
          <fgColor rgb="FF7030A0"/>
          <bgColor rgb="FF7030A0"/>
        </patternFill>
      </fill>
    </dxf>
    <dxf>
      <font>
        <b/>
        <i/>
        <color theme="0"/>
      </font>
      <fill>
        <patternFill patternType="solid">
          <fgColor rgb="FF0070C0"/>
          <bgColor rgb="FF0070C0"/>
        </patternFill>
      </fill>
    </dxf>
    <dxf>
      <font>
        <b/>
        <i/>
        <color theme="0"/>
      </font>
      <fill>
        <patternFill patternType="solid">
          <fgColor rgb="FF00B0F0"/>
          <bgColor rgb="FF00B0F0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</font>
      <fill>
        <patternFill patternType="solid">
          <fgColor rgb="FF61FD9C"/>
          <bgColor rgb="FF61FD9C"/>
        </patternFill>
      </fill>
    </dxf>
    <dxf>
      <font>
        <b/>
        <i/>
        <color theme="0"/>
      </font>
      <fill>
        <patternFill patternType="solid">
          <fgColor rgb="FFFF0000"/>
          <bgColor rgb="FFFF0000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numFmt numFmtId="1" formatCode="0"/>
    </dxf>
    <dxf>
      <font>
        <b/>
        <sz val="14"/>
        <name val="Calibri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numFmt numFmtId="164" formatCode="_-&quot;R$&quot;\ * #,##0.00_-;\-&quot;R$&quot;\ * #,##0.00_-;_-&quot;R$&quot;\ * &quot;-&quot;??_-;_-@"/>
      <fill>
        <patternFill patternType="solid">
          <fgColor indexed="64"/>
          <bgColor rgb="FFD9E2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C6EFCE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Open Sans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color rgb="FF0070C0"/>
        <name val="Open Sans"/>
      </font>
      <numFmt numFmtId="34" formatCode="_-&quot;R$&quot;\ * #,##0.00_-;\-&quot;R$&quot;\ * #,##0.00_-;_-&quot;R$&quot;\ * &quot;-&quot;??_-;_-@_-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rgb="FF006100"/>
      </font>
      <numFmt numFmtId="13" formatCode="0%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64" formatCode="_-&quot;R$&quot;\ * #,##0.00_-;\-&quot;R$&quot;\ * #,##0.00_-;_-&quot;R$&quot;\ * &quot;-&quot;??_-;_-@"/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z val="11"/>
        <color theme="0"/>
        <name val="Calibri"/>
      </font>
      <numFmt numFmtId="164" formatCode="_-&quot;R$&quot;\ * #,##0.00_-;\-&quot;R$&quot;\ * #,##0.00_-;_-&quot;R$&quot;\ * &quot;-&quot;??_-;_-@"/>
      <fill>
        <patternFill patternType="solid">
          <fgColor rgb="FF002060"/>
          <bgColor rgb="FF002060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numFmt numFmtId="164" formatCode="_-&quot;R$&quot;\ * #,##0.00_-;\-&quot;R$&quot;\ * #,##0.00_-;_-&quot;R$&quot;\ * &quot;-&quot;??_-;_-@"/>
      <fill>
        <patternFill patternType="solid">
          <fgColor rgb="FFC6EFCE"/>
          <bgColor rgb="FFC6EFCE"/>
        </patternFill>
      </fill>
      <alignment horizontal="center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" formatCode="0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30" formatCode="@"/>
      <alignment horizontal="left" vertic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numFmt numFmtId="19" formatCode="dd/mm/yyyy"/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z val="10"/>
        <name val="Open Sans"/>
      </font>
      <alignment horizontal="center" textRotation="0" wrapText="0" indent="0" shrinkToFit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3" defaultTableStyle="TableStyleMedium2" defaultPivotStyle="PivotStyleLight16">
    <tableStyle name="PROD-style" pivot="0" count="3" xr9:uid="{00000000-0011-0000-FFFF-FFFF00000000}">
      <tableStyleElement type="headerRow" dxfId="154"/>
      <tableStyleElement type="firstRowStripe" dxfId="153"/>
      <tableStyleElement type="secondRowStripe" dxfId="152"/>
    </tableStyle>
    <tableStyle name="Vendas-style" pivot="0" count="4" xr9:uid="{00000000-0011-0000-FFFF-FFFF01000000}">
      <tableStyleElement type="headerRow" dxfId="151"/>
      <tableStyleElement type="totalRow" dxfId="150"/>
      <tableStyleElement type="firstRowStripe" dxfId="149"/>
      <tableStyleElement type="secondRowStripe" dxfId="148"/>
    </tableStyle>
    <tableStyle name="Sorteio-style" pivot="0" count="3" xr9:uid="{00000000-0011-0000-FFFF-FFFF02000000}">
      <tableStyleElement type="headerRow" dxfId="147"/>
      <tableStyleElement type="firstRowStripe" dxfId="146"/>
      <tableStyleElement type="secondRowStripe" dxfId="14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Relatorio!$A$3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Relatorio!$B$3:$E$3</c:f>
              <c:numCache>
                <c:formatCode>_("R$"* #,##0.00_);_("R$"* \(#,##0.00\);_("R$"* "-"??_);_(@_)</c:formatCode>
                <c:ptCount val="4"/>
                <c:pt idx="0" formatCode="0">
                  <c:v>1576</c:v>
                </c:pt>
                <c:pt idx="1">
                  <c:v>10772.958642857124</c:v>
                </c:pt>
                <c:pt idx="2">
                  <c:v>27772.775999999994</c:v>
                </c:pt>
                <c:pt idx="3">
                  <c:v>16999.817357142871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E-4DB0-A57D-B3FB4D2A954A}"/>
            </c:ext>
          </c:extLst>
        </c:ser>
        <c:ser>
          <c:idx val="1"/>
          <c:order val="1"/>
          <c:tx>
            <c:strRef>
              <c:f>Relatorio!$A$4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Relatorio!$B$4:$E$4</c:f>
              <c:numCache>
                <c:formatCode>_("R$"* #,##0.00_);_("R$"* \(#,##0.00\);_("R$"* "-"??_);_(@_)</c:formatCode>
                <c:ptCount val="4"/>
                <c:pt idx="0" formatCode="0">
                  <c:v>1826</c:v>
                </c:pt>
                <c:pt idx="1">
                  <c:v>11786.313333333328</c:v>
                </c:pt>
                <c:pt idx="2">
                  <c:v>35020.979999999989</c:v>
                </c:pt>
                <c:pt idx="3">
                  <c:v>23234.666666666661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E-4DB0-A57D-B3FB4D2A954A}"/>
            </c:ext>
          </c:extLst>
        </c:ser>
        <c:ser>
          <c:idx val="2"/>
          <c:order val="2"/>
          <c:tx>
            <c:strRef>
              <c:f>Relatorio!$A$5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</c:spPr>
          <c:invertIfNegative val="0"/>
          <c:cat>
            <c:strRef>
              <c:f>Relatorio!$B$2:$E$2</c:f>
              <c:strCache>
                <c:ptCount val="4"/>
                <c:pt idx="0">
                  <c:v>QT</c:v>
                </c:pt>
                <c:pt idx="1">
                  <c:v>Valor gasto</c:v>
                </c:pt>
                <c:pt idx="2">
                  <c:v>Valor vendido</c:v>
                </c:pt>
                <c:pt idx="3">
                  <c:v>Lucro</c:v>
                </c:pt>
              </c:strCache>
            </c:strRef>
          </c:cat>
          <c:val>
            <c:numRef>
              <c:f>Relatorio!$B$5:$E$5</c:f>
              <c:numCache>
                <c:formatCode>_("R$"* #,##0.00_);_("R$"* \(#,##0.00\);_("R$"* "-"??_);_(@_)</c:formatCode>
                <c:ptCount val="4"/>
                <c:pt idx="0" formatCode="0">
                  <c:v>679</c:v>
                </c:pt>
                <c:pt idx="1">
                  <c:v>13468.66166666666</c:v>
                </c:pt>
                <c:pt idx="2">
                  <c:v>23013.059999999983</c:v>
                </c:pt>
                <c:pt idx="3">
                  <c:v>9544.3983333333235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6E-4DB0-A57D-B3FB4D2A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78199"/>
        <c:axId val="69587348"/>
      </c:barChart>
      <c:catAx>
        <c:axId val="61078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9587348"/>
        <c:crosses val="autoZero"/>
        <c:auto val="1"/>
        <c:lblAlgn val="ctr"/>
        <c:lblOffset val="100"/>
        <c:tickMarkSkip val="1"/>
        <c:noMultiLvlLbl val="1"/>
      </c:catAx>
      <c:valAx>
        <c:axId val="695873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1078199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0"/>
          <c:cat>
            <c:strRef>
              <c:f>(Relatorio!$C$7,Relatorio!$D$7,Relatorio!$E$7)</c:f>
              <c:strCache>
                <c:ptCount val="3"/>
                <c:pt idx="0">
                  <c:v>Shopee</c:v>
                </c:pt>
                <c:pt idx="1">
                  <c:v>Fisica</c:v>
                </c:pt>
                <c:pt idx="2">
                  <c:v>Tiktok</c:v>
                </c:pt>
              </c:strCache>
            </c:strRef>
          </c:cat>
          <c:val>
            <c:numRef>
              <c:f>(Relatorio!$C$8,Relatorio!$D$8,Relatorio!$E$8)</c:f>
              <c:numCache>
                <c:formatCode>General</c:formatCode>
                <c:ptCount val="3"/>
                <c:pt idx="0">
                  <c:v>68</c:v>
                </c:pt>
                <c:pt idx="1">
                  <c:v>829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F-4558-96B0-9DF5DB7A647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</c:spPr>
          <c:invertIfNegative val="0"/>
          <c:cat>
            <c:strRef>
              <c:f>(Relatorio!$C$7,Relatorio!$D$7,Relatorio!$E$7)</c:f>
              <c:strCache>
                <c:ptCount val="3"/>
                <c:pt idx="0">
                  <c:v>Shopee</c:v>
                </c:pt>
                <c:pt idx="1">
                  <c:v>Fisica</c:v>
                </c:pt>
                <c:pt idx="2">
                  <c:v>Tiktok</c:v>
                </c:pt>
              </c:strCache>
            </c:strRef>
          </c:cat>
          <c:val>
            <c:numRef>
              <c:f>(Relatorio!$C$9,Relatorio!$D$9,Relatorio!$E$9)</c:f>
              <c:numCache>
                <c:formatCode>General</c:formatCode>
                <c:ptCount val="3"/>
                <c:pt idx="0">
                  <c:v>187</c:v>
                </c:pt>
                <c:pt idx="1">
                  <c:v>222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F-4558-96B0-9DF5DB7A6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97105"/>
        <c:axId val="35109036"/>
      </c:barChart>
      <c:catAx>
        <c:axId val="687971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35109036"/>
        <c:crosses val="autoZero"/>
        <c:auto val="1"/>
        <c:lblAlgn val="ctr"/>
        <c:lblOffset val="100"/>
        <c:tickMarkSkip val="1"/>
        <c:noMultiLvlLbl val="1"/>
      </c:catAx>
      <c:valAx>
        <c:axId val="351090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endParaRPr lang="pt-BR"/>
          </a:p>
        </c:txPr>
        <c:crossAx val="68797105"/>
        <c:crosses val="autoZero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2</xdr:row>
      <xdr:rowOff>19050</xdr:rowOff>
    </xdr:from>
    <xdr:to>
      <xdr:col>10</xdr:col>
      <xdr:colOff>734110</xdr:colOff>
      <xdr:row>5</xdr:row>
      <xdr:rowOff>21851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9665" b="21053"/>
        <a:stretch/>
      </xdr:blipFill>
      <xdr:spPr>
        <a:xfrm>
          <a:off x="5250516" y="400050"/>
          <a:ext cx="1646829" cy="977713"/>
        </a:xfrm>
        <a:prstGeom prst="rect">
          <a:avLst/>
        </a:prstGeom>
        <a:noFill/>
        <a:ln cmpd="sng">
          <a:noFill/>
        </a:ln>
      </xdr:spPr>
    </xdr:pic>
    <xdr:clientData/>
  </xdr:twoCellAnchor>
  <xdr:twoCellAnchor editAs="oneCell">
    <xdr:from>
      <xdr:col>21</xdr:col>
      <xdr:colOff>600075</xdr:colOff>
      <xdr:row>2</xdr:row>
      <xdr:rowOff>19050</xdr:rowOff>
    </xdr:from>
    <xdr:to>
      <xdr:col>24</xdr:col>
      <xdr:colOff>2366</xdr:colOff>
      <xdr:row>5</xdr:row>
      <xdr:rowOff>21851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9665" b="21053"/>
        <a:stretch/>
      </xdr:blipFill>
      <xdr:spPr>
        <a:xfrm>
          <a:off x="12904134" y="400050"/>
          <a:ext cx="1665879" cy="988919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66676</xdr:colOff>
      <xdr:row>0</xdr:row>
      <xdr:rowOff>52387</xdr:rowOff>
    </xdr:from>
    <xdr:to>
      <xdr:col>21</xdr:col>
      <xdr:colOff>171450</xdr:colOff>
      <xdr:row>5</xdr:row>
      <xdr:rowOff>176212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295275</xdr:colOff>
      <xdr:row>5</xdr:row>
      <xdr:rowOff>509587</xdr:rowOff>
    </xdr:from>
    <xdr:to>
      <xdr:col>13</xdr:col>
      <xdr:colOff>600075</xdr:colOff>
      <xdr:row>11</xdr:row>
      <xdr:rowOff>109537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eu%20Drive\LOJAS\ZM%20STORE%20FISICA\Controle%20de%20estoque.xlsx" TargetMode="External"/><Relationship Id="rId1" Type="http://schemas.openxmlformats.org/officeDocument/2006/relationships/externalLinkPath" Target="file:///G:\Meu%20Drive\LOJAS\ZM%20STORE%20FISICA\Controle%20de%20estoqu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ndas"/>
      <sheetName val="Vendas 2025"/>
      <sheetName val="Vendas 2026"/>
      <sheetName val="PROD"/>
      <sheetName val="Nota Fiscal"/>
      <sheetName val="Devedores"/>
      <sheetName val="jogos"/>
      <sheetName val="Relatorio"/>
      <sheetName val="Controle de estoque"/>
    </sheetNames>
    <sheetDataSet>
      <sheetData sheetId="0" refreshError="1"/>
      <sheetData sheetId="1" refreshError="1"/>
      <sheetData sheetId="2"/>
      <sheetData sheetId="3">
        <row r="2">
          <cell r="A2" t="str">
            <v>Adaptador Bluetooth</v>
          </cell>
          <cell r="B2">
            <v>1</v>
          </cell>
          <cell r="C2">
            <v>1</v>
          </cell>
          <cell r="D2">
            <v>0</v>
          </cell>
          <cell r="E2">
            <v>5</v>
          </cell>
          <cell r="F2" t="str">
            <v>Loja</v>
          </cell>
        </row>
        <row r="3">
          <cell r="A3" t="str">
            <v>Adaptador Ios P2</v>
          </cell>
          <cell r="B3">
            <v>1</v>
          </cell>
          <cell r="C3">
            <v>1</v>
          </cell>
          <cell r="D3">
            <v>0</v>
          </cell>
          <cell r="E3">
            <v>5.9</v>
          </cell>
          <cell r="F3" t="str">
            <v>Loja</v>
          </cell>
        </row>
        <row r="4">
          <cell r="A4" t="str">
            <v>Adaptador Micro Sd</v>
          </cell>
          <cell r="B4">
            <v>1</v>
          </cell>
          <cell r="C4">
            <v>1</v>
          </cell>
          <cell r="D4">
            <v>0</v>
          </cell>
          <cell r="E4">
            <v>3.5</v>
          </cell>
          <cell r="F4" t="str">
            <v>Loja</v>
          </cell>
        </row>
        <row r="5">
          <cell r="A5" t="str">
            <v>Adaptador P2 - P10</v>
          </cell>
          <cell r="B5">
            <v>1</v>
          </cell>
          <cell r="C5">
            <v>1</v>
          </cell>
          <cell r="D5">
            <v>0</v>
          </cell>
          <cell r="E5">
            <v>5</v>
          </cell>
          <cell r="F5" t="str">
            <v>Loja</v>
          </cell>
        </row>
        <row r="6">
          <cell r="A6" t="str">
            <v>Adaptador P2 Tipo C</v>
          </cell>
          <cell r="B6">
            <v>1</v>
          </cell>
          <cell r="C6">
            <v>1</v>
          </cell>
          <cell r="D6">
            <v>0</v>
          </cell>
          <cell r="E6">
            <v>8</v>
          </cell>
          <cell r="F6" t="str">
            <v>Loja</v>
          </cell>
        </row>
        <row r="7">
          <cell r="A7" t="str">
            <v>Adaptador P3X2 - P2</v>
          </cell>
          <cell r="B7">
            <v>1</v>
          </cell>
          <cell r="C7">
            <v>1</v>
          </cell>
          <cell r="D7">
            <v>0</v>
          </cell>
          <cell r="E7">
            <v>5</v>
          </cell>
          <cell r="F7" t="str">
            <v>Loja</v>
          </cell>
        </row>
        <row r="8">
          <cell r="A8" t="str">
            <v>Adaptador Rede - Usb</v>
          </cell>
          <cell r="B8">
            <v>2</v>
          </cell>
          <cell r="C8">
            <v>2</v>
          </cell>
          <cell r="D8">
            <v>0</v>
          </cell>
          <cell r="F8" t="str">
            <v>Loja</v>
          </cell>
        </row>
        <row r="9">
          <cell r="A9" t="str">
            <v>Adaptador T</v>
          </cell>
          <cell r="B9">
            <v>1</v>
          </cell>
          <cell r="C9">
            <v>1</v>
          </cell>
          <cell r="D9">
            <v>0</v>
          </cell>
          <cell r="E9">
            <v>1.5</v>
          </cell>
          <cell r="F9" t="str">
            <v>Loja</v>
          </cell>
        </row>
        <row r="10">
          <cell r="A10" t="str">
            <v>Adaptador Tipo C Para Usb</v>
          </cell>
          <cell r="B10">
            <v>1</v>
          </cell>
          <cell r="C10">
            <v>1</v>
          </cell>
          <cell r="D10">
            <v>0</v>
          </cell>
          <cell r="E10">
            <v>3.5</v>
          </cell>
          <cell r="F10" t="str">
            <v>Loja</v>
          </cell>
        </row>
        <row r="11">
          <cell r="A11" t="str">
            <v>Adaptador Tomada 2 Entrada</v>
          </cell>
          <cell r="B11">
            <v>1</v>
          </cell>
          <cell r="C11">
            <v>1</v>
          </cell>
          <cell r="D11">
            <v>0</v>
          </cell>
          <cell r="E11">
            <v>9.9</v>
          </cell>
          <cell r="F11" t="str">
            <v>Loja</v>
          </cell>
        </row>
        <row r="12">
          <cell r="A12" t="str">
            <v>Adaptador V8 - Iphone</v>
          </cell>
          <cell r="B12">
            <v>1</v>
          </cell>
          <cell r="C12">
            <v>1</v>
          </cell>
          <cell r="D12">
            <v>0</v>
          </cell>
          <cell r="E12">
            <v>3.5</v>
          </cell>
          <cell r="F12" t="str">
            <v>Loja</v>
          </cell>
        </row>
        <row r="13">
          <cell r="A13" t="str">
            <v>Adaptador Vga Para Hdmi</v>
          </cell>
          <cell r="B13">
            <v>1</v>
          </cell>
          <cell r="C13">
            <v>1</v>
          </cell>
          <cell r="D13">
            <v>0</v>
          </cell>
          <cell r="E13">
            <v>15</v>
          </cell>
          <cell r="F13" t="str">
            <v>Loja</v>
          </cell>
        </row>
        <row r="14">
          <cell r="A14" t="str">
            <v>Adaptador Wifi 2.5G</v>
          </cell>
          <cell r="B14">
            <v>1</v>
          </cell>
          <cell r="C14">
            <v>1</v>
          </cell>
          <cell r="D14">
            <v>0</v>
          </cell>
          <cell r="E14">
            <v>11</v>
          </cell>
          <cell r="F14" t="str">
            <v>Loja</v>
          </cell>
        </row>
        <row r="15">
          <cell r="A15" t="str">
            <v>Adaptador Wifi 2.5G Antena</v>
          </cell>
          <cell r="B15">
            <v>1</v>
          </cell>
          <cell r="C15">
            <v>1</v>
          </cell>
          <cell r="D15">
            <v>0</v>
          </cell>
          <cell r="E15">
            <v>12</v>
          </cell>
          <cell r="F15" t="str">
            <v>Loja</v>
          </cell>
        </row>
        <row r="16">
          <cell r="A16" t="str">
            <v>Adaptador Wifi 2.5G Antena Ms</v>
          </cell>
          <cell r="B16">
            <v>1</v>
          </cell>
          <cell r="C16">
            <v>1</v>
          </cell>
          <cell r="D16">
            <v>0</v>
          </cell>
          <cell r="E16">
            <v>9</v>
          </cell>
          <cell r="F16" t="str">
            <v>Loja</v>
          </cell>
        </row>
        <row r="17">
          <cell r="A17" t="str">
            <v>Adaptador Wifi 6</v>
          </cell>
          <cell r="B17">
            <v>1</v>
          </cell>
          <cell r="C17">
            <v>1</v>
          </cell>
          <cell r="D17">
            <v>0</v>
          </cell>
          <cell r="E17">
            <v>17.18</v>
          </cell>
          <cell r="F17" t="str">
            <v>Loja</v>
          </cell>
        </row>
        <row r="18">
          <cell r="A18" t="str">
            <v>Alicate Universal 8 Id-4762A</v>
          </cell>
          <cell r="B18">
            <v>1</v>
          </cell>
          <cell r="C18">
            <v>1</v>
          </cell>
          <cell r="D18">
            <v>0</v>
          </cell>
          <cell r="E18">
            <v>11</v>
          </cell>
          <cell r="F18" t="str">
            <v>Loja</v>
          </cell>
        </row>
        <row r="19">
          <cell r="A19" t="str">
            <v>Arma De Hidrogel Ar15</v>
          </cell>
          <cell r="B19">
            <v>1</v>
          </cell>
          <cell r="C19">
            <v>1</v>
          </cell>
          <cell r="D19">
            <v>0</v>
          </cell>
          <cell r="E19">
            <v>35</v>
          </cell>
          <cell r="F19" t="str">
            <v>Loja</v>
          </cell>
        </row>
        <row r="20">
          <cell r="A20" t="str">
            <v>Arminha De Agua</v>
          </cell>
          <cell r="B20">
            <v>99</v>
          </cell>
          <cell r="C20">
            <v>98</v>
          </cell>
          <cell r="D20">
            <v>1</v>
          </cell>
          <cell r="F20" t="str">
            <v>Loja</v>
          </cell>
        </row>
        <row r="21">
          <cell r="A21" t="str">
            <v>Balança 10Kg</v>
          </cell>
          <cell r="B21">
            <v>1</v>
          </cell>
          <cell r="C21">
            <v>1</v>
          </cell>
          <cell r="D21">
            <v>0</v>
          </cell>
          <cell r="E21">
            <v>14</v>
          </cell>
          <cell r="F21" t="str">
            <v>Loja</v>
          </cell>
        </row>
        <row r="22">
          <cell r="A22" t="str">
            <v>Balança De Precisão Xm-50522</v>
          </cell>
          <cell r="B22">
            <v>1</v>
          </cell>
          <cell r="C22">
            <v>1</v>
          </cell>
          <cell r="D22">
            <v>0</v>
          </cell>
          <cell r="E22">
            <v>16</v>
          </cell>
          <cell r="F22" t="str">
            <v>Loja</v>
          </cell>
        </row>
        <row r="23">
          <cell r="A23" t="str">
            <v>Baralho C 2 Jogos Bar-69087</v>
          </cell>
          <cell r="B23">
            <v>1</v>
          </cell>
          <cell r="C23">
            <v>1</v>
          </cell>
          <cell r="D23">
            <v>0</v>
          </cell>
          <cell r="E23">
            <v>1</v>
          </cell>
          <cell r="F23" t="str">
            <v>Loja</v>
          </cell>
        </row>
        <row r="24">
          <cell r="A24" t="str">
            <v xml:space="preserve">Bateria 23A </v>
          </cell>
          <cell r="B24">
            <v>1</v>
          </cell>
          <cell r="C24">
            <v>1</v>
          </cell>
          <cell r="D24">
            <v>0</v>
          </cell>
          <cell r="E24">
            <v>1.5</v>
          </cell>
          <cell r="F24" t="str">
            <v>Loja</v>
          </cell>
        </row>
        <row r="25">
          <cell r="A25" t="str">
            <v>Bateria 9V</v>
          </cell>
          <cell r="B25">
            <v>1</v>
          </cell>
          <cell r="C25">
            <v>1</v>
          </cell>
          <cell r="D25">
            <v>0</v>
          </cell>
          <cell r="E25">
            <v>4</v>
          </cell>
          <cell r="F25" t="str">
            <v>Loja</v>
          </cell>
        </row>
        <row r="26">
          <cell r="A26" t="str">
            <v>Bleybleyd</v>
          </cell>
          <cell r="B26">
            <v>99</v>
          </cell>
          <cell r="C26">
            <v>98</v>
          </cell>
          <cell r="D26">
            <v>1</v>
          </cell>
          <cell r="F26" t="str">
            <v>Loja</v>
          </cell>
        </row>
        <row r="27">
          <cell r="A27" t="str">
            <v>Bobbie Goods Caderno</v>
          </cell>
          <cell r="B27">
            <v>1</v>
          </cell>
          <cell r="C27">
            <v>1</v>
          </cell>
          <cell r="D27">
            <v>0</v>
          </cell>
          <cell r="E27">
            <v>13</v>
          </cell>
          <cell r="F27" t="str">
            <v>Loja</v>
          </cell>
        </row>
        <row r="28">
          <cell r="A28" t="str">
            <v>Bobbie Goods Card</v>
          </cell>
          <cell r="B28">
            <v>1</v>
          </cell>
          <cell r="C28">
            <v>1</v>
          </cell>
          <cell r="D28">
            <v>0</v>
          </cell>
          <cell r="E28">
            <v>2.5</v>
          </cell>
          <cell r="F28" t="str">
            <v>Loja</v>
          </cell>
        </row>
        <row r="29">
          <cell r="A29" t="str">
            <v>Bolinha De Gel</v>
          </cell>
          <cell r="B29">
            <v>99</v>
          </cell>
          <cell r="C29">
            <v>98</v>
          </cell>
          <cell r="D29">
            <v>1</v>
          </cell>
          <cell r="F29" t="str">
            <v>Loja</v>
          </cell>
        </row>
        <row r="30">
          <cell r="A30" t="str">
            <v xml:space="preserve">Boneco Lego </v>
          </cell>
          <cell r="B30">
            <v>1</v>
          </cell>
          <cell r="C30">
            <v>1</v>
          </cell>
          <cell r="D30">
            <v>0</v>
          </cell>
          <cell r="E30">
            <v>15</v>
          </cell>
          <cell r="F30" t="str">
            <v>Loja</v>
          </cell>
        </row>
        <row r="31">
          <cell r="A31" t="str">
            <v>Boneco Lego Kit</v>
          </cell>
          <cell r="B31">
            <v>99</v>
          </cell>
          <cell r="C31">
            <v>98</v>
          </cell>
          <cell r="D31">
            <v>1</v>
          </cell>
          <cell r="F31" t="str">
            <v>Loja</v>
          </cell>
        </row>
        <row r="32">
          <cell r="A32" t="str">
            <v>Brinquedo Arminha</v>
          </cell>
          <cell r="B32">
            <v>99</v>
          </cell>
          <cell r="C32">
            <v>98</v>
          </cell>
          <cell r="D32">
            <v>1</v>
          </cell>
          <cell r="F32" t="str">
            <v>Loja</v>
          </cell>
        </row>
        <row r="33">
          <cell r="A33" t="str">
            <v>Cabeça Carregador 3.1A Ka-5601</v>
          </cell>
          <cell r="B33">
            <v>1</v>
          </cell>
          <cell r="C33">
            <v>1</v>
          </cell>
          <cell r="D33">
            <v>0</v>
          </cell>
          <cell r="E33">
            <v>6</v>
          </cell>
          <cell r="F33" t="str">
            <v>Loja</v>
          </cell>
        </row>
        <row r="34">
          <cell r="A34" t="str">
            <v>Cabo Auxiliar P2 H'Maston</v>
          </cell>
          <cell r="B34">
            <v>1</v>
          </cell>
          <cell r="C34">
            <v>1</v>
          </cell>
          <cell r="D34">
            <v>0</v>
          </cell>
          <cell r="E34">
            <v>3.5</v>
          </cell>
          <cell r="F34" t="str">
            <v>Loja</v>
          </cell>
        </row>
        <row r="35">
          <cell r="A35" t="str">
            <v>Cabo Auxiliar P2 Kingo</v>
          </cell>
          <cell r="B35">
            <v>1</v>
          </cell>
          <cell r="C35">
            <v>1</v>
          </cell>
          <cell r="D35">
            <v>0</v>
          </cell>
          <cell r="E35">
            <v>7</v>
          </cell>
          <cell r="F35" t="str">
            <v>Loja</v>
          </cell>
        </row>
        <row r="36">
          <cell r="A36" t="str">
            <v>Cabo Auxiliar P2 Le-804</v>
          </cell>
          <cell r="B36">
            <v>1</v>
          </cell>
          <cell r="C36">
            <v>1</v>
          </cell>
          <cell r="D36">
            <v>0</v>
          </cell>
          <cell r="E36">
            <v>2.5</v>
          </cell>
          <cell r="F36" t="str">
            <v>Loja</v>
          </cell>
        </row>
        <row r="37">
          <cell r="A37" t="str">
            <v>Cabo Colorido</v>
          </cell>
          <cell r="B37">
            <v>99</v>
          </cell>
          <cell r="C37">
            <v>98</v>
          </cell>
          <cell r="D37">
            <v>1</v>
          </cell>
          <cell r="F37" t="str">
            <v>Loja</v>
          </cell>
        </row>
        <row r="38">
          <cell r="A38" t="str">
            <v>Cabo De Dados Tc Kapbom Kap 1Mtc</v>
          </cell>
          <cell r="B38">
            <v>1</v>
          </cell>
          <cell r="C38">
            <v>1</v>
          </cell>
          <cell r="D38">
            <v>0</v>
          </cell>
          <cell r="E38">
            <v>3.5</v>
          </cell>
          <cell r="F38" t="str">
            <v>Loja</v>
          </cell>
        </row>
        <row r="39">
          <cell r="A39" t="str">
            <v>Cabo De Dados V8 Kapbom Kap 1Mv8</v>
          </cell>
          <cell r="B39">
            <v>1</v>
          </cell>
          <cell r="C39">
            <v>1</v>
          </cell>
          <cell r="D39">
            <v>0</v>
          </cell>
          <cell r="E39">
            <v>3.5</v>
          </cell>
          <cell r="F39" t="str">
            <v>Loja</v>
          </cell>
        </row>
        <row r="40">
          <cell r="A40" t="str">
            <v>Cabo De Força - 2 Pinos</v>
          </cell>
          <cell r="B40">
            <v>1</v>
          </cell>
          <cell r="C40">
            <v>1</v>
          </cell>
          <cell r="D40">
            <v>0</v>
          </cell>
          <cell r="F40" t="str">
            <v>Loja</v>
          </cell>
        </row>
        <row r="41">
          <cell r="A41" t="str">
            <v>Cabo De Força - 3 Pinos</v>
          </cell>
          <cell r="B41">
            <v>3</v>
          </cell>
          <cell r="C41">
            <v>0</v>
          </cell>
          <cell r="D41">
            <v>3</v>
          </cell>
          <cell r="E41">
            <v>6</v>
          </cell>
          <cell r="F41" t="str">
            <v>Loja</v>
          </cell>
        </row>
        <row r="42">
          <cell r="A42" t="str">
            <v>Cabo De Força - Pc</v>
          </cell>
          <cell r="B42">
            <v>1</v>
          </cell>
          <cell r="C42">
            <v>1</v>
          </cell>
          <cell r="D42">
            <v>0</v>
          </cell>
          <cell r="E42">
            <v>6</v>
          </cell>
          <cell r="F42" t="str">
            <v>Loja</v>
          </cell>
        </row>
        <row r="43">
          <cell r="A43" t="str">
            <v>Cabo De Rede</v>
          </cell>
          <cell r="B43">
            <v>99</v>
          </cell>
          <cell r="C43">
            <v>98</v>
          </cell>
          <cell r="D43">
            <v>1</v>
          </cell>
          <cell r="F43" t="str">
            <v>Loja</v>
          </cell>
        </row>
        <row r="44">
          <cell r="A44" t="str">
            <v xml:space="preserve">Cabo Displayport </v>
          </cell>
          <cell r="B44">
            <v>1</v>
          </cell>
          <cell r="C44">
            <v>1</v>
          </cell>
          <cell r="D44">
            <v>0</v>
          </cell>
          <cell r="E44">
            <v>10</v>
          </cell>
          <cell r="F44" t="str">
            <v>Loja</v>
          </cell>
        </row>
        <row r="45">
          <cell r="A45" t="str">
            <v>Cabo Hdmi 1,8/2M</v>
          </cell>
          <cell r="B45">
            <v>1</v>
          </cell>
          <cell r="C45">
            <v>1</v>
          </cell>
          <cell r="D45">
            <v>0</v>
          </cell>
          <cell r="E45">
            <v>6</v>
          </cell>
          <cell r="F45" t="str">
            <v>Loja</v>
          </cell>
        </row>
        <row r="46">
          <cell r="A46" t="str">
            <v>Cabo Hdmi 2M</v>
          </cell>
          <cell r="B46">
            <v>1</v>
          </cell>
          <cell r="C46">
            <v>1</v>
          </cell>
          <cell r="D46">
            <v>0</v>
          </cell>
          <cell r="E46">
            <v>6</v>
          </cell>
          <cell r="F46" t="str">
            <v>Loja</v>
          </cell>
        </row>
        <row r="47">
          <cell r="A47" t="str">
            <v>Cabo Hdmi 3M Multilaser</v>
          </cell>
          <cell r="B47">
            <v>1</v>
          </cell>
          <cell r="C47">
            <v>1</v>
          </cell>
          <cell r="D47">
            <v>0</v>
          </cell>
          <cell r="E47">
            <v>0</v>
          </cell>
          <cell r="F47" t="str">
            <v>Loja</v>
          </cell>
        </row>
        <row r="48">
          <cell r="A48" t="str">
            <v>Cabo Hdmi 4M</v>
          </cell>
          <cell r="B48">
            <v>1</v>
          </cell>
          <cell r="C48">
            <v>1</v>
          </cell>
          <cell r="D48">
            <v>0</v>
          </cell>
          <cell r="E48">
            <v>15</v>
          </cell>
          <cell r="F48" t="str">
            <v>Loja</v>
          </cell>
        </row>
        <row r="49">
          <cell r="A49" t="str">
            <v>Cabo Hmaster Tpc 4.8A</v>
          </cell>
          <cell r="B49">
            <v>1</v>
          </cell>
          <cell r="C49">
            <v>1</v>
          </cell>
          <cell r="D49">
            <v>0</v>
          </cell>
          <cell r="E49">
            <v>4</v>
          </cell>
          <cell r="F49" t="str">
            <v>Loja</v>
          </cell>
        </row>
        <row r="50">
          <cell r="A50" t="str">
            <v>Cabo H'Maston Hb01-1</v>
          </cell>
          <cell r="B50">
            <v>1</v>
          </cell>
          <cell r="C50">
            <v>1</v>
          </cell>
          <cell r="D50">
            <v>0</v>
          </cell>
          <cell r="E50">
            <v>4.5</v>
          </cell>
          <cell r="F50" t="str">
            <v>Loja</v>
          </cell>
        </row>
        <row r="51">
          <cell r="A51" t="str">
            <v>Cabo Inova Tc Cbo-12223</v>
          </cell>
          <cell r="B51">
            <v>1</v>
          </cell>
          <cell r="C51">
            <v>1</v>
          </cell>
          <cell r="D51">
            <v>0</v>
          </cell>
          <cell r="E51">
            <v>6</v>
          </cell>
          <cell r="F51" t="str">
            <v>Loja</v>
          </cell>
        </row>
        <row r="52">
          <cell r="A52" t="str">
            <v>Cabo Iphone 20W</v>
          </cell>
          <cell r="B52">
            <v>3</v>
          </cell>
          <cell r="C52">
            <v>1</v>
          </cell>
          <cell r="D52">
            <v>2</v>
          </cell>
          <cell r="E52">
            <v>6</v>
          </cell>
          <cell r="F52" t="str">
            <v>Loja</v>
          </cell>
        </row>
        <row r="53">
          <cell r="A53" t="str">
            <v>Cabo Iphone Caixa Branca</v>
          </cell>
          <cell r="B53">
            <v>1</v>
          </cell>
          <cell r="C53">
            <v>1</v>
          </cell>
          <cell r="D53">
            <v>0</v>
          </cell>
          <cell r="E53">
            <v>15</v>
          </cell>
          <cell r="F53" t="str">
            <v>Loja</v>
          </cell>
        </row>
        <row r="54">
          <cell r="A54" t="str">
            <v>Cabo Iphone Hb10-2 Iphone</v>
          </cell>
          <cell r="B54">
            <v>1</v>
          </cell>
          <cell r="C54">
            <v>1</v>
          </cell>
          <cell r="D54">
            <v>0</v>
          </cell>
          <cell r="E54">
            <v>5</v>
          </cell>
          <cell r="F54" t="str">
            <v>Loja</v>
          </cell>
        </row>
        <row r="55">
          <cell r="A55" t="str">
            <v>Cabo Iphone Hb10-3 Tipo C</v>
          </cell>
          <cell r="B55">
            <v>1</v>
          </cell>
          <cell r="C55">
            <v>1</v>
          </cell>
          <cell r="D55">
            <v>0</v>
          </cell>
          <cell r="E55">
            <v>5</v>
          </cell>
          <cell r="F55" t="str">
            <v>Loja</v>
          </cell>
        </row>
        <row r="56">
          <cell r="A56" t="str">
            <v>Cabo Iphone Kap</v>
          </cell>
          <cell r="B56">
            <v>1</v>
          </cell>
          <cell r="C56">
            <v>1</v>
          </cell>
          <cell r="D56">
            <v>0</v>
          </cell>
          <cell r="E56">
            <v>4</v>
          </cell>
          <cell r="F56" t="str">
            <v>Loja</v>
          </cell>
        </row>
        <row r="57">
          <cell r="A57" t="str">
            <v>Cabo Kingo Iphone 1M</v>
          </cell>
          <cell r="B57">
            <v>1</v>
          </cell>
          <cell r="C57">
            <v>1</v>
          </cell>
          <cell r="D57">
            <v>0</v>
          </cell>
          <cell r="E57">
            <v>7</v>
          </cell>
          <cell r="F57" t="str">
            <v>Loja</v>
          </cell>
        </row>
        <row r="58">
          <cell r="A58" t="str">
            <v>Cabo Kingo Iphone 2M Leo</v>
          </cell>
          <cell r="B58">
            <v>1</v>
          </cell>
          <cell r="C58">
            <v>1</v>
          </cell>
          <cell r="D58">
            <v>0</v>
          </cell>
          <cell r="E58">
            <v>10</v>
          </cell>
          <cell r="F58" t="str">
            <v>Loja</v>
          </cell>
        </row>
        <row r="59">
          <cell r="A59" t="str">
            <v>Cabo Kingo Tc 1M</v>
          </cell>
          <cell r="B59">
            <v>1</v>
          </cell>
          <cell r="C59">
            <v>1</v>
          </cell>
          <cell r="D59">
            <v>0</v>
          </cell>
          <cell r="E59">
            <v>7</v>
          </cell>
          <cell r="F59" t="str">
            <v>Loja</v>
          </cell>
        </row>
        <row r="60">
          <cell r="A60" t="str">
            <v>Cabo P2/P10</v>
          </cell>
          <cell r="B60">
            <v>1</v>
          </cell>
          <cell r="C60">
            <v>1</v>
          </cell>
          <cell r="D60">
            <v>0</v>
          </cell>
          <cell r="E60">
            <v>4</v>
          </cell>
          <cell r="F60" t="str">
            <v>Loja</v>
          </cell>
        </row>
        <row r="61">
          <cell r="A61" t="str">
            <v>Cabo Pmcell Tc Laranja</v>
          </cell>
          <cell r="B61">
            <v>1</v>
          </cell>
          <cell r="C61">
            <v>1</v>
          </cell>
          <cell r="D61">
            <v>0</v>
          </cell>
          <cell r="E61">
            <v>5</v>
          </cell>
          <cell r="F61" t="str">
            <v>Loja</v>
          </cell>
        </row>
        <row r="62">
          <cell r="A62" t="str">
            <v>Cabo Rca Para Rca</v>
          </cell>
          <cell r="B62">
            <v>1</v>
          </cell>
          <cell r="C62">
            <v>1</v>
          </cell>
          <cell r="D62">
            <v>0</v>
          </cell>
          <cell r="E62">
            <v>3.5</v>
          </cell>
          <cell r="F62" t="str">
            <v>Loja</v>
          </cell>
        </row>
        <row r="63">
          <cell r="A63" t="str">
            <v>Cabo Spartan V8</v>
          </cell>
          <cell r="B63">
            <v>1</v>
          </cell>
          <cell r="C63">
            <v>1</v>
          </cell>
          <cell r="D63">
            <v>0</v>
          </cell>
          <cell r="E63">
            <v>4.5</v>
          </cell>
          <cell r="F63" t="str">
            <v>Loja</v>
          </cell>
        </row>
        <row r="64">
          <cell r="A64" t="str">
            <v>Cabo Spartan V8 Leo</v>
          </cell>
          <cell r="B64">
            <v>1</v>
          </cell>
          <cell r="C64">
            <v>1</v>
          </cell>
          <cell r="D64">
            <v>0</v>
          </cell>
          <cell r="E64">
            <v>4</v>
          </cell>
          <cell r="F64" t="str">
            <v>Loja</v>
          </cell>
        </row>
        <row r="65">
          <cell r="A65" t="str">
            <v>Cabo Tipo C - Digital</v>
          </cell>
          <cell r="B65">
            <v>1</v>
          </cell>
          <cell r="C65">
            <v>1</v>
          </cell>
          <cell r="D65">
            <v>0</v>
          </cell>
          <cell r="E65">
            <v>15</v>
          </cell>
          <cell r="F65" t="str">
            <v>Loja</v>
          </cell>
        </row>
        <row r="66">
          <cell r="A66" t="str">
            <v>Cabo Usb Extensor</v>
          </cell>
          <cell r="B66">
            <v>1</v>
          </cell>
          <cell r="C66">
            <v>1</v>
          </cell>
          <cell r="D66">
            <v>0</v>
          </cell>
          <cell r="E66">
            <v>3.5</v>
          </cell>
          <cell r="F66" t="str">
            <v>Loja</v>
          </cell>
        </row>
        <row r="67">
          <cell r="A67" t="str">
            <v>Cabo Usb X Usb</v>
          </cell>
          <cell r="B67">
            <v>1</v>
          </cell>
          <cell r="C67">
            <v>1</v>
          </cell>
          <cell r="D67">
            <v>0</v>
          </cell>
          <cell r="E67">
            <v>4</v>
          </cell>
          <cell r="F67" t="str">
            <v>Loja</v>
          </cell>
        </row>
        <row r="68">
          <cell r="A68" t="str">
            <v>Cabo V8 4.8 Max H72-1</v>
          </cell>
          <cell r="B68">
            <v>1</v>
          </cell>
          <cell r="C68">
            <v>1</v>
          </cell>
          <cell r="D68">
            <v>0</v>
          </cell>
          <cell r="E68">
            <v>4.5</v>
          </cell>
          <cell r="F68" t="str">
            <v>Loja</v>
          </cell>
        </row>
        <row r="69">
          <cell r="A69" t="str">
            <v>Cabo Verde</v>
          </cell>
          <cell r="B69">
            <v>1</v>
          </cell>
          <cell r="C69">
            <v>1</v>
          </cell>
          <cell r="D69">
            <v>0</v>
          </cell>
          <cell r="E69">
            <v>15</v>
          </cell>
          <cell r="F69" t="str">
            <v>Loja</v>
          </cell>
        </row>
        <row r="70">
          <cell r="A70" t="str">
            <v>Cabo Vga</v>
          </cell>
          <cell r="B70">
            <v>1</v>
          </cell>
          <cell r="C70">
            <v>0</v>
          </cell>
          <cell r="D70">
            <v>1</v>
          </cell>
          <cell r="E70">
            <v>9</v>
          </cell>
          <cell r="F70" t="str">
            <v>Loja</v>
          </cell>
        </row>
        <row r="71">
          <cell r="A71" t="str">
            <v>Cabo Y P2/P3</v>
          </cell>
          <cell r="B71">
            <v>1</v>
          </cell>
          <cell r="C71">
            <v>1</v>
          </cell>
          <cell r="D71">
            <v>0</v>
          </cell>
          <cell r="E71">
            <v>5</v>
          </cell>
          <cell r="F71" t="str">
            <v>Loja</v>
          </cell>
        </row>
        <row r="72">
          <cell r="A72" t="str">
            <v>Cabos Variados Saco Branco</v>
          </cell>
          <cell r="B72">
            <v>1</v>
          </cell>
          <cell r="C72">
            <v>1</v>
          </cell>
          <cell r="D72">
            <v>0</v>
          </cell>
          <cell r="E72">
            <v>5</v>
          </cell>
          <cell r="F72" t="str">
            <v>Loja</v>
          </cell>
        </row>
        <row r="73">
          <cell r="A73" t="str">
            <v>Caixa De Som Pc</v>
          </cell>
          <cell r="B73">
            <v>99</v>
          </cell>
          <cell r="C73">
            <v>98</v>
          </cell>
          <cell r="D73">
            <v>1</v>
          </cell>
          <cell r="F73" t="str">
            <v>Loja</v>
          </cell>
        </row>
        <row r="74">
          <cell r="A74" t="str">
            <v>Calculadora 12 Dígitos Crs8585</v>
          </cell>
          <cell r="B74">
            <v>1</v>
          </cell>
          <cell r="C74">
            <v>1</v>
          </cell>
          <cell r="D74">
            <v>0</v>
          </cell>
          <cell r="E74">
            <v>23</v>
          </cell>
          <cell r="F74" t="str">
            <v>Loja</v>
          </cell>
        </row>
        <row r="75">
          <cell r="A75" t="str">
            <v>Calculadora Pequena</v>
          </cell>
          <cell r="B75">
            <v>1</v>
          </cell>
          <cell r="C75">
            <v>1</v>
          </cell>
          <cell r="D75">
            <v>0</v>
          </cell>
          <cell r="E75">
            <v>2.7</v>
          </cell>
          <cell r="F75" t="str">
            <v>Loja</v>
          </cell>
        </row>
        <row r="76">
          <cell r="A76" t="str">
            <v>Camera Ip Dupla</v>
          </cell>
          <cell r="B76">
            <v>1</v>
          </cell>
          <cell r="C76">
            <v>1</v>
          </cell>
          <cell r="D76">
            <v>0</v>
          </cell>
          <cell r="E76">
            <v>105.175</v>
          </cell>
          <cell r="F76" t="str">
            <v>Loja</v>
          </cell>
        </row>
        <row r="77">
          <cell r="A77" t="str">
            <v xml:space="preserve">Caneta Depiladora </v>
          </cell>
          <cell r="B77">
            <v>1</v>
          </cell>
          <cell r="C77">
            <v>1</v>
          </cell>
          <cell r="D77">
            <v>0</v>
          </cell>
          <cell r="E77">
            <v>12.5</v>
          </cell>
          <cell r="F77" t="str">
            <v>Loja</v>
          </cell>
        </row>
        <row r="78">
          <cell r="A78" t="str">
            <v>Canivete Automático Knife</v>
          </cell>
          <cell r="B78">
            <v>1</v>
          </cell>
          <cell r="C78">
            <v>1</v>
          </cell>
          <cell r="D78">
            <v>0</v>
          </cell>
          <cell r="E78">
            <v>9</v>
          </cell>
          <cell r="F78" t="str">
            <v>Loja</v>
          </cell>
        </row>
        <row r="79">
          <cell r="A79" t="str">
            <v>Capa A Prova D'Água</v>
          </cell>
          <cell r="B79">
            <v>1</v>
          </cell>
          <cell r="C79">
            <v>1</v>
          </cell>
          <cell r="D79">
            <v>0</v>
          </cell>
          <cell r="E79">
            <v>3.5</v>
          </cell>
          <cell r="F79" t="str">
            <v>Loja</v>
          </cell>
        </row>
        <row r="80">
          <cell r="A80" t="str">
            <v>Capa Celular Simples</v>
          </cell>
          <cell r="B80">
            <v>1</v>
          </cell>
          <cell r="C80">
            <v>1</v>
          </cell>
          <cell r="D80">
            <v>0</v>
          </cell>
          <cell r="E80">
            <v>2</v>
          </cell>
          <cell r="F80" t="str">
            <v>Loja</v>
          </cell>
        </row>
        <row r="81">
          <cell r="A81" t="str">
            <v>Capa De Chuva</v>
          </cell>
          <cell r="B81">
            <v>1</v>
          </cell>
          <cell r="C81">
            <v>1</v>
          </cell>
          <cell r="D81">
            <v>0</v>
          </cell>
          <cell r="E81">
            <v>7</v>
          </cell>
          <cell r="F81" t="str">
            <v>Loja</v>
          </cell>
        </row>
        <row r="82">
          <cell r="A82" t="str">
            <v>Capinha</v>
          </cell>
          <cell r="B82">
            <v>1</v>
          </cell>
          <cell r="C82">
            <v>1</v>
          </cell>
          <cell r="D82">
            <v>0</v>
          </cell>
          <cell r="E82">
            <v>3</v>
          </cell>
          <cell r="F82" t="str">
            <v>Loja</v>
          </cell>
        </row>
        <row r="83">
          <cell r="A83" t="str">
            <v>Capinha Iphone</v>
          </cell>
          <cell r="B83">
            <v>99</v>
          </cell>
          <cell r="C83">
            <v>98</v>
          </cell>
          <cell r="D83">
            <v>1</v>
          </cell>
          <cell r="F83" t="str">
            <v>Loja</v>
          </cell>
        </row>
        <row r="84">
          <cell r="A84" t="str">
            <v>Capinha Simples</v>
          </cell>
          <cell r="B84">
            <v>99</v>
          </cell>
          <cell r="C84">
            <v>98</v>
          </cell>
          <cell r="D84">
            <v>1</v>
          </cell>
          <cell r="F84" t="str">
            <v>Loja</v>
          </cell>
        </row>
        <row r="85">
          <cell r="A85" t="str">
            <v>Card</v>
          </cell>
          <cell r="B85">
            <v>1</v>
          </cell>
          <cell r="C85">
            <v>1</v>
          </cell>
          <cell r="D85">
            <v>0</v>
          </cell>
          <cell r="E85">
            <v>0.4</v>
          </cell>
          <cell r="F85" t="str">
            <v>Loja</v>
          </cell>
        </row>
        <row r="86">
          <cell r="A86" t="str">
            <v>Card Caixa 50</v>
          </cell>
          <cell r="B86">
            <v>1</v>
          </cell>
          <cell r="C86">
            <v>1</v>
          </cell>
          <cell r="D86">
            <v>0</v>
          </cell>
          <cell r="E86">
            <v>5</v>
          </cell>
          <cell r="F86" t="str">
            <v>Loja</v>
          </cell>
        </row>
        <row r="87">
          <cell r="A87" t="str">
            <v>Carregador Cabeça  Spartan  - Cw-178</v>
          </cell>
          <cell r="B87">
            <v>1</v>
          </cell>
          <cell r="C87">
            <v>1</v>
          </cell>
          <cell r="D87">
            <v>0</v>
          </cell>
          <cell r="E87">
            <v>12</v>
          </cell>
          <cell r="F87" t="str">
            <v>Loja</v>
          </cell>
        </row>
        <row r="88">
          <cell r="A88" t="str">
            <v>Carregador Cabeça 20W</v>
          </cell>
          <cell r="B88">
            <v>1</v>
          </cell>
          <cell r="C88">
            <v>1</v>
          </cell>
          <cell r="D88">
            <v>0</v>
          </cell>
          <cell r="E88">
            <v>11</v>
          </cell>
          <cell r="F88" t="str">
            <v>Loja</v>
          </cell>
        </row>
        <row r="89">
          <cell r="A89" t="str">
            <v>Carregador Completo Iphone 20W</v>
          </cell>
          <cell r="B89">
            <v>99</v>
          </cell>
          <cell r="C89">
            <v>98</v>
          </cell>
          <cell r="D89">
            <v>1</v>
          </cell>
          <cell r="E89">
            <v>15</v>
          </cell>
          <cell r="F89" t="str">
            <v>Loja</v>
          </cell>
        </row>
        <row r="90">
          <cell r="A90" t="str">
            <v>Carregador Completo Lehmox Tipo C</v>
          </cell>
          <cell r="B90">
            <v>1</v>
          </cell>
          <cell r="C90">
            <v>1</v>
          </cell>
          <cell r="D90">
            <v>0</v>
          </cell>
          <cell r="E90">
            <v>11</v>
          </cell>
          <cell r="F90" t="str">
            <v>Loja</v>
          </cell>
        </row>
        <row r="91">
          <cell r="A91" t="str">
            <v>Carregador Completo Lehmox v8</v>
          </cell>
          <cell r="B91">
            <v>1</v>
          </cell>
          <cell r="C91">
            <v>1</v>
          </cell>
          <cell r="D91">
            <v>0</v>
          </cell>
          <cell r="E91">
            <v>11</v>
          </cell>
          <cell r="F91" t="str">
            <v>Loja</v>
          </cell>
        </row>
        <row r="92">
          <cell r="A92" t="str">
            <v xml:space="preserve">Carregador Completo Lehmox iphone </v>
          </cell>
          <cell r="B92">
            <v>1</v>
          </cell>
          <cell r="C92">
            <v>1</v>
          </cell>
          <cell r="D92">
            <v>0</v>
          </cell>
          <cell r="E92">
            <v>11</v>
          </cell>
          <cell r="F92" t="str">
            <v>Loja</v>
          </cell>
        </row>
        <row r="93">
          <cell r="A93" t="str">
            <v>Jogos De Ps2</v>
          </cell>
          <cell r="B93">
            <v>999</v>
          </cell>
          <cell r="C93">
            <v>995</v>
          </cell>
          <cell r="D93">
            <v>4</v>
          </cell>
          <cell r="E93">
            <v>0.7</v>
          </cell>
          <cell r="F93" t="str">
            <v>Loja</v>
          </cell>
        </row>
        <row r="94">
          <cell r="A94" t="str">
            <v>Jogo Ps2 tiktok</v>
          </cell>
          <cell r="B94">
            <v>999</v>
          </cell>
          <cell r="C94">
            <v>999</v>
          </cell>
          <cell r="D94">
            <v>0</v>
          </cell>
          <cell r="E94">
            <v>0.7</v>
          </cell>
          <cell r="F94" t="str">
            <v>Loja</v>
          </cell>
        </row>
        <row r="95">
          <cell r="A95" t="str">
            <v>Carregador Lehmox 5.1 Le-82</v>
          </cell>
          <cell r="B95">
            <v>1</v>
          </cell>
          <cell r="C95">
            <v>1</v>
          </cell>
          <cell r="D95">
            <v>0</v>
          </cell>
          <cell r="E95">
            <v>10</v>
          </cell>
          <cell r="F95" t="str">
            <v>Loja</v>
          </cell>
        </row>
        <row r="96">
          <cell r="A96" t="str">
            <v>Carregador Spartan V8  Leo</v>
          </cell>
          <cell r="B96">
            <v>1</v>
          </cell>
          <cell r="C96">
            <v>1</v>
          </cell>
          <cell r="D96">
            <v>0</v>
          </cell>
          <cell r="E96">
            <v>10</v>
          </cell>
          <cell r="F96" t="str">
            <v>Loja</v>
          </cell>
        </row>
        <row r="97">
          <cell r="A97" t="str">
            <v>Carregador Tipo C 4.1 Le-497</v>
          </cell>
          <cell r="B97">
            <v>1</v>
          </cell>
          <cell r="C97">
            <v>1</v>
          </cell>
          <cell r="D97">
            <v>0</v>
          </cell>
          <cell r="E97">
            <v>10</v>
          </cell>
          <cell r="F97" t="str">
            <v>Loja</v>
          </cell>
        </row>
        <row r="98">
          <cell r="A98" t="str">
            <v>Carregador Tipo C 50W</v>
          </cell>
          <cell r="B98">
            <v>1</v>
          </cell>
          <cell r="C98">
            <v>1</v>
          </cell>
          <cell r="D98">
            <v>0</v>
          </cell>
          <cell r="E98">
            <v>19</v>
          </cell>
          <cell r="F98" t="str">
            <v>Loja</v>
          </cell>
        </row>
        <row r="99">
          <cell r="A99" t="str">
            <v xml:space="preserve">Carregador Tipo C 67 W </v>
          </cell>
          <cell r="B99">
            <v>1</v>
          </cell>
          <cell r="C99">
            <v>1</v>
          </cell>
          <cell r="D99">
            <v>0</v>
          </cell>
          <cell r="E99">
            <v>20</v>
          </cell>
          <cell r="F99" t="str">
            <v>Loja</v>
          </cell>
        </row>
        <row r="100">
          <cell r="A100" t="str">
            <v>Carregador Tipo C Le-484</v>
          </cell>
          <cell r="B100">
            <v>1</v>
          </cell>
          <cell r="C100">
            <v>1</v>
          </cell>
          <cell r="D100">
            <v>0</v>
          </cell>
          <cell r="E100">
            <v>10</v>
          </cell>
          <cell r="F100" t="str">
            <v>Loja</v>
          </cell>
        </row>
        <row r="101">
          <cell r="A101" t="str">
            <v>Carregador Veicular Inova Tc</v>
          </cell>
          <cell r="B101">
            <v>1</v>
          </cell>
          <cell r="C101">
            <v>1</v>
          </cell>
          <cell r="D101">
            <v>0</v>
          </cell>
          <cell r="E101">
            <v>11</v>
          </cell>
          <cell r="F101" t="str">
            <v>Loja</v>
          </cell>
        </row>
        <row r="102">
          <cell r="A102" t="str">
            <v>Carregador Veicular Kingo</v>
          </cell>
          <cell r="B102">
            <v>1</v>
          </cell>
          <cell r="C102">
            <v>1</v>
          </cell>
          <cell r="D102">
            <v>0</v>
          </cell>
          <cell r="E102">
            <v>14</v>
          </cell>
          <cell r="F102" t="str">
            <v>Loja</v>
          </cell>
        </row>
        <row r="103">
          <cell r="A103" t="str">
            <v>Carregador Veicular L01-3</v>
          </cell>
          <cell r="B103">
            <v>1</v>
          </cell>
          <cell r="C103">
            <v>1</v>
          </cell>
          <cell r="D103">
            <v>0</v>
          </cell>
          <cell r="E103">
            <v>15</v>
          </cell>
          <cell r="F103" t="str">
            <v>Loja</v>
          </cell>
        </row>
        <row r="104">
          <cell r="A104" t="str">
            <v>Carregador Veicular Simples</v>
          </cell>
          <cell r="B104">
            <v>1</v>
          </cell>
          <cell r="C104">
            <v>1</v>
          </cell>
          <cell r="D104">
            <v>0</v>
          </cell>
          <cell r="E104">
            <v>5</v>
          </cell>
          <cell r="F104" t="str">
            <v>Loja</v>
          </cell>
        </row>
        <row r="105">
          <cell r="A105" t="str">
            <v>Carregador Veicular Spartan</v>
          </cell>
          <cell r="B105">
            <v>1</v>
          </cell>
          <cell r="C105">
            <v>1</v>
          </cell>
          <cell r="D105">
            <v>0</v>
          </cell>
          <cell r="E105">
            <v>7</v>
          </cell>
          <cell r="F105" t="str">
            <v>Loja</v>
          </cell>
        </row>
        <row r="106">
          <cell r="A106" t="str">
            <v>Carregador Veicular Tipo C Le-535</v>
          </cell>
          <cell r="B106">
            <v>1</v>
          </cell>
          <cell r="C106">
            <v>1</v>
          </cell>
          <cell r="D106">
            <v>0</v>
          </cell>
          <cell r="E106">
            <v>15</v>
          </cell>
          <cell r="F106" t="str">
            <v>Loja</v>
          </cell>
        </row>
        <row r="107">
          <cell r="A107" t="str">
            <v xml:space="preserve">Cartão De Memoria 16Gb </v>
          </cell>
          <cell r="B107">
            <v>1</v>
          </cell>
          <cell r="C107">
            <v>1</v>
          </cell>
          <cell r="D107">
            <v>0</v>
          </cell>
          <cell r="E107">
            <v>18.8</v>
          </cell>
          <cell r="F107" t="str">
            <v>Loja</v>
          </cell>
        </row>
        <row r="108">
          <cell r="A108" t="str">
            <v xml:space="preserve">Cartão De Memoria 32Gb </v>
          </cell>
          <cell r="B108">
            <v>1</v>
          </cell>
          <cell r="C108">
            <v>1</v>
          </cell>
          <cell r="D108">
            <v>0</v>
          </cell>
          <cell r="E108">
            <v>23.5</v>
          </cell>
          <cell r="F108" t="str">
            <v>Loja</v>
          </cell>
        </row>
        <row r="109">
          <cell r="A109" t="str">
            <v>Cartao Micro Sd 16Gb</v>
          </cell>
          <cell r="B109">
            <v>99</v>
          </cell>
          <cell r="C109">
            <v>97</v>
          </cell>
          <cell r="D109">
            <v>2</v>
          </cell>
          <cell r="F109" t="str">
            <v>Loja</v>
          </cell>
        </row>
        <row r="110">
          <cell r="A110" t="str">
            <v>Carteira Pequena</v>
          </cell>
          <cell r="B110">
            <v>1</v>
          </cell>
          <cell r="C110">
            <v>1</v>
          </cell>
          <cell r="D110">
            <v>0</v>
          </cell>
          <cell r="E110">
            <v>2.5</v>
          </cell>
          <cell r="F110" t="str">
            <v>Loja</v>
          </cell>
        </row>
        <row r="111">
          <cell r="A111" t="str">
            <v>Cartinha</v>
          </cell>
          <cell r="B111">
            <v>1</v>
          </cell>
          <cell r="C111">
            <v>1</v>
          </cell>
          <cell r="D111">
            <v>0</v>
          </cell>
          <cell r="E111">
            <v>1</v>
          </cell>
          <cell r="F111" t="str">
            <v>Loja</v>
          </cell>
        </row>
        <row r="112">
          <cell r="A112" t="str">
            <v>Cascata Led - Fios De Fada</v>
          </cell>
          <cell r="B112">
            <v>1</v>
          </cell>
          <cell r="C112">
            <v>1</v>
          </cell>
          <cell r="D112">
            <v>0</v>
          </cell>
          <cell r="E112">
            <v>12.88</v>
          </cell>
          <cell r="F112" t="str">
            <v>Loja</v>
          </cell>
        </row>
        <row r="113">
          <cell r="A113" t="str">
            <v xml:space="preserve">Case 2.5 Hd </v>
          </cell>
          <cell r="B113">
            <v>99</v>
          </cell>
          <cell r="C113">
            <v>98</v>
          </cell>
          <cell r="D113">
            <v>1</v>
          </cell>
          <cell r="F113" t="str">
            <v>Loja</v>
          </cell>
        </row>
        <row r="114">
          <cell r="A114" t="str">
            <v>Chave Allen - Canivete Ls-A08</v>
          </cell>
          <cell r="B114">
            <v>1</v>
          </cell>
          <cell r="C114">
            <v>1</v>
          </cell>
          <cell r="D114">
            <v>0</v>
          </cell>
          <cell r="E114">
            <v>13</v>
          </cell>
          <cell r="F114" t="str">
            <v>Loja</v>
          </cell>
        </row>
        <row r="115">
          <cell r="A115" t="str">
            <v>Chave Para Bicicleta</v>
          </cell>
          <cell r="B115">
            <v>1</v>
          </cell>
          <cell r="C115">
            <v>1</v>
          </cell>
          <cell r="D115">
            <v>0</v>
          </cell>
          <cell r="E115">
            <v>3.5</v>
          </cell>
          <cell r="F115" t="str">
            <v>Loja</v>
          </cell>
        </row>
        <row r="116">
          <cell r="A116" t="str">
            <v>Chave Tork 8Pçs Lst08</v>
          </cell>
          <cell r="B116">
            <v>1</v>
          </cell>
          <cell r="C116">
            <v>1</v>
          </cell>
          <cell r="D116">
            <v>0</v>
          </cell>
          <cell r="E116">
            <v>11.5</v>
          </cell>
          <cell r="F116" t="str">
            <v>Loja</v>
          </cell>
        </row>
        <row r="117">
          <cell r="A117" t="str">
            <v>Chaveiro</v>
          </cell>
          <cell r="B117">
            <v>99</v>
          </cell>
          <cell r="C117">
            <v>98</v>
          </cell>
          <cell r="D117">
            <v>1</v>
          </cell>
          <cell r="F117" t="str">
            <v>Loja</v>
          </cell>
        </row>
        <row r="118">
          <cell r="A118" t="str">
            <v>Cheirinho</v>
          </cell>
          <cell r="B118">
            <v>99</v>
          </cell>
          <cell r="C118">
            <v>98</v>
          </cell>
          <cell r="D118">
            <v>1</v>
          </cell>
          <cell r="F118" t="str">
            <v>Loja</v>
          </cell>
        </row>
        <row r="119">
          <cell r="A119" t="str">
            <v>Cheirinho Para Carro</v>
          </cell>
          <cell r="B119">
            <v>7</v>
          </cell>
          <cell r="C119">
            <v>-2</v>
          </cell>
          <cell r="D119">
            <v>9</v>
          </cell>
          <cell r="E119">
            <v>7.5</v>
          </cell>
          <cell r="F119" t="str">
            <v>Loja</v>
          </cell>
        </row>
        <row r="120">
          <cell r="A120" t="str">
            <v>Chip Normal</v>
          </cell>
          <cell r="B120">
            <v>1</v>
          </cell>
          <cell r="C120">
            <v>1</v>
          </cell>
          <cell r="D120">
            <v>0</v>
          </cell>
          <cell r="E120">
            <v>10</v>
          </cell>
          <cell r="F120" t="str">
            <v>Loja</v>
          </cell>
        </row>
        <row r="121">
          <cell r="A121" t="str">
            <v>Chip Recarregado</v>
          </cell>
          <cell r="B121">
            <v>1</v>
          </cell>
          <cell r="C121">
            <v>1</v>
          </cell>
          <cell r="D121">
            <v>0</v>
          </cell>
          <cell r="E121">
            <v>17</v>
          </cell>
          <cell r="F121" t="str">
            <v>Loja</v>
          </cell>
        </row>
        <row r="122">
          <cell r="A122" t="str">
            <v>Chip Sem Recarga</v>
          </cell>
          <cell r="B122">
            <v>99</v>
          </cell>
          <cell r="C122">
            <v>98</v>
          </cell>
          <cell r="D122">
            <v>1</v>
          </cell>
          <cell r="F122" t="str">
            <v>Loja</v>
          </cell>
        </row>
        <row r="123">
          <cell r="A123" t="str">
            <v>Coleção_4_Jogos_Ben_10_Ps2</v>
          </cell>
          <cell r="B123">
            <v>99</v>
          </cell>
          <cell r="C123">
            <v>98</v>
          </cell>
          <cell r="D123">
            <v>1</v>
          </cell>
          <cell r="F123" t="str">
            <v>Loja</v>
          </cell>
        </row>
        <row r="124">
          <cell r="A124" t="str">
            <v>Computadores</v>
          </cell>
          <cell r="B124">
            <v>1</v>
          </cell>
          <cell r="C124">
            <v>1</v>
          </cell>
          <cell r="D124">
            <v>0</v>
          </cell>
          <cell r="F124" t="str">
            <v>Loja</v>
          </cell>
        </row>
        <row r="125">
          <cell r="A125" t="str">
            <v>Conjunto De Chaves Allen 9Pçs Ls-4113</v>
          </cell>
          <cell r="B125">
            <v>1</v>
          </cell>
          <cell r="C125">
            <v>1</v>
          </cell>
          <cell r="D125">
            <v>0</v>
          </cell>
          <cell r="E125">
            <v>15</v>
          </cell>
          <cell r="F125" t="str">
            <v>Loja</v>
          </cell>
        </row>
        <row r="126">
          <cell r="A126" t="str">
            <v>Controle Gamepad Com-7436</v>
          </cell>
          <cell r="B126">
            <v>1</v>
          </cell>
          <cell r="C126">
            <v>1</v>
          </cell>
          <cell r="D126">
            <v>0</v>
          </cell>
          <cell r="E126">
            <v>17</v>
          </cell>
          <cell r="F126" t="str">
            <v>Loja</v>
          </cell>
        </row>
        <row r="127">
          <cell r="A127" t="str">
            <v>Controle Gamer Celular Ly84358</v>
          </cell>
          <cell r="B127">
            <v>1</v>
          </cell>
          <cell r="C127">
            <v>1</v>
          </cell>
          <cell r="D127">
            <v>0</v>
          </cell>
          <cell r="E127">
            <v>15</v>
          </cell>
          <cell r="F127" t="str">
            <v>Loja</v>
          </cell>
        </row>
        <row r="128">
          <cell r="A128" t="str">
            <v>Controle Gatilho</v>
          </cell>
          <cell r="B128">
            <v>1</v>
          </cell>
          <cell r="C128">
            <v>1</v>
          </cell>
          <cell r="D128">
            <v>0</v>
          </cell>
          <cell r="E128">
            <v>17</v>
          </cell>
          <cell r="F128" t="str">
            <v>Loja</v>
          </cell>
        </row>
        <row r="129">
          <cell r="A129" t="str">
            <v>Controle Pc</v>
          </cell>
          <cell r="B129">
            <v>1</v>
          </cell>
          <cell r="C129">
            <v>1</v>
          </cell>
          <cell r="D129">
            <v>0</v>
          </cell>
          <cell r="E129">
            <v>20</v>
          </cell>
          <cell r="F129" t="str">
            <v>Loja</v>
          </cell>
        </row>
        <row r="130">
          <cell r="A130" t="str">
            <v>Controle Ps2</v>
          </cell>
          <cell r="B130">
            <v>1</v>
          </cell>
          <cell r="C130">
            <v>0</v>
          </cell>
          <cell r="D130">
            <v>1</v>
          </cell>
          <cell r="E130">
            <v>20</v>
          </cell>
          <cell r="F130" t="str">
            <v>Loja</v>
          </cell>
        </row>
        <row r="131">
          <cell r="A131" t="str">
            <v>Controle Tv Box  Le-7490-1</v>
          </cell>
          <cell r="B131">
            <v>1</v>
          </cell>
          <cell r="C131">
            <v>1</v>
          </cell>
          <cell r="D131">
            <v>0</v>
          </cell>
          <cell r="E131">
            <v>5</v>
          </cell>
          <cell r="F131" t="str">
            <v>Loja</v>
          </cell>
        </row>
        <row r="132">
          <cell r="A132" t="str">
            <v>Controle Tv Universal</v>
          </cell>
          <cell r="B132">
            <v>1</v>
          </cell>
          <cell r="C132">
            <v>1</v>
          </cell>
          <cell r="D132">
            <v>0</v>
          </cell>
          <cell r="E132">
            <v>8.5</v>
          </cell>
          <cell r="F132" t="str">
            <v>Loja</v>
          </cell>
        </row>
        <row r="133">
          <cell r="A133" t="str">
            <v>Conversor Vga Para Hdmi</v>
          </cell>
          <cell r="B133">
            <v>99</v>
          </cell>
          <cell r="C133">
            <v>97</v>
          </cell>
          <cell r="D133">
            <v>2</v>
          </cell>
          <cell r="F133" t="str">
            <v>Loja</v>
          </cell>
        </row>
        <row r="134">
          <cell r="A134" t="str">
            <v>Cooler Fan G-Vr332</v>
          </cell>
          <cell r="B134">
            <v>1</v>
          </cell>
          <cell r="C134">
            <v>1</v>
          </cell>
          <cell r="D134">
            <v>0</v>
          </cell>
          <cell r="E134">
            <v>20</v>
          </cell>
          <cell r="F134" t="str">
            <v>Loja</v>
          </cell>
        </row>
        <row r="135">
          <cell r="A135" t="str">
            <v>Cooler Table - Suporte Notbook</v>
          </cell>
          <cell r="B135">
            <v>1</v>
          </cell>
          <cell r="C135">
            <v>1</v>
          </cell>
          <cell r="D135">
            <v>0</v>
          </cell>
          <cell r="E135">
            <v>25</v>
          </cell>
          <cell r="F135" t="str">
            <v>Loja</v>
          </cell>
        </row>
        <row r="136">
          <cell r="A136" t="str">
            <v>Cordao Simples Cracha</v>
          </cell>
          <cell r="B136">
            <v>1</v>
          </cell>
          <cell r="C136">
            <v>1</v>
          </cell>
          <cell r="D136">
            <v>0</v>
          </cell>
          <cell r="E136">
            <v>2</v>
          </cell>
          <cell r="F136" t="str">
            <v>Loja</v>
          </cell>
        </row>
        <row r="137">
          <cell r="A137" t="str">
            <v>Cordão Vasco</v>
          </cell>
          <cell r="B137">
            <v>1</v>
          </cell>
          <cell r="C137">
            <v>1</v>
          </cell>
          <cell r="D137">
            <v>0</v>
          </cell>
          <cell r="E137">
            <v>2.5</v>
          </cell>
          <cell r="F137" t="str">
            <v>Loja</v>
          </cell>
        </row>
        <row r="138">
          <cell r="A138" t="str">
            <v>Cortador De Legumes Verde Grande</v>
          </cell>
          <cell r="B138">
            <v>1</v>
          </cell>
          <cell r="C138">
            <v>1</v>
          </cell>
          <cell r="D138">
            <v>0</v>
          </cell>
          <cell r="E138">
            <v>44</v>
          </cell>
          <cell r="F138" t="str">
            <v>Loja</v>
          </cell>
        </row>
        <row r="139">
          <cell r="A139" t="str">
            <v xml:space="preserve">Depilador Removedor Pelos Corporal Yes Finishing Touch Light  </v>
          </cell>
          <cell r="B139">
            <v>1</v>
          </cell>
          <cell r="C139">
            <v>1</v>
          </cell>
          <cell r="D139">
            <v>0</v>
          </cell>
          <cell r="E139">
            <v>21.99</v>
          </cell>
          <cell r="F139" t="str">
            <v>Loja</v>
          </cell>
        </row>
        <row r="140">
          <cell r="A140" t="str">
            <v>Desentupidor</v>
          </cell>
          <cell r="B140">
            <v>99</v>
          </cell>
          <cell r="C140">
            <v>96</v>
          </cell>
          <cell r="D140">
            <v>3</v>
          </cell>
          <cell r="F140" t="str">
            <v>Loja</v>
          </cell>
        </row>
        <row r="141">
          <cell r="A141" t="str">
            <v>Detector De Dinheiro</v>
          </cell>
          <cell r="B141">
            <v>1</v>
          </cell>
          <cell r="C141">
            <v>1</v>
          </cell>
          <cell r="D141">
            <v>0</v>
          </cell>
          <cell r="F141" t="str">
            <v>Loja</v>
          </cell>
        </row>
        <row r="142">
          <cell r="A142" t="str">
            <v xml:space="preserve">Detector De Metal </v>
          </cell>
          <cell r="B142">
            <v>1</v>
          </cell>
          <cell r="C142">
            <v>1</v>
          </cell>
          <cell r="D142">
            <v>0</v>
          </cell>
          <cell r="E142">
            <v>48</v>
          </cell>
          <cell r="F142" t="str">
            <v>Loja</v>
          </cell>
        </row>
        <row r="143">
          <cell r="A143" t="str">
            <v>Dispenser Banheiro</v>
          </cell>
          <cell r="B143">
            <v>1</v>
          </cell>
          <cell r="C143">
            <v>1</v>
          </cell>
          <cell r="D143">
            <v>0</v>
          </cell>
          <cell r="F143" t="str">
            <v>Loja</v>
          </cell>
        </row>
        <row r="144">
          <cell r="A144" t="str">
            <v>Durex</v>
          </cell>
          <cell r="B144">
            <v>3</v>
          </cell>
          <cell r="C144">
            <v>2</v>
          </cell>
          <cell r="D144">
            <v>1</v>
          </cell>
          <cell r="E144">
            <v>2.5</v>
          </cell>
          <cell r="F144" t="str">
            <v>Loja</v>
          </cell>
        </row>
        <row r="145">
          <cell r="A145" t="str">
            <v>Envelope A4</v>
          </cell>
          <cell r="B145">
            <v>1</v>
          </cell>
          <cell r="C145">
            <v>1</v>
          </cell>
          <cell r="D145">
            <v>0</v>
          </cell>
          <cell r="E145">
            <v>0.39549999999999996</v>
          </cell>
          <cell r="F145" t="str">
            <v>Loja</v>
          </cell>
        </row>
        <row r="146">
          <cell r="A146" t="str">
            <v>Escova De Dente Eletrica</v>
          </cell>
          <cell r="B146">
            <v>1</v>
          </cell>
          <cell r="C146">
            <v>1</v>
          </cell>
          <cell r="D146">
            <v>0</v>
          </cell>
          <cell r="E146">
            <v>15.11</v>
          </cell>
          <cell r="F146" t="str">
            <v>Loja</v>
          </cell>
        </row>
        <row r="147">
          <cell r="A147" t="str">
            <v>Extensor P2</v>
          </cell>
          <cell r="B147">
            <v>1</v>
          </cell>
          <cell r="C147">
            <v>1</v>
          </cell>
          <cell r="D147">
            <v>0</v>
          </cell>
          <cell r="E147">
            <v>2.5</v>
          </cell>
          <cell r="F147" t="str">
            <v>Loja</v>
          </cell>
        </row>
        <row r="148">
          <cell r="A148" t="str">
            <v>Fone De Ouvido Gamer Inova</v>
          </cell>
          <cell r="B148">
            <v>1</v>
          </cell>
          <cell r="C148">
            <v>1</v>
          </cell>
          <cell r="D148">
            <v>0</v>
          </cell>
          <cell r="F148" t="str">
            <v>Loja</v>
          </cell>
        </row>
        <row r="149">
          <cell r="A149" t="str">
            <v>Fone De Ouvido Gamr Q0008</v>
          </cell>
          <cell r="B149">
            <v>1</v>
          </cell>
          <cell r="C149">
            <v>1</v>
          </cell>
          <cell r="D149">
            <v>0</v>
          </cell>
          <cell r="E149">
            <v>20</v>
          </cell>
          <cell r="F149" t="str">
            <v>Loja</v>
          </cell>
        </row>
        <row r="150">
          <cell r="A150" t="str">
            <v>Fone De Ouvido Inova Fon-30063</v>
          </cell>
          <cell r="B150">
            <v>1</v>
          </cell>
          <cell r="C150">
            <v>1</v>
          </cell>
          <cell r="D150">
            <v>0</v>
          </cell>
          <cell r="E150">
            <v>8</v>
          </cell>
          <cell r="F150" t="str">
            <v>Loja</v>
          </cell>
        </row>
        <row r="151">
          <cell r="A151" t="str">
            <v>Fone De Ouvido Lelong Le-02</v>
          </cell>
          <cell r="B151">
            <v>1</v>
          </cell>
          <cell r="C151">
            <v>1</v>
          </cell>
          <cell r="D151">
            <v>0</v>
          </cell>
          <cell r="E151">
            <v>9</v>
          </cell>
          <cell r="F151" t="str">
            <v>Loja</v>
          </cell>
        </row>
        <row r="152">
          <cell r="A152" t="str">
            <v>Fone De Ouvido M10</v>
          </cell>
          <cell r="B152">
            <v>1</v>
          </cell>
          <cell r="C152">
            <v>1</v>
          </cell>
          <cell r="D152">
            <v>0</v>
          </cell>
          <cell r="E152">
            <v>17</v>
          </cell>
          <cell r="F152" t="str">
            <v>Loja</v>
          </cell>
        </row>
        <row r="153">
          <cell r="A153" t="str">
            <v>Fone De Ouvido P3 Fon8619</v>
          </cell>
          <cell r="B153">
            <v>1</v>
          </cell>
          <cell r="C153">
            <v>1</v>
          </cell>
          <cell r="D153">
            <v>0</v>
          </cell>
          <cell r="E153">
            <v>18</v>
          </cell>
          <cell r="F153" t="str">
            <v>Loja</v>
          </cell>
        </row>
        <row r="154">
          <cell r="A154" t="str">
            <v>Fone Fon30024 Inova</v>
          </cell>
          <cell r="B154">
            <v>1</v>
          </cell>
          <cell r="C154">
            <v>1</v>
          </cell>
          <cell r="D154">
            <v>0</v>
          </cell>
          <cell r="E154">
            <v>8</v>
          </cell>
          <cell r="F154" t="str">
            <v>Loja</v>
          </cell>
        </row>
        <row r="155">
          <cell r="A155" t="str">
            <v>Fone I7</v>
          </cell>
          <cell r="B155">
            <v>1</v>
          </cell>
          <cell r="C155">
            <v>1</v>
          </cell>
          <cell r="D155">
            <v>0</v>
          </cell>
          <cell r="E155">
            <v>18</v>
          </cell>
          <cell r="F155" t="str">
            <v>Loja</v>
          </cell>
        </row>
        <row r="156">
          <cell r="A156" t="str">
            <v>Fone Iphone Hmaster Ej-56</v>
          </cell>
          <cell r="B156">
            <v>1</v>
          </cell>
          <cell r="C156">
            <v>1</v>
          </cell>
          <cell r="D156">
            <v>0</v>
          </cell>
          <cell r="E156">
            <v>12</v>
          </cell>
          <cell r="F156" t="str">
            <v>Loja</v>
          </cell>
        </row>
        <row r="157">
          <cell r="A157" t="str">
            <v>Fone Jbl 950</v>
          </cell>
          <cell r="B157">
            <v>1</v>
          </cell>
          <cell r="C157">
            <v>1</v>
          </cell>
          <cell r="D157">
            <v>0</v>
          </cell>
          <cell r="E157">
            <v>35</v>
          </cell>
          <cell r="F157" t="str">
            <v>Loja</v>
          </cell>
        </row>
        <row r="158">
          <cell r="A158" t="str">
            <v>Fone M10</v>
          </cell>
          <cell r="B158">
            <v>1</v>
          </cell>
          <cell r="C158">
            <v>1</v>
          </cell>
          <cell r="D158">
            <v>0</v>
          </cell>
          <cell r="E158">
            <v>18</v>
          </cell>
          <cell r="F158" t="str">
            <v>Loja</v>
          </cell>
        </row>
        <row r="159">
          <cell r="A159" t="str">
            <v>Fone M20</v>
          </cell>
          <cell r="B159">
            <v>1</v>
          </cell>
          <cell r="C159">
            <v>1</v>
          </cell>
          <cell r="D159">
            <v>0</v>
          </cell>
          <cell r="E159">
            <v>25</v>
          </cell>
          <cell r="F159" t="str">
            <v>Loja</v>
          </cell>
        </row>
        <row r="160">
          <cell r="A160" t="str">
            <v>Fone P9</v>
          </cell>
          <cell r="B160">
            <v>99</v>
          </cell>
          <cell r="C160">
            <v>98</v>
          </cell>
          <cell r="D160">
            <v>1</v>
          </cell>
          <cell r="F160" t="str">
            <v>Loja</v>
          </cell>
        </row>
        <row r="161">
          <cell r="A161" t="str">
            <v>Fone Pmcell Fo-11</v>
          </cell>
          <cell r="B161">
            <v>1</v>
          </cell>
          <cell r="C161">
            <v>1</v>
          </cell>
          <cell r="D161">
            <v>0</v>
          </cell>
          <cell r="E161">
            <v>3.5</v>
          </cell>
          <cell r="F161" t="str">
            <v>Loja</v>
          </cell>
        </row>
        <row r="162">
          <cell r="A162" t="str">
            <v>Fone Pmcell Fo-15</v>
          </cell>
          <cell r="B162">
            <v>1</v>
          </cell>
          <cell r="C162">
            <v>1</v>
          </cell>
          <cell r="D162">
            <v>0</v>
          </cell>
          <cell r="E162">
            <v>9</v>
          </cell>
          <cell r="F162" t="str">
            <v>Loja</v>
          </cell>
        </row>
        <row r="163">
          <cell r="A163" t="str">
            <v>Fone Pmcell Leo</v>
          </cell>
          <cell r="B163">
            <v>1</v>
          </cell>
          <cell r="C163">
            <v>1</v>
          </cell>
          <cell r="D163">
            <v>0</v>
          </cell>
          <cell r="E163">
            <v>4</v>
          </cell>
          <cell r="F163" t="str">
            <v>Loja</v>
          </cell>
        </row>
        <row r="164">
          <cell r="A164" t="str">
            <v>Fone Pmcell Tc</v>
          </cell>
          <cell r="B164">
            <v>1</v>
          </cell>
          <cell r="C164">
            <v>1</v>
          </cell>
          <cell r="D164">
            <v>0</v>
          </cell>
          <cell r="E164">
            <v>9</v>
          </cell>
          <cell r="F164" t="str">
            <v>Loja</v>
          </cell>
        </row>
        <row r="165">
          <cell r="A165" t="str">
            <v>Fone Redmi Branco</v>
          </cell>
          <cell r="B165">
            <v>1</v>
          </cell>
          <cell r="C165">
            <v>1</v>
          </cell>
          <cell r="D165">
            <v>0</v>
          </cell>
          <cell r="E165">
            <v>35</v>
          </cell>
          <cell r="F165" t="str">
            <v>Loja</v>
          </cell>
        </row>
        <row r="166">
          <cell r="A166" t="str">
            <v>Fone Redmi Vermelho</v>
          </cell>
          <cell r="B166">
            <v>1</v>
          </cell>
          <cell r="C166">
            <v>1</v>
          </cell>
          <cell r="D166">
            <v>0</v>
          </cell>
          <cell r="E166">
            <v>15</v>
          </cell>
          <cell r="F166" t="str">
            <v>Loja</v>
          </cell>
        </row>
        <row r="167">
          <cell r="A167" t="str">
            <v>Fone Simples Ka-833 Leo</v>
          </cell>
          <cell r="B167">
            <v>1</v>
          </cell>
          <cell r="C167">
            <v>1</v>
          </cell>
          <cell r="D167">
            <v>0</v>
          </cell>
          <cell r="E167">
            <v>4</v>
          </cell>
          <cell r="F167" t="str">
            <v>Loja</v>
          </cell>
        </row>
        <row r="168">
          <cell r="A168" t="str">
            <v>Fone Simples Lef-1055 Leo</v>
          </cell>
          <cell r="B168">
            <v>1</v>
          </cell>
          <cell r="C168">
            <v>1</v>
          </cell>
          <cell r="D168">
            <v>0</v>
          </cell>
          <cell r="E168">
            <v>4</v>
          </cell>
          <cell r="F168" t="str">
            <v>Loja</v>
          </cell>
        </row>
        <row r="169">
          <cell r="A169" t="str">
            <v>Fone Simples Ms-5V 1 Leo</v>
          </cell>
          <cell r="B169">
            <v>1</v>
          </cell>
          <cell r="C169">
            <v>1</v>
          </cell>
          <cell r="D169">
            <v>0</v>
          </cell>
          <cell r="E169">
            <v>4</v>
          </cell>
          <cell r="F169" t="str">
            <v>Loja</v>
          </cell>
        </row>
        <row r="170">
          <cell r="A170" t="str">
            <v>Fone Tipo C Apple</v>
          </cell>
          <cell r="B170">
            <v>1</v>
          </cell>
          <cell r="C170">
            <v>1</v>
          </cell>
          <cell r="D170">
            <v>0</v>
          </cell>
          <cell r="E170">
            <v>15</v>
          </cell>
          <cell r="F170" t="str">
            <v>Loja</v>
          </cell>
        </row>
        <row r="171">
          <cell r="A171" t="str">
            <v>Fonte 12V</v>
          </cell>
          <cell r="B171">
            <v>1</v>
          </cell>
          <cell r="C171">
            <v>1</v>
          </cell>
          <cell r="D171">
            <v>0</v>
          </cell>
          <cell r="E171">
            <v>10</v>
          </cell>
          <cell r="F171" t="str">
            <v>Loja</v>
          </cell>
        </row>
        <row r="172">
          <cell r="A172" t="str">
            <v>Fonte Notebook Grasep</v>
          </cell>
          <cell r="B172">
            <v>1</v>
          </cell>
          <cell r="C172">
            <v>1</v>
          </cell>
          <cell r="D172">
            <v>0</v>
          </cell>
          <cell r="E172">
            <v>32</v>
          </cell>
          <cell r="F172" t="str">
            <v>Loja</v>
          </cell>
        </row>
        <row r="173">
          <cell r="A173" t="str">
            <v>Fonte Pc 200W</v>
          </cell>
          <cell r="B173">
            <v>1</v>
          </cell>
          <cell r="C173">
            <v>1</v>
          </cell>
          <cell r="D173">
            <v>0</v>
          </cell>
          <cell r="E173">
            <v>60</v>
          </cell>
          <cell r="F173" t="str">
            <v>Loja</v>
          </cell>
        </row>
        <row r="174">
          <cell r="A174" t="str">
            <v>Fonte Tv Box 5V</v>
          </cell>
          <cell r="B174">
            <v>1</v>
          </cell>
          <cell r="C174">
            <v>1</v>
          </cell>
          <cell r="D174">
            <v>0</v>
          </cell>
          <cell r="E174">
            <v>7</v>
          </cell>
          <cell r="F174" t="str">
            <v>Loja</v>
          </cell>
        </row>
        <row r="175">
          <cell r="A175" t="str">
            <v xml:space="preserve">Fonte Usb Sparta 5.8W </v>
          </cell>
          <cell r="B175">
            <v>1</v>
          </cell>
          <cell r="C175">
            <v>1</v>
          </cell>
          <cell r="D175">
            <v>0</v>
          </cell>
          <cell r="E175">
            <v>8.8000000000000007</v>
          </cell>
          <cell r="F175" t="str">
            <v>Loja</v>
          </cell>
        </row>
        <row r="176">
          <cell r="A176" t="str">
            <v>Fonte Usb Spartan</v>
          </cell>
          <cell r="B176">
            <v>1</v>
          </cell>
          <cell r="C176">
            <v>1</v>
          </cell>
          <cell r="D176">
            <v>0</v>
          </cell>
          <cell r="E176">
            <v>5.5</v>
          </cell>
          <cell r="F176" t="str">
            <v>Loja</v>
          </cell>
        </row>
        <row r="177">
          <cell r="A177" t="str">
            <v>Fonte Veicular Usb-C Spartan</v>
          </cell>
          <cell r="B177">
            <v>1</v>
          </cell>
          <cell r="C177">
            <v>1</v>
          </cell>
          <cell r="D177">
            <v>0</v>
          </cell>
          <cell r="E177">
            <v>18</v>
          </cell>
          <cell r="F177" t="str">
            <v>Loja</v>
          </cell>
        </row>
        <row r="178">
          <cell r="A178" t="str">
            <v>Formatação</v>
          </cell>
          <cell r="B178">
            <v>99</v>
          </cell>
          <cell r="C178">
            <v>97</v>
          </cell>
          <cell r="D178">
            <v>2</v>
          </cell>
          <cell r="F178" t="str">
            <v>Loja</v>
          </cell>
        </row>
        <row r="179">
          <cell r="A179" t="str">
            <v>Game Boy + Controle</v>
          </cell>
          <cell r="B179">
            <v>1</v>
          </cell>
          <cell r="C179">
            <v>1</v>
          </cell>
          <cell r="D179">
            <v>0</v>
          </cell>
          <cell r="E179">
            <v>50</v>
          </cell>
          <cell r="F179" t="str">
            <v>Loja</v>
          </cell>
        </row>
        <row r="180">
          <cell r="A180" t="str">
            <v>Game Pop It</v>
          </cell>
          <cell r="B180">
            <v>1</v>
          </cell>
          <cell r="C180">
            <v>1</v>
          </cell>
          <cell r="D180">
            <v>0</v>
          </cell>
          <cell r="E180">
            <v>27</v>
          </cell>
          <cell r="F180" t="str">
            <v>Loja</v>
          </cell>
        </row>
        <row r="181">
          <cell r="A181" t="str">
            <v>Game Pop It 15 Reais</v>
          </cell>
          <cell r="B181">
            <v>1</v>
          </cell>
          <cell r="C181">
            <v>1</v>
          </cell>
          <cell r="D181">
            <v>0</v>
          </cell>
          <cell r="E181">
            <v>15</v>
          </cell>
          <cell r="F181" t="str">
            <v>Loja</v>
          </cell>
        </row>
        <row r="182">
          <cell r="A182" t="str">
            <v>Garrafa 3 In 1 Colorida</v>
          </cell>
          <cell r="B182">
            <v>1</v>
          </cell>
          <cell r="C182">
            <v>1</v>
          </cell>
          <cell r="D182">
            <v>0</v>
          </cell>
          <cell r="E182">
            <v>22</v>
          </cell>
          <cell r="F182" t="str">
            <v>Loja</v>
          </cell>
        </row>
        <row r="183">
          <cell r="A183" t="str">
            <v>Garrafa 3 In 1 Colorida Leo</v>
          </cell>
          <cell r="B183">
            <v>1</v>
          </cell>
          <cell r="C183">
            <v>1</v>
          </cell>
          <cell r="D183">
            <v>0</v>
          </cell>
          <cell r="E183">
            <v>22</v>
          </cell>
          <cell r="F183" t="str">
            <v>Loja</v>
          </cell>
        </row>
        <row r="184">
          <cell r="A184" t="str">
            <v>Garrafa Colorida Motivacional</v>
          </cell>
          <cell r="B184">
            <v>1</v>
          </cell>
          <cell r="C184">
            <v>1</v>
          </cell>
          <cell r="D184">
            <v>0</v>
          </cell>
          <cell r="E184">
            <v>13.5</v>
          </cell>
          <cell r="F184" t="str">
            <v>Loja</v>
          </cell>
        </row>
        <row r="185">
          <cell r="A185" t="str">
            <v>Garrafa Stanley 1L</v>
          </cell>
          <cell r="B185">
            <v>1</v>
          </cell>
          <cell r="C185">
            <v>1</v>
          </cell>
          <cell r="D185">
            <v>0</v>
          </cell>
          <cell r="E185">
            <v>50</v>
          </cell>
          <cell r="F185" t="str">
            <v>Loja</v>
          </cell>
        </row>
        <row r="186">
          <cell r="A186" t="str">
            <v>Garrafa Stanley 600Lm</v>
          </cell>
          <cell r="B186">
            <v>1</v>
          </cell>
          <cell r="C186">
            <v>1</v>
          </cell>
          <cell r="D186">
            <v>0</v>
          </cell>
          <cell r="E186">
            <v>35</v>
          </cell>
          <cell r="F186" t="str">
            <v>Loja</v>
          </cell>
        </row>
        <row r="187">
          <cell r="A187" t="str">
            <v>Gatilhos Simples</v>
          </cell>
          <cell r="B187">
            <v>1</v>
          </cell>
          <cell r="C187">
            <v>1</v>
          </cell>
          <cell r="D187">
            <v>0</v>
          </cell>
          <cell r="E187">
            <v>4</v>
          </cell>
          <cell r="F187" t="str">
            <v>Loja</v>
          </cell>
        </row>
        <row r="188">
          <cell r="A188" t="str">
            <v>Gatilhos Simples Leo</v>
          </cell>
          <cell r="B188">
            <v>1</v>
          </cell>
          <cell r="C188">
            <v>1</v>
          </cell>
          <cell r="D188">
            <v>0</v>
          </cell>
          <cell r="E188">
            <v>4</v>
          </cell>
          <cell r="F188" t="str">
            <v>Loja</v>
          </cell>
        </row>
        <row r="189">
          <cell r="A189" t="str">
            <v>Globo De Luz  Com Controle</v>
          </cell>
          <cell r="B189">
            <v>1</v>
          </cell>
          <cell r="C189">
            <v>1</v>
          </cell>
          <cell r="D189">
            <v>0</v>
          </cell>
          <cell r="E189">
            <v>35</v>
          </cell>
          <cell r="F189" t="str">
            <v>Loja</v>
          </cell>
        </row>
        <row r="190">
          <cell r="A190" t="str">
            <v>Globo De Luz  Sem Controle</v>
          </cell>
          <cell r="B190">
            <v>1</v>
          </cell>
          <cell r="C190">
            <v>1</v>
          </cell>
          <cell r="D190">
            <v>0</v>
          </cell>
          <cell r="E190">
            <v>30</v>
          </cell>
          <cell r="F190" t="str">
            <v>Loja</v>
          </cell>
        </row>
        <row r="191">
          <cell r="A191" t="str">
            <v>Gravação De Musica</v>
          </cell>
          <cell r="B191">
            <v>99</v>
          </cell>
          <cell r="C191">
            <v>98</v>
          </cell>
          <cell r="D191">
            <v>1</v>
          </cell>
          <cell r="F191" t="str">
            <v>Loja</v>
          </cell>
        </row>
        <row r="192">
          <cell r="A192" t="str">
            <v xml:space="preserve">Guarda Chuva Automático Transparente Cabo Curvo 8 Varetas </v>
          </cell>
          <cell r="B192">
            <v>1</v>
          </cell>
          <cell r="C192">
            <v>1</v>
          </cell>
          <cell r="D192">
            <v>0</v>
          </cell>
          <cell r="E192">
            <v>16.75</v>
          </cell>
          <cell r="F192" t="str">
            <v>Loja</v>
          </cell>
        </row>
        <row r="193">
          <cell r="A193" t="str">
            <v>Guirlanda Verde/Branca</v>
          </cell>
          <cell r="B193">
            <v>1</v>
          </cell>
          <cell r="C193">
            <v>1</v>
          </cell>
          <cell r="D193">
            <v>0</v>
          </cell>
          <cell r="E193">
            <v>3</v>
          </cell>
          <cell r="F193" t="str">
            <v>Loja</v>
          </cell>
        </row>
        <row r="194">
          <cell r="A194" t="str">
            <v xml:space="preserve">Hd 500 </v>
          </cell>
          <cell r="B194">
            <v>1</v>
          </cell>
          <cell r="C194">
            <v>1</v>
          </cell>
          <cell r="D194">
            <v>0</v>
          </cell>
          <cell r="F194" t="str">
            <v>Loja</v>
          </cell>
        </row>
        <row r="195">
          <cell r="A195" t="str">
            <v>Hub 7 Portas 2.0</v>
          </cell>
          <cell r="B195">
            <v>1</v>
          </cell>
          <cell r="C195">
            <v>1</v>
          </cell>
          <cell r="D195">
            <v>0</v>
          </cell>
          <cell r="E195">
            <v>10.99</v>
          </cell>
          <cell r="F195" t="str">
            <v>Loja</v>
          </cell>
        </row>
        <row r="196">
          <cell r="A196" t="str">
            <v>Hub Usb 2</v>
          </cell>
          <cell r="B196">
            <v>1</v>
          </cell>
          <cell r="C196">
            <v>1</v>
          </cell>
          <cell r="D196">
            <v>0</v>
          </cell>
          <cell r="E196">
            <v>8</v>
          </cell>
          <cell r="F196" t="str">
            <v>Loja</v>
          </cell>
        </row>
        <row r="197">
          <cell r="A197" t="str">
            <v>Impressao Colorida</v>
          </cell>
          <cell r="B197">
            <v>1</v>
          </cell>
          <cell r="C197">
            <v>1</v>
          </cell>
          <cell r="D197">
            <v>0</v>
          </cell>
          <cell r="E197">
            <v>0.05</v>
          </cell>
          <cell r="F197" t="str">
            <v>Loja</v>
          </cell>
        </row>
        <row r="198">
          <cell r="A198" t="str">
            <v>Impressao Preta</v>
          </cell>
          <cell r="B198">
            <v>1</v>
          </cell>
          <cell r="C198">
            <v>-11</v>
          </cell>
          <cell r="D198">
            <v>12</v>
          </cell>
          <cell r="E198">
            <v>7.0000000000000007E-2</v>
          </cell>
          <cell r="F198" t="str">
            <v>Loja</v>
          </cell>
        </row>
        <row r="199">
          <cell r="A199" t="str">
            <v>Isqueiro Auto</v>
          </cell>
          <cell r="B199">
            <v>1</v>
          </cell>
          <cell r="C199">
            <v>1</v>
          </cell>
          <cell r="D199">
            <v>0</v>
          </cell>
          <cell r="E199">
            <v>0.8</v>
          </cell>
          <cell r="F199" t="str">
            <v>Loja</v>
          </cell>
        </row>
        <row r="200">
          <cell r="A200" t="str">
            <v>Joelheira Ec3360 Leo</v>
          </cell>
          <cell r="B200">
            <v>1</v>
          </cell>
          <cell r="C200">
            <v>1</v>
          </cell>
          <cell r="D200">
            <v>0</v>
          </cell>
          <cell r="E200">
            <v>19</v>
          </cell>
          <cell r="F200" t="str">
            <v>Loja</v>
          </cell>
        </row>
        <row r="201">
          <cell r="A201" t="str">
            <v>Jogo C 2 Canecas Vidro Chopp 480Ml</v>
          </cell>
          <cell r="B201">
            <v>1</v>
          </cell>
          <cell r="C201">
            <v>1</v>
          </cell>
          <cell r="D201">
            <v>0</v>
          </cell>
          <cell r="E201">
            <v>19</v>
          </cell>
          <cell r="F201" t="str">
            <v>Loja</v>
          </cell>
        </row>
        <row r="202">
          <cell r="A202" t="str">
            <v>Jogo De Chaves Peq.</v>
          </cell>
          <cell r="B202">
            <v>1</v>
          </cell>
          <cell r="C202">
            <v>1</v>
          </cell>
          <cell r="D202">
            <v>0</v>
          </cell>
          <cell r="E202">
            <v>3.5</v>
          </cell>
          <cell r="F202" t="str">
            <v>Loja</v>
          </cell>
        </row>
        <row r="203">
          <cell r="A203" t="str">
            <v>Jogo De Xbox</v>
          </cell>
          <cell r="B203">
            <v>1</v>
          </cell>
          <cell r="C203">
            <v>1</v>
          </cell>
          <cell r="D203">
            <v>0</v>
          </cell>
          <cell r="E203">
            <v>5</v>
          </cell>
          <cell r="F203" t="str">
            <v>Loja</v>
          </cell>
        </row>
        <row r="204">
          <cell r="A204" t="str">
            <v>Jogo Ps2 Shopee</v>
          </cell>
          <cell r="B204">
            <v>1</v>
          </cell>
          <cell r="C204">
            <v>-21</v>
          </cell>
          <cell r="D204">
            <v>22</v>
          </cell>
          <cell r="E204">
            <v>0.7</v>
          </cell>
          <cell r="F204" t="str">
            <v>Loja</v>
          </cell>
        </row>
        <row r="205">
          <cell r="A205" t="str">
            <v>Jogos De Ps2</v>
          </cell>
          <cell r="B205">
            <v>99</v>
          </cell>
          <cell r="C205">
            <v>95</v>
          </cell>
          <cell r="D205">
            <v>4</v>
          </cell>
          <cell r="F205" t="str">
            <v>Loja</v>
          </cell>
        </row>
        <row r="206">
          <cell r="A206" t="str">
            <v>Jogos De Xbox</v>
          </cell>
          <cell r="B206">
            <v>1</v>
          </cell>
          <cell r="C206">
            <v>1</v>
          </cell>
          <cell r="D206">
            <v>0</v>
          </cell>
          <cell r="E206">
            <v>7.5</v>
          </cell>
          <cell r="F206" t="str">
            <v>Loja</v>
          </cell>
        </row>
        <row r="207">
          <cell r="A207" t="str">
            <v>Kemei Maquina De Barbear 4 In 1</v>
          </cell>
          <cell r="B207">
            <v>1</v>
          </cell>
          <cell r="C207">
            <v>1</v>
          </cell>
          <cell r="D207">
            <v>0</v>
          </cell>
          <cell r="E207">
            <v>32.950000000000003</v>
          </cell>
          <cell r="F207" t="str">
            <v>Loja</v>
          </cell>
        </row>
        <row r="208">
          <cell r="A208" t="str">
            <v>Kit 10 Jogos Ps2</v>
          </cell>
          <cell r="B208">
            <v>99</v>
          </cell>
          <cell r="C208">
            <v>95</v>
          </cell>
          <cell r="D208">
            <v>4</v>
          </cell>
          <cell r="F208" t="str">
            <v>Loja</v>
          </cell>
        </row>
        <row r="209">
          <cell r="A209" t="str">
            <v xml:space="preserve">Kit 6 Formas Silicone Para Air Fryer Reutilizável Com Alça </v>
          </cell>
          <cell r="B209">
            <v>1</v>
          </cell>
          <cell r="C209">
            <v>1</v>
          </cell>
          <cell r="D209">
            <v>0</v>
          </cell>
          <cell r="E209">
            <v>10</v>
          </cell>
          <cell r="F209" t="str">
            <v>Loja</v>
          </cell>
        </row>
        <row r="210">
          <cell r="A210" t="str">
            <v>Kit Caneca Café Stanley</v>
          </cell>
          <cell r="B210">
            <v>1</v>
          </cell>
          <cell r="C210">
            <v>1</v>
          </cell>
          <cell r="D210">
            <v>0</v>
          </cell>
          <cell r="E210">
            <v>26</v>
          </cell>
          <cell r="F210" t="str">
            <v>Loja</v>
          </cell>
        </row>
        <row r="211">
          <cell r="A211" t="str">
            <v>Kit Chave Com 6Pçs Lsc-Ppcs</v>
          </cell>
          <cell r="B211">
            <v>1</v>
          </cell>
          <cell r="C211">
            <v>1</v>
          </cell>
          <cell r="D211">
            <v>0</v>
          </cell>
          <cell r="E211">
            <v>3.8</v>
          </cell>
          <cell r="F211" t="str">
            <v>Loja</v>
          </cell>
        </row>
        <row r="212">
          <cell r="A212" t="str">
            <v>Kit Chaves 6024A</v>
          </cell>
          <cell r="B212">
            <v>1</v>
          </cell>
          <cell r="C212">
            <v>1</v>
          </cell>
          <cell r="D212">
            <v>0</v>
          </cell>
          <cell r="E212">
            <v>10</v>
          </cell>
          <cell r="F212" t="str">
            <v>Loja</v>
          </cell>
        </row>
        <row r="213">
          <cell r="A213" t="str">
            <v>Kit Colheres Colorida</v>
          </cell>
          <cell r="B213">
            <v>1</v>
          </cell>
          <cell r="C213">
            <v>1</v>
          </cell>
          <cell r="D213">
            <v>0</v>
          </cell>
          <cell r="E213">
            <v>50</v>
          </cell>
          <cell r="F213" t="str">
            <v>Loja</v>
          </cell>
        </row>
        <row r="214">
          <cell r="A214" t="str">
            <v xml:space="preserve">Kit Com 10 Mini Fusível </v>
          </cell>
          <cell r="B214">
            <v>99</v>
          </cell>
          <cell r="C214">
            <v>98</v>
          </cell>
          <cell r="D214">
            <v>1</v>
          </cell>
          <cell r="F214" t="str">
            <v>Loja</v>
          </cell>
        </row>
        <row r="215">
          <cell r="A215" t="str">
            <v>Kit Completo Carregador 20W</v>
          </cell>
          <cell r="B215">
            <v>1</v>
          </cell>
          <cell r="C215">
            <v>1</v>
          </cell>
          <cell r="D215">
            <v>0</v>
          </cell>
          <cell r="E215">
            <v>17</v>
          </cell>
          <cell r="F215" t="str">
            <v>Loja</v>
          </cell>
        </row>
        <row r="216">
          <cell r="A216" t="str">
            <v>Kit Costura Crs 1184</v>
          </cell>
          <cell r="B216">
            <v>1</v>
          </cell>
          <cell r="C216">
            <v>1</v>
          </cell>
          <cell r="D216">
            <v>0</v>
          </cell>
          <cell r="E216">
            <v>5</v>
          </cell>
          <cell r="F216" t="str">
            <v>Loja</v>
          </cell>
        </row>
        <row r="217">
          <cell r="A217" t="str">
            <v>Kit De Ferramentas 41Pçs Id-2226K</v>
          </cell>
          <cell r="B217">
            <v>1</v>
          </cell>
          <cell r="C217">
            <v>1</v>
          </cell>
          <cell r="D217">
            <v>0</v>
          </cell>
          <cell r="E217">
            <v>36.9</v>
          </cell>
          <cell r="F217" t="str">
            <v>Loja</v>
          </cell>
        </row>
        <row r="218">
          <cell r="A218" t="str">
            <v>Kit Facas</v>
          </cell>
          <cell r="B218">
            <v>1</v>
          </cell>
          <cell r="C218">
            <v>1</v>
          </cell>
          <cell r="D218">
            <v>0</v>
          </cell>
          <cell r="E218">
            <v>23</v>
          </cell>
          <cell r="F218" t="str">
            <v>Loja</v>
          </cell>
        </row>
        <row r="219">
          <cell r="A219" t="str">
            <v>Kit Ferramentas 41 Pçs Maleta</v>
          </cell>
          <cell r="B219">
            <v>1</v>
          </cell>
          <cell r="C219">
            <v>1</v>
          </cell>
          <cell r="D219">
            <v>0</v>
          </cell>
          <cell r="E219">
            <v>30</v>
          </cell>
          <cell r="F219" t="str">
            <v>Loja</v>
          </cell>
        </row>
        <row r="220">
          <cell r="A220" t="str">
            <v>Kit Fusível Grande Leo</v>
          </cell>
          <cell r="B220">
            <v>1</v>
          </cell>
          <cell r="C220">
            <v>1</v>
          </cell>
          <cell r="D220">
            <v>0</v>
          </cell>
          <cell r="E220">
            <v>5</v>
          </cell>
          <cell r="F220" t="str">
            <v>Loja</v>
          </cell>
        </row>
        <row r="221">
          <cell r="A221" t="str">
            <v xml:space="preserve">Kit Jogo De Facas </v>
          </cell>
          <cell r="B221">
            <v>1</v>
          </cell>
          <cell r="C221">
            <v>1</v>
          </cell>
          <cell r="D221">
            <v>0</v>
          </cell>
          <cell r="E221">
            <v>20</v>
          </cell>
          <cell r="F221" t="str">
            <v>Loja</v>
          </cell>
        </row>
        <row r="222">
          <cell r="A222" t="str">
            <v>Kit Maçarico</v>
          </cell>
          <cell r="B222">
            <v>99</v>
          </cell>
          <cell r="C222">
            <v>98</v>
          </cell>
          <cell r="D222">
            <v>1</v>
          </cell>
          <cell r="F222" t="str">
            <v>Loja</v>
          </cell>
        </row>
        <row r="223">
          <cell r="A223" t="str">
            <v>Kit Mouse E Teclado Sem Fio K4</v>
          </cell>
          <cell r="B223">
            <v>1</v>
          </cell>
          <cell r="C223">
            <v>1</v>
          </cell>
          <cell r="D223">
            <v>0</v>
          </cell>
          <cell r="E223">
            <v>60</v>
          </cell>
          <cell r="F223" t="str">
            <v>Loja</v>
          </cell>
        </row>
        <row r="224">
          <cell r="A224" t="str">
            <v xml:space="preserve">Kit Porta Detergente Dispense Com Bucha Louça  </v>
          </cell>
          <cell r="B224">
            <v>1</v>
          </cell>
          <cell r="C224">
            <v>1</v>
          </cell>
          <cell r="D224">
            <v>0</v>
          </cell>
          <cell r="E224">
            <v>8.99</v>
          </cell>
          <cell r="F224" t="str">
            <v>Loja</v>
          </cell>
        </row>
        <row r="225">
          <cell r="A225" t="str">
            <v>Kit Pote Banheiro</v>
          </cell>
          <cell r="B225">
            <v>1</v>
          </cell>
          <cell r="C225">
            <v>1</v>
          </cell>
          <cell r="D225">
            <v>0</v>
          </cell>
          <cell r="F225" t="str">
            <v>Loja</v>
          </cell>
        </row>
        <row r="226">
          <cell r="A226" t="str">
            <v>Kit Taboa Idea</v>
          </cell>
          <cell r="B226">
            <v>1</v>
          </cell>
          <cell r="C226">
            <v>1</v>
          </cell>
          <cell r="D226">
            <v>0</v>
          </cell>
          <cell r="E226">
            <v>7</v>
          </cell>
          <cell r="F226" t="str">
            <v>Loja</v>
          </cell>
        </row>
        <row r="227">
          <cell r="A227" t="str">
            <v xml:space="preserve">Kit Talheres </v>
          </cell>
          <cell r="B227">
            <v>1</v>
          </cell>
          <cell r="C227">
            <v>1</v>
          </cell>
          <cell r="D227">
            <v>0</v>
          </cell>
          <cell r="E227">
            <v>38</v>
          </cell>
          <cell r="F227" t="str">
            <v>Loja</v>
          </cell>
        </row>
        <row r="228">
          <cell r="A228" t="str">
            <v>Kit Teclado E Mouse Sem Fio Mb54264</v>
          </cell>
          <cell r="B228">
            <v>1</v>
          </cell>
          <cell r="C228">
            <v>1</v>
          </cell>
          <cell r="D228">
            <v>0</v>
          </cell>
          <cell r="E228">
            <v>55</v>
          </cell>
          <cell r="F228" t="str">
            <v>Loja</v>
          </cell>
        </row>
        <row r="229">
          <cell r="A229" t="str">
            <v>Kit Tesoura Cabelo</v>
          </cell>
          <cell r="B229">
            <v>1</v>
          </cell>
          <cell r="C229">
            <v>1</v>
          </cell>
          <cell r="D229">
            <v>0</v>
          </cell>
          <cell r="E229">
            <v>4</v>
          </cell>
          <cell r="F229" t="str">
            <v>Loja</v>
          </cell>
        </row>
        <row r="230">
          <cell r="A230" t="str">
            <v xml:space="preserve">Lanterna </v>
          </cell>
          <cell r="B230">
            <v>99</v>
          </cell>
          <cell r="C230">
            <v>97</v>
          </cell>
          <cell r="D230">
            <v>2</v>
          </cell>
          <cell r="F230" t="str">
            <v>Loja</v>
          </cell>
        </row>
        <row r="231">
          <cell r="A231" t="str">
            <v>Lapela Tipoc</v>
          </cell>
          <cell r="B231">
            <v>1</v>
          </cell>
          <cell r="C231">
            <v>1</v>
          </cell>
          <cell r="D231">
            <v>0</v>
          </cell>
          <cell r="E231">
            <v>25</v>
          </cell>
          <cell r="F231" t="str">
            <v>Loja</v>
          </cell>
        </row>
        <row r="232">
          <cell r="A232" t="str">
            <v xml:space="preserve">Laxasfit 2024 Relógio Inteligente </v>
          </cell>
          <cell r="B232">
            <v>1</v>
          </cell>
          <cell r="C232">
            <v>1</v>
          </cell>
          <cell r="D232">
            <v>0</v>
          </cell>
          <cell r="E232">
            <v>34.19</v>
          </cell>
          <cell r="F232" t="str">
            <v>Loja</v>
          </cell>
        </row>
        <row r="233">
          <cell r="A233" t="str">
            <v>Lego Ali</v>
          </cell>
          <cell r="B233">
            <v>1</v>
          </cell>
          <cell r="C233">
            <v>1</v>
          </cell>
          <cell r="D233">
            <v>0</v>
          </cell>
          <cell r="E233">
            <v>2.5</v>
          </cell>
          <cell r="F233" t="str">
            <v>Loja</v>
          </cell>
        </row>
        <row r="234">
          <cell r="A234" t="str">
            <v>Lego Grande</v>
          </cell>
          <cell r="B234">
            <v>1</v>
          </cell>
          <cell r="C234">
            <v>1</v>
          </cell>
          <cell r="D234">
            <v>0</v>
          </cell>
          <cell r="E234">
            <v>5</v>
          </cell>
          <cell r="F234" t="str">
            <v>Loja</v>
          </cell>
        </row>
        <row r="235">
          <cell r="A235" t="str">
            <v>Lego Pequeno</v>
          </cell>
          <cell r="B235">
            <v>1</v>
          </cell>
          <cell r="C235">
            <v>1</v>
          </cell>
          <cell r="D235">
            <v>0</v>
          </cell>
          <cell r="E235">
            <v>2</v>
          </cell>
          <cell r="F235" t="str">
            <v>Loja</v>
          </cell>
        </row>
        <row r="236">
          <cell r="A236" t="str">
            <v>Leitor De Cartao De Memoria Dkq02</v>
          </cell>
          <cell r="B236">
            <v>1</v>
          </cell>
          <cell r="C236">
            <v>1</v>
          </cell>
          <cell r="D236">
            <v>0</v>
          </cell>
          <cell r="E236">
            <v>2</v>
          </cell>
          <cell r="F236" t="str">
            <v>Loja</v>
          </cell>
        </row>
        <row r="237">
          <cell r="A237" t="str">
            <v>Leitor De Cartao De Memoria Uf0013</v>
          </cell>
          <cell r="B237">
            <v>1</v>
          </cell>
          <cell r="C237">
            <v>1</v>
          </cell>
          <cell r="D237">
            <v>0</v>
          </cell>
          <cell r="E237">
            <v>2</v>
          </cell>
          <cell r="F237" t="str">
            <v>Loja</v>
          </cell>
        </row>
        <row r="238">
          <cell r="A238" t="str">
            <v>Lixa De Unha</v>
          </cell>
          <cell r="B238">
            <v>99</v>
          </cell>
          <cell r="C238">
            <v>98</v>
          </cell>
          <cell r="D238">
            <v>1</v>
          </cell>
          <cell r="F238" t="str">
            <v>Loja</v>
          </cell>
        </row>
        <row r="239">
          <cell r="A239" t="str">
            <v>Lousa Magica 10Pol</v>
          </cell>
          <cell r="B239">
            <v>1</v>
          </cell>
          <cell r="C239">
            <v>1</v>
          </cell>
          <cell r="D239">
            <v>0</v>
          </cell>
          <cell r="E239">
            <v>15</v>
          </cell>
          <cell r="F239" t="str">
            <v>Loja</v>
          </cell>
        </row>
        <row r="240">
          <cell r="A240" t="str">
            <v>Lousa Magica 12Pol</v>
          </cell>
          <cell r="B240">
            <v>1</v>
          </cell>
          <cell r="C240">
            <v>1</v>
          </cell>
          <cell r="D240">
            <v>0</v>
          </cell>
          <cell r="E240">
            <v>20</v>
          </cell>
          <cell r="F240" t="str">
            <v>Loja</v>
          </cell>
        </row>
        <row r="241">
          <cell r="A241" t="str">
            <v>Lousa Magica 12Pol Novo</v>
          </cell>
          <cell r="B241">
            <v>1</v>
          </cell>
          <cell r="C241">
            <v>1</v>
          </cell>
          <cell r="D241">
            <v>0</v>
          </cell>
          <cell r="E241">
            <v>13</v>
          </cell>
          <cell r="F241" t="str">
            <v>Loja</v>
          </cell>
        </row>
        <row r="242">
          <cell r="A242" t="str">
            <v>Lousa Magica 16Pol</v>
          </cell>
          <cell r="B242">
            <v>1</v>
          </cell>
          <cell r="C242">
            <v>1</v>
          </cell>
          <cell r="D242">
            <v>0</v>
          </cell>
          <cell r="E242">
            <v>28</v>
          </cell>
          <cell r="F242" t="str">
            <v>Loja</v>
          </cell>
        </row>
        <row r="243">
          <cell r="A243" t="str">
            <v>Lousa Magica 8Pol</v>
          </cell>
          <cell r="B243">
            <v>1</v>
          </cell>
          <cell r="C243">
            <v>1</v>
          </cell>
          <cell r="D243">
            <v>0</v>
          </cell>
          <cell r="E243">
            <v>10</v>
          </cell>
          <cell r="F243" t="str">
            <v>Loja</v>
          </cell>
        </row>
        <row r="244">
          <cell r="A244" t="str">
            <v xml:space="preserve">Luminária Astronauta </v>
          </cell>
          <cell r="B244">
            <v>1</v>
          </cell>
          <cell r="C244">
            <v>1</v>
          </cell>
          <cell r="D244">
            <v>0</v>
          </cell>
          <cell r="E244">
            <v>75</v>
          </cell>
          <cell r="F244" t="str">
            <v>Loja</v>
          </cell>
        </row>
        <row r="245">
          <cell r="A245" t="str">
            <v>Luminaria Solar Led Refletor</v>
          </cell>
          <cell r="B245">
            <v>1</v>
          </cell>
          <cell r="C245">
            <v>1</v>
          </cell>
          <cell r="D245">
            <v>0</v>
          </cell>
          <cell r="E245">
            <v>30</v>
          </cell>
          <cell r="F245" t="str">
            <v>Loja</v>
          </cell>
        </row>
        <row r="246">
          <cell r="A246" t="str">
            <v xml:space="preserve">Luvinha De Dedo </v>
          </cell>
          <cell r="B246">
            <v>1</v>
          </cell>
          <cell r="C246">
            <v>1</v>
          </cell>
          <cell r="D246">
            <v>0</v>
          </cell>
          <cell r="E246">
            <v>1</v>
          </cell>
          <cell r="F246" t="str">
            <v>Loja</v>
          </cell>
        </row>
        <row r="247">
          <cell r="A247" t="str">
            <v>Luvinhas Dedo N</v>
          </cell>
          <cell r="B247">
            <v>1</v>
          </cell>
          <cell r="C247">
            <v>1</v>
          </cell>
          <cell r="D247">
            <v>0</v>
          </cell>
          <cell r="E247">
            <v>0.29425000000000001</v>
          </cell>
          <cell r="F247" t="str">
            <v>Loja</v>
          </cell>
        </row>
        <row r="248">
          <cell r="A248" t="str">
            <v>Maquina De Cabelo Dragao Ml</v>
          </cell>
          <cell r="B248">
            <v>1</v>
          </cell>
          <cell r="C248">
            <v>1</v>
          </cell>
          <cell r="D248">
            <v>0</v>
          </cell>
          <cell r="E248">
            <v>16</v>
          </cell>
          <cell r="F248" t="str">
            <v>Loja</v>
          </cell>
        </row>
        <row r="249">
          <cell r="A249" t="str">
            <v>Maquina Dourada Dragao</v>
          </cell>
          <cell r="B249">
            <v>1</v>
          </cell>
          <cell r="C249">
            <v>1</v>
          </cell>
          <cell r="D249">
            <v>0</v>
          </cell>
          <cell r="E249">
            <v>15</v>
          </cell>
          <cell r="F249" t="str">
            <v>Loja</v>
          </cell>
        </row>
        <row r="250">
          <cell r="A250" t="str">
            <v>Maquinha De Bolhas Automático</v>
          </cell>
          <cell r="B250">
            <v>1</v>
          </cell>
          <cell r="C250">
            <v>1</v>
          </cell>
          <cell r="D250">
            <v>0</v>
          </cell>
          <cell r="E250">
            <v>32.33</v>
          </cell>
          <cell r="F250" t="str">
            <v>Loja</v>
          </cell>
        </row>
        <row r="251">
          <cell r="A251" t="str">
            <v>Massageador Pistola</v>
          </cell>
          <cell r="B251">
            <v>1</v>
          </cell>
          <cell r="C251">
            <v>1</v>
          </cell>
          <cell r="D251">
            <v>0</v>
          </cell>
          <cell r="E251">
            <v>55</v>
          </cell>
          <cell r="F251" t="str">
            <v>Loja</v>
          </cell>
        </row>
        <row r="252">
          <cell r="A252" t="str">
            <v>Mata Mosquito Eletric Mw-555</v>
          </cell>
          <cell r="B252">
            <v>1</v>
          </cell>
          <cell r="C252">
            <v>1</v>
          </cell>
          <cell r="D252">
            <v>0</v>
          </cell>
          <cell r="E252">
            <v>28</v>
          </cell>
          <cell r="F252" t="str">
            <v>Loja</v>
          </cell>
        </row>
        <row r="253">
          <cell r="A253" t="str">
            <v>Memoria</v>
          </cell>
          <cell r="B253">
            <v>1</v>
          </cell>
          <cell r="C253">
            <v>1</v>
          </cell>
          <cell r="D253">
            <v>0</v>
          </cell>
          <cell r="F253" t="str">
            <v>Loja</v>
          </cell>
        </row>
        <row r="254">
          <cell r="A254" t="str">
            <v>Memory Card 15Mb</v>
          </cell>
          <cell r="B254">
            <v>1</v>
          </cell>
          <cell r="C254">
            <v>1</v>
          </cell>
          <cell r="D254">
            <v>0</v>
          </cell>
          <cell r="E254">
            <v>15</v>
          </cell>
          <cell r="F254" t="str">
            <v>Loja</v>
          </cell>
        </row>
        <row r="255">
          <cell r="A255" t="str">
            <v>Memory Card 16Mb</v>
          </cell>
          <cell r="B255">
            <v>1</v>
          </cell>
          <cell r="C255">
            <v>1</v>
          </cell>
          <cell r="D255">
            <v>0</v>
          </cell>
          <cell r="E255">
            <v>18</v>
          </cell>
          <cell r="F255" t="str">
            <v>Loja</v>
          </cell>
        </row>
        <row r="256">
          <cell r="A256" t="str">
            <v>Micro Sd Kodak 64Gb</v>
          </cell>
          <cell r="B256">
            <v>1</v>
          </cell>
          <cell r="C256">
            <v>1</v>
          </cell>
          <cell r="D256">
            <v>0</v>
          </cell>
          <cell r="E256">
            <v>15</v>
          </cell>
          <cell r="F256" t="str">
            <v>Loja</v>
          </cell>
        </row>
        <row r="257">
          <cell r="A257" t="str">
            <v>Microscopio 1000X</v>
          </cell>
          <cell r="B257">
            <v>1</v>
          </cell>
          <cell r="C257">
            <v>1</v>
          </cell>
          <cell r="D257">
            <v>0</v>
          </cell>
          <cell r="E257">
            <v>75</v>
          </cell>
          <cell r="F257" t="str">
            <v>Loja</v>
          </cell>
        </row>
        <row r="258">
          <cell r="A258" t="str">
            <v>Mini Antena Digital</v>
          </cell>
          <cell r="B258">
            <v>1</v>
          </cell>
          <cell r="C258">
            <v>1</v>
          </cell>
          <cell r="D258">
            <v>0</v>
          </cell>
          <cell r="E258">
            <v>13</v>
          </cell>
          <cell r="F258" t="str">
            <v>Loja</v>
          </cell>
        </row>
        <row r="259">
          <cell r="A259" t="str">
            <v>Mini Caixa De Som Cs2C</v>
          </cell>
          <cell r="B259">
            <v>1</v>
          </cell>
          <cell r="C259">
            <v>1</v>
          </cell>
          <cell r="D259">
            <v>0</v>
          </cell>
          <cell r="E259">
            <v>23</v>
          </cell>
          <cell r="F259" t="str">
            <v>Loja</v>
          </cell>
        </row>
        <row r="260">
          <cell r="A260" t="str">
            <v>Mini Fatiador</v>
          </cell>
          <cell r="B260">
            <v>1</v>
          </cell>
          <cell r="C260">
            <v>1</v>
          </cell>
          <cell r="D260">
            <v>0</v>
          </cell>
          <cell r="E260">
            <v>1.7</v>
          </cell>
          <cell r="F260" t="str">
            <v>Loja</v>
          </cell>
        </row>
        <row r="261">
          <cell r="A261" t="str">
            <v>Mini Jogo De Luz C/C</v>
          </cell>
          <cell r="B261">
            <v>1</v>
          </cell>
          <cell r="C261">
            <v>1</v>
          </cell>
          <cell r="D261">
            <v>0</v>
          </cell>
          <cell r="E261">
            <v>37</v>
          </cell>
          <cell r="F261" t="str">
            <v>Loja</v>
          </cell>
        </row>
        <row r="262">
          <cell r="A262" t="str">
            <v>Mini Lanterna Kal1114</v>
          </cell>
          <cell r="B262">
            <v>1</v>
          </cell>
          <cell r="C262">
            <v>1</v>
          </cell>
          <cell r="D262">
            <v>0</v>
          </cell>
          <cell r="E262">
            <v>20</v>
          </cell>
          <cell r="F262" t="str">
            <v>Loja</v>
          </cell>
        </row>
        <row r="263">
          <cell r="A263" t="str">
            <v>Mini Liquidificado</v>
          </cell>
          <cell r="B263">
            <v>1</v>
          </cell>
          <cell r="C263">
            <v>1</v>
          </cell>
          <cell r="D263">
            <v>0</v>
          </cell>
          <cell r="E263">
            <v>25</v>
          </cell>
          <cell r="F263" t="str">
            <v>Loja</v>
          </cell>
        </row>
        <row r="264">
          <cell r="A264" t="str">
            <v>Mini Liquidificado Max</v>
          </cell>
          <cell r="B264">
            <v>1</v>
          </cell>
          <cell r="C264">
            <v>1</v>
          </cell>
          <cell r="D264">
            <v>0</v>
          </cell>
          <cell r="E264">
            <v>77</v>
          </cell>
          <cell r="F264" t="str">
            <v>Loja</v>
          </cell>
        </row>
        <row r="265">
          <cell r="A265" t="str">
            <v>Mini Máquina De Costura</v>
          </cell>
          <cell r="B265">
            <v>1</v>
          </cell>
          <cell r="C265">
            <v>1</v>
          </cell>
          <cell r="D265">
            <v>0</v>
          </cell>
          <cell r="E265">
            <v>7.5</v>
          </cell>
          <cell r="F265" t="str">
            <v>Loja</v>
          </cell>
        </row>
        <row r="266">
          <cell r="A266" t="str">
            <v xml:space="preserve">Mini Massageador </v>
          </cell>
          <cell r="B266">
            <v>1</v>
          </cell>
          <cell r="C266">
            <v>1</v>
          </cell>
          <cell r="D266">
            <v>0</v>
          </cell>
          <cell r="E266">
            <v>8</v>
          </cell>
          <cell r="F266" t="str">
            <v>Loja</v>
          </cell>
        </row>
        <row r="267">
          <cell r="A267" t="str">
            <v>Mini Pau De Self  Leo</v>
          </cell>
          <cell r="B267">
            <v>1</v>
          </cell>
          <cell r="C267">
            <v>1</v>
          </cell>
          <cell r="D267">
            <v>0</v>
          </cell>
          <cell r="E267">
            <v>5.5</v>
          </cell>
          <cell r="F267" t="str">
            <v>Loja</v>
          </cell>
        </row>
        <row r="268">
          <cell r="A268" t="str">
            <v>Mini Router Wifi</v>
          </cell>
          <cell r="B268">
            <v>1</v>
          </cell>
          <cell r="C268">
            <v>1</v>
          </cell>
          <cell r="D268">
            <v>0</v>
          </cell>
          <cell r="E268">
            <v>99</v>
          </cell>
          <cell r="F268" t="str">
            <v>Loja</v>
          </cell>
        </row>
        <row r="269">
          <cell r="A269" t="str">
            <v>Miniteclado Tv Box</v>
          </cell>
          <cell r="B269">
            <v>1</v>
          </cell>
          <cell r="C269">
            <v>1</v>
          </cell>
          <cell r="D269">
            <v>0</v>
          </cell>
          <cell r="E269">
            <v>19</v>
          </cell>
          <cell r="F269" t="str">
            <v>Loja</v>
          </cell>
        </row>
        <row r="270">
          <cell r="A270" t="str">
            <v xml:space="preserve">Misturador De Bebidas Ovos Portátil Mixer Elétrico 2 Peças Whisk </v>
          </cell>
          <cell r="B270">
            <v>1</v>
          </cell>
          <cell r="C270">
            <v>1</v>
          </cell>
          <cell r="D270">
            <v>0</v>
          </cell>
          <cell r="E270">
            <v>30</v>
          </cell>
          <cell r="F270" t="str">
            <v>Loja</v>
          </cell>
        </row>
        <row r="271">
          <cell r="A271" t="str">
            <v xml:space="preserve">Mochila Dobrável À Prova D'Água Design Exclusivo Escolar Unissex  Preto  </v>
          </cell>
          <cell r="B271">
            <v>1</v>
          </cell>
          <cell r="C271">
            <v>1</v>
          </cell>
          <cell r="D271">
            <v>0</v>
          </cell>
          <cell r="E271">
            <v>16.899999999999999</v>
          </cell>
          <cell r="F271" t="str">
            <v>Loja</v>
          </cell>
        </row>
        <row r="272">
          <cell r="A272" t="str">
            <v xml:space="preserve">Mochila Escolar Unissex Impermeável Com Entrada Usb  Preto  </v>
          </cell>
          <cell r="B272">
            <v>1</v>
          </cell>
          <cell r="C272">
            <v>1</v>
          </cell>
          <cell r="D272">
            <v>0</v>
          </cell>
          <cell r="E272">
            <v>31.99</v>
          </cell>
          <cell r="F272" t="str">
            <v>Loja</v>
          </cell>
        </row>
        <row r="273">
          <cell r="A273" t="str">
            <v xml:space="preserve">Mochila Escolar Universitária Unissex </v>
          </cell>
          <cell r="B273">
            <v>1</v>
          </cell>
          <cell r="C273">
            <v>1</v>
          </cell>
          <cell r="D273">
            <v>0</v>
          </cell>
          <cell r="E273">
            <v>45</v>
          </cell>
          <cell r="F273" t="str">
            <v>Loja</v>
          </cell>
        </row>
        <row r="274">
          <cell r="A274" t="str">
            <v>Mochila Escolar Universitária Unissex Com Estojo</v>
          </cell>
          <cell r="B274">
            <v>1</v>
          </cell>
          <cell r="C274">
            <v>1</v>
          </cell>
          <cell r="D274">
            <v>0</v>
          </cell>
          <cell r="E274">
            <v>31.99</v>
          </cell>
          <cell r="F274" t="str">
            <v>Loja</v>
          </cell>
        </row>
        <row r="275">
          <cell r="A275" t="str">
            <v>Moeba</v>
          </cell>
          <cell r="B275">
            <v>99</v>
          </cell>
          <cell r="C275">
            <v>97</v>
          </cell>
          <cell r="D275">
            <v>2</v>
          </cell>
          <cell r="F275" t="str">
            <v>Loja</v>
          </cell>
        </row>
        <row r="276">
          <cell r="A276" t="str">
            <v>Moldem Tplink</v>
          </cell>
          <cell r="B276">
            <v>1</v>
          </cell>
          <cell r="C276">
            <v>1</v>
          </cell>
          <cell r="D276">
            <v>0</v>
          </cell>
          <cell r="F276" t="str">
            <v>Loja</v>
          </cell>
        </row>
        <row r="277">
          <cell r="A277" t="str">
            <v>Mouse B-Max</v>
          </cell>
          <cell r="B277">
            <v>1</v>
          </cell>
          <cell r="C277">
            <v>1</v>
          </cell>
          <cell r="D277">
            <v>0</v>
          </cell>
          <cell r="E277">
            <v>5.5</v>
          </cell>
          <cell r="F277" t="str">
            <v>Loja</v>
          </cell>
        </row>
        <row r="278">
          <cell r="A278" t="str">
            <v>Mouse Com Fio Exbom Md-9</v>
          </cell>
          <cell r="B278">
            <v>1</v>
          </cell>
          <cell r="C278">
            <v>1</v>
          </cell>
          <cell r="D278">
            <v>0</v>
          </cell>
          <cell r="E278">
            <v>5.5</v>
          </cell>
          <cell r="F278" t="str">
            <v>Loja</v>
          </cell>
        </row>
        <row r="279">
          <cell r="A279" t="str">
            <v>Mouse Com Fio In-20055</v>
          </cell>
          <cell r="B279">
            <v>1</v>
          </cell>
          <cell r="C279">
            <v>1</v>
          </cell>
          <cell r="D279">
            <v>0</v>
          </cell>
          <cell r="E279">
            <v>7</v>
          </cell>
          <cell r="F279" t="str">
            <v>Loja</v>
          </cell>
        </row>
        <row r="280">
          <cell r="A280" t="str">
            <v>Mouse Gamer 01</v>
          </cell>
          <cell r="B280">
            <v>1</v>
          </cell>
          <cell r="C280">
            <v>1</v>
          </cell>
          <cell r="D280">
            <v>0</v>
          </cell>
          <cell r="E280">
            <v>15</v>
          </cell>
          <cell r="F280" t="str">
            <v>Loja</v>
          </cell>
        </row>
        <row r="281">
          <cell r="A281" t="str">
            <v>Mouse Pad Com Gel</v>
          </cell>
          <cell r="B281">
            <v>1</v>
          </cell>
          <cell r="C281">
            <v>1</v>
          </cell>
          <cell r="D281">
            <v>0</v>
          </cell>
          <cell r="E281">
            <v>5</v>
          </cell>
          <cell r="F281" t="str">
            <v>Loja</v>
          </cell>
        </row>
        <row r="282">
          <cell r="A282" t="str">
            <v xml:space="preserve">Mouse Pad Simples </v>
          </cell>
          <cell r="B282">
            <v>1</v>
          </cell>
          <cell r="C282">
            <v>1</v>
          </cell>
          <cell r="D282">
            <v>0</v>
          </cell>
          <cell r="E282">
            <v>5</v>
          </cell>
          <cell r="F282" t="str">
            <v>Loja</v>
          </cell>
        </row>
        <row r="283">
          <cell r="A283" t="str">
            <v>Mouse Sem Fio</v>
          </cell>
          <cell r="B283">
            <v>99</v>
          </cell>
          <cell r="C283">
            <v>97</v>
          </cell>
          <cell r="D283">
            <v>2</v>
          </cell>
          <cell r="F283" t="str">
            <v>Loja</v>
          </cell>
        </row>
        <row r="284">
          <cell r="A284" t="str">
            <v>Opl 16 Mb</v>
          </cell>
          <cell r="B284">
            <v>99</v>
          </cell>
          <cell r="C284">
            <v>98</v>
          </cell>
          <cell r="D284">
            <v>1</v>
          </cell>
          <cell r="F284" t="str">
            <v>Loja</v>
          </cell>
        </row>
        <row r="285">
          <cell r="A285" t="str">
            <v>Par Alto Falante Evok 6X9 280Rms</v>
          </cell>
          <cell r="B285">
            <v>1</v>
          </cell>
          <cell r="C285">
            <v>1</v>
          </cell>
          <cell r="D285">
            <v>0</v>
          </cell>
          <cell r="E285">
            <v>350</v>
          </cell>
          <cell r="F285" t="str">
            <v>Loja</v>
          </cell>
        </row>
        <row r="286">
          <cell r="A286" t="str">
            <v>Pd Usb Adaptador De Carregamento Leo</v>
          </cell>
          <cell r="B286">
            <v>1</v>
          </cell>
          <cell r="C286">
            <v>1</v>
          </cell>
          <cell r="D286">
            <v>0</v>
          </cell>
          <cell r="E286">
            <v>20.5</v>
          </cell>
          <cell r="F286" t="str">
            <v>Loja</v>
          </cell>
        </row>
        <row r="287">
          <cell r="A287" t="str">
            <v>Pelicula 3D</v>
          </cell>
          <cell r="B287">
            <v>1</v>
          </cell>
          <cell r="C287">
            <v>-7</v>
          </cell>
          <cell r="D287">
            <v>8</v>
          </cell>
          <cell r="E287">
            <v>3</v>
          </cell>
          <cell r="F287" t="str">
            <v>Loja</v>
          </cell>
        </row>
        <row r="288">
          <cell r="A288" t="str">
            <v>Pelicula Privacidade</v>
          </cell>
          <cell r="B288">
            <v>1</v>
          </cell>
          <cell r="C288">
            <v>1</v>
          </cell>
          <cell r="D288">
            <v>0</v>
          </cell>
          <cell r="E288">
            <v>6</v>
          </cell>
          <cell r="F288" t="str">
            <v>Loja</v>
          </cell>
        </row>
        <row r="289">
          <cell r="A289" t="str">
            <v>Pelicularelogio 49Mm</v>
          </cell>
          <cell r="B289">
            <v>1</v>
          </cell>
          <cell r="C289">
            <v>1</v>
          </cell>
          <cell r="D289">
            <v>0</v>
          </cell>
          <cell r="E289">
            <v>6</v>
          </cell>
          <cell r="F289" t="str">
            <v>Loja</v>
          </cell>
        </row>
        <row r="290">
          <cell r="A290" t="str">
            <v>Pen Drive Com 10 Jogos Para Ps2</v>
          </cell>
          <cell r="B290">
            <v>99</v>
          </cell>
          <cell r="C290">
            <v>98</v>
          </cell>
          <cell r="D290">
            <v>1</v>
          </cell>
          <cell r="F290" t="str">
            <v>Loja</v>
          </cell>
        </row>
        <row r="291">
          <cell r="A291" t="str">
            <v>Pente De Cabelo Redondo</v>
          </cell>
          <cell r="B291">
            <v>1</v>
          </cell>
          <cell r="C291">
            <v>1</v>
          </cell>
          <cell r="D291">
            <v>0</v>
          </cell>
          <cell r="E291">
            <v>2.5</v>
          </cell>
          <cell r="F291" t="str">
            <v>Loja</v>
          </cell>
        </row>
        <row r="292">
          <cell r="A292" t="str">
            <v>Placa De Som Usb</v>
          </cell>
          <cell r="B292">
            <v>1</v>
          </cell>
          <cell r="C292">
            <v>1</v>
          </cell>
          <cell r="D292">
            <v>0</v>
          </cell>
          <cell r="E292">
            <v>9</v>
          </cell>
          <cell r="F292" t="str">
            <v>Loja</v>
          </cell>
        </row>
        <row r="293">
          <cell r="A293" t="str">
            <v>Porta Cracha Completo</v>
          </cell>
          <cell r="B293">
            <v>1</v>
          </cell>
          <cell r="C293">
            <v>1</v>
          </cell>
          <cell r="D293">
            <v>0</v>
          </cell>
          <cell r="E293">
            <v>4</v>
          </cell>
          <cell r="F293" t="str">
            <v>Loja</v>
          </cell>
        </row>
        <row r="294">
          <cell r="A294" t="str">
            <v>Porta Crachá Esticado Leo</v>
          </cell>
          <cell r="B294">
            <v>1</v>
          </cell>
          <cell r="C294">
            <v>1</v>
          </cell>
          <cell r="D294">
            <v>0</v>
          </cell>
          <cell r="E294">
            <v>1</v>
          </cell>
          <cell r="F294" t="str">
            <v>Loja</v>
          </cell>
        </row>
        <row r="295">
          <cell r="A295" t="str">
            <v xml:space="preserve">Porta Retrato Duplo Te Amo De Plástico 10X15 Cm Colors </v>
          </cell>
          <cell r="B295">
            <v>1</v>
          </cell>
          <cell r="C295">
            <v>1</v>
          </cell>
          <cell r="D295">
            <v>0</v>
          </cell>
          <cell r="E295">
            <v>12</v>
          </cell>
          <cell r="F295" t="str">
            <v>Loja</v>
          </cell>
        </row>
        <row r="296">
          <cell r="A296" t="str">
            <v>Processador De Alimentos 1352</v>
          </cell>
          <cell r="B296">
            <v>1</v>
          </cell>
          <cell r="C296">
            <v>1</v>
          </cell>
          <cell r="D296">
            <v>0</v>
          </cell>
          <cell r="E296">
            <v>11</v>
          </cell>
          <cell r="F296" t="str">
            <v>Loja</v>
          </cell>
        </row>
        <row r="297">
          <cell r="A297" t="str">
            <v>Processador De Alimentos Pequeno Leo</v>
          </cell>
          <cell r="B297">
            <v>1</v>
          </cell>
          <cell r="C297">
            <v>1</v>
          </cell>
          <cell r="D297">
            <v>0</v>
          </cell>
          <cell r="E297">
            <v>12</v>
          </cell>
          <cell r="F297" t="str">
            <v>Loja</v>
          </cell>
        </row>
        <row r="298">
          <cell r="A298" t="str">
            <v>Protetor Documento</v>
          </cell>
          <cell r="B298">
            <v>99</v>
          </cell>
          <cell r="C298">
            <v>98</v>
          </cell>
          <cell r="D298">
            <v>1</v>
          </cell>
          <cell r="F298" t="str">
            <v>Loja</v>
          </cell>
        </row>
        <row r="299">
          <cell r="A299" t="str">
            <v>Ralador 4 Faces</v>
          </cell>
          <cell r="B299">
            <v>1</v>
          </cell>
          <cell r="C299">
            <v>1</v>
          </cell>
          <cell r="D299">
            <v>0</v>
          </cell>
          <cell r="E299">
            <v>9</v>
          </cell>
          <cell r="F299" t="str">
            <v>Loja</v>
          </cell>
        </row>
        <row r="300">
          <cell r="A300" t="str">
            <v>Ralador 6 In 1 Mandolina Multilaminas Leo</v>
          </cell>
          <cell r="B300">
            <v>1</v>
          </cell>
          <cell r="C300">
            <v>1</v>
          </cell>
          <cell r="D300">
            <v>0</v>
          </cell>
          <cell r="E300">
            <v>37</v>
          </cell>
          <cell r="F300" t="str">
            <v>Loja</v>
          </cell>
        </row>
        <row r="301">
          <cell r="A301" t="str">
            <v>Ralador De Legumes Diagonal</v>
          </cell>
          <cell r="B301">
            <v>1</v>
          </cell>
          <cell r="C301">
            <v>1</v>
          </cell>
          <cell r="D301">
            <v>0</v>
          </cell>
          <cell r="E301">
            <v>43</v>
          </cell>
          <cell r="F301" t="str">
            <v>Loja</v>
          </cell>
        </row>
        <row r="302">
          <cell r="A302" t="str">
            <v>Ralador Panela Leo</v>
          </cell>
          <cell r="B302">
            <v>1</v>
          </cell>
          <cell r="C302">
            <v>1</v>
          </cell>
          <cell r="D302">
            <v>0</v>
          </cell>
          <cell r="E302">
            <v>25</v>
          </cell>
          <cell r="F302" t="str">
            <v>Loja</v>
          </cell>
        </row>
        <row r="303">
          <cell r="A303" t="str">
            <v xml:space="preserve">Relógio Pulseira M7 Inteligente Smatband Monitora Pressão </v>
          </cell>
          <cell r="B303">
            <v>1</v>
          </cell>
          <cell r="C303">
            <v>1</v>
          </cell>
          <cell r="D303">
            <v>0</v>
          </cell>
          <cell r="E303">
            <v>25.99</v>
          </cell>
          <cell r="F303" t="str">
            <v>Loja</v>
          </cell>
        </row>
        <row r="304">
          <cell r="A304" t="str">
            <v>Restauraçao Dados</v>
          </cell>
          <cell r="B304">
            <v>99</v>
          </cell>
          <cell r="C304">
            <v>98</v>
          </cell>
          <cell r="D304">
            <v>1</v>
          </cell>
          <cell r="F304" t="str">
            <v>Loja</v>
          </cell>
        </row>
        <row r="305">
          <cell r="A305" t="str">
            <v>Serviço Aleatorio</v>
          </cell>
          <cell r="B305">
            <v>99</v>
          </cell>
          <cell r="C305">
            <v>97</v>
          </cell>
          <cell r="D305">
            <v>2</v>
          </cell>
          <cell r="F305" t="str">
            <v>Loja</v>
          </cell>
        </row>
        <row r="306">
          <cell r="A306" t="str">
            <v>Super. Cola 3G Leo</v>
          </cell>
          <cell r="B306">
            <v>1</v>
          </cell>
          <cell r="C306">
            <v>1</v>
          </cell>
          <cell r="D306">
            <v>0</v>
          </cell>
          <cell r="E306">
            <v>0.5</v>
          </cell>
          <cell r="F306" t="str">
            <v>Loja</v>
          </cell>
        </row>
        <row r="307">
          <cell r="A307" t="str">
            <v>Suporte Articulado</v>
          </cell>
          <cell r="B307">
            <v>1</v>
          </cell>
          <cell r="C307">
            <v>1</v>
          </cell>
          <cell r="D307">
            <v>0</v>
          </cell>
          <cell r="E307">
            <v>8</v>
          </cell>
          <cell r="F307" t="str">
            <v>Loja</v>
          </cell>
        </row>
        <row r="308">
          <cell r="A308" t="str">
            <v>Suporte Celular Braço Leo</v>
          </cell>
          <cell r="B308">
            <v>1</v>
          </cell>
          <cell r="C308">
            <v>1</v>
          </cell>
          <cell r="D308">
            <v>0</v>
          </cell>
          <cell r="E308">
            <v>5</v>
          </cell>
          <cell r="F308" t="str">
            <v>Loja</v>
          </cell>
        </row>
        <row r="309">
          <cell r="A309" t="str">
            <v>Suporte Celular Veicular Ventosa Bmg02</v>
          </cell>
          <cell r="B309">
            <v>1</v>
          </cell>
          <cell r="C309">
            <v>1</v>
          </cell>
          <cell r="D309">
            <v>0</v>
          </cell>
          <cell r="E309">
            <v>10</v>
          </cell>
          <cell r="F309" t="str">
            <v>Loja</v>
          </cell>
        </row>
        <row r="310">
          <cell r="A310" t="str">
            <v>Suporte De Celular Ima Leo</v>
          </cell>
          <cell r="B310">
            <v>1</v>
          </cell>
          <cell r="C310">
            <v>1</v>
          </cell>
          <cell r="D310">
            <v>0</v>
          </cell>
          <cell r="E310">
            <v>12</v>
          </cell>
          <cell r="F310" t="str">
            <v>Loja</v>
          </cell>
        </row>
        <row r="311">
          <cell r="A311" t="str">
            <v>Suporte De Mesa Ecooda Ec9085</v>
          </cell>
          <cell r="B311">
            <v>1</v>
          </cell>
          <cell r="C311">
            <v>1</v>
          </cell>
          <cell r="D311">
            <v>0</v>
          </cell>
          <cell r="E311">
            <v>6</v>
          </cell>
          <cell r="F311" t="str">
            <v>Loja</v>
          </cell>
        </row>
        <row r="312">
          <cell r="A312" t="str">
            <v>Suporte De Tv Pequeno</v>
          </cell>
          <cell r="B312">
            <v>1</v>
          </cell>
          <cell r="C312">
            <v>1</v>
          </cell>
          <cell r="D312">
            <v>0</v>
          </cell>
          <cell r="E312">
            <v>11</v>
          </cell>
          <cell r="F312" t="str">
            <v>Loja</v>
          </cell>
        </row>
        <row r="313">
          <cell r="A313" t="str">
            <v>Suporte De Tv Simples</v>
          </cell>
          <cell r="B313">
            <v>1</v>
          </cell>
          <cell r="C313">
            <v>1</v>
          </cell>
          <cell r="D313">
            <v>0</v>
          </cell>
          <cell r="E313">
            <v>12</v>
          </cell>
          <cell r="F313" t="str">
            <v>Loja</v>
          </cell>
        </row>
        <row r="314">
          <cell r="A314" t="str">
            <v>Suporte Fone Leo</v>
          </cell>
          <cell r="B314">
            <v>1</v>
          </cell>
          <cell r="C314">
            <v>1</v>
          </cell>
          <cell r="D314">
            <v>0</v>
          </cell>
          <cell r="E314">
            <v>1</v>
          </cell>
          <cell r="F314" t="str">
            <v>Loja</v>
          </cell>
        </row>
        <row r="315">
          <cell r="A315" t="str">
            <v>Suporte Gancho Adesivo</v>
          </cell>
          <cell r="B315">
            <v>1</v>
          </cell>
          <cell r="C315">
            <v>1</v>
          </cell>
          <cell r="D315">
            <v>0</v>
          </cell>
          <cell r="E315">
            <v>4.5999999999999996</v>
          </cell>
          <cell r="F315" t="str">
            <v>Loja</v>
          </cell>
        </row>
        <row r="316">
          <cell r="A316" t="str">
            <v>Suporte Magnetico 360 Kac305</v>
          </cell>
          <cell r="B316">
            <v>1</v>
          </cell>
          <cell r="C316">
            <v>1</v>
          </cell>
          <cell r="D316">
            <v>0</v>
          </cell>
          <cell r="E316">
            <v>15</v>
          </cell>
          <cell r="F316" t="str">
            <v>Loja</v>
          </cell>
        </row>
        <row r="317">
          <cell r="A317" t="str">
            <v>Suporte Magnético Veicular Barra</v>
          </cell>
          <cell r="B317">
            <v>1</v>
          </cell>
          <cell r="C317">
            <v>1</v>
          </cell>
          <cell r="D317">
            <v>0</v>
          </cell>
          <cell r="E317">
            <v>6</v>
          </cell>
          <cell r="F317" t="str">
            <v>Loja</v>
          </cell>
        </row>
        <row r="318">
          <cell r="A318" t="str">
            <v>Suporte Moto Le-030D</v>
          </cell>
          <cell r="B318">
            <v>1</v>
          </cell>
          <cell r="C318">
            <v>1</v>
          </cell>
          <cell r="D318">
            <v>0</v>
          </cell>
          <cell r="E318">
            <v>16</v>
          </cell>
          <cell r="F318" t="str">
            <v>Loja</v>
          </cell>
        </row>
        <row r="319">
          <cell r="A319" t="str">
            <v>Suporte Triplo Jb-K5556</v>
          </cell>
          <cell r="B319">
            <v>1</v>
          </cell>
          <cell r="C319">
            <v>1</v>
          </cell>
          <cell r="D319">
            <v>0</v>
          </cell>
          <cell r="E319">
            <v>13</v>
          </cell>
          <cell r="F319" t="str">
            <v>Loja</v>
          </cell>
        </row>
        <row r="320">
          <cell r="A320" t="str">
            <v>Suporte Veicular</v>
          </cell>
          <cell r="B320">
            <v>99</v>
          </cell>
          <cell r="C320">
            <v>97</v>
          </cell>
          <cell r="D320">
            <v>2</v>
          </cell>
          <cell r="F320" t="str">
            <v>Loja</v>
          </cell>
        </row>
        <row r="321">
          <cell r="A321" t="str">
            <v xml:space="preserve">Suporte Veicular </v>
          </cell>
          <cell r="B321">
            <v>1</v>
          </cell>
          <cell r="C321">
            <v>1</v>
          </cell>
          <cell r="D321">
            <v>0</v>
          </cell>
          <cell r="E321">
            <v>12</v>
          </cell>
          <cell r="F321" t="str">
            <v>Loja</v>
          </cell>
        </row>
        <row r="322">
          <cell r="A322" t="str">
            <v>Suporte Veicular B-Max Bmg-07</v>
          </cell>
          <cell r="B322">
            <v>1</v>
          </cell>
          <cell r="C322">
            <v>1</v>
          </cell>
          <cell r="D322">
            <v>0</v>
          </cell>
          <cell r="E322">
            <v>10</v>
          </cell>
          <cell r="F322" t="str">
            <v>Loja</v>
          </cell>
        </row>
        <row r="323">
          <cell r="A323" t="str">
            <v>Suporte Veicular Le-010</v>
          </cell>
          <cell r="B323">
            <v>1</v>
          </cell>
          <cell r="C323">
            <v>1</v>
          </cell>
          <cell r="D323">
            <v>0</v>
          </cell>
          <cell r="E323">
            <v>6</v>
          </cell>
          <cell r="F323" t="str">
            <v>Loja</v>
          </cell>
        </row>
        <row r="324">
          <cell r="A324" t="str">
            <v>Suporte Veicular Retrovisor B-Max</v>
          </cell>
          <cell r="B324">
            <v>1</v>
          </cell>
          <cell r="C324">
            <v>1</v>
          </cell>
          <cell r="D324">
            <v>0</v>
          </cell>
          <cell r="E324">
            <v>11</v>
          </cell>
          <cell r="F324" t="str">
            <v>Loja</v>
          </cell>
        </row>
        <row r="325">
          <cell r="A325" t="str">
            <v>Suporte Veicular Ventosa It-Blue</v>
          </cell>
          <cell r="B325">
            <v>1</v>
          </cell>
          <cell r="C325">
            <v>1</v>
          </cell>
          <cell r="D325">
            <v>0</v>
          </cell>
          <cell r="E325">
            <v>11</v>
          </cell>
          <cell r="F325" t="str">
            <v>Loja</v>
          </cell>
        </row>
        <row r="326">
          <cell r="A326" t="str">
            <v>T 3 Pontas</v>
          </cell>
          <cell r="B326">
            <v>1</v>
          </cell>
          <cell r="C326">
            <v>1</v>
          </cell>
          <cell r="D326">
            <v>0</v>
          </cell>
          <cell r="E326">
            <v>1.5</v>
          </cell>
          <cell r="F326" t="str">
            <v>Loja</v>
          </cell>
        </row>
        <row r="327">
          <cell r="A327" t="str">
            <v>Tapete Massageador</v>
          </cell>
          <cell r="B327">
            <v>1</v>
          </cell>
          <cell r="C327">
            <v>1</v>
          </cell>
          <cell r="D327">
            <v>0</v>
          </cell>
          <cell r="E327">
            <v>17</v>
          </cell>
          <cell r="F327" t="str">
            <v>Loja</v>
          </cell>
        </row>
        <row r="328">
          <cell r="A328" t="str">
            <v>Teclado Bright 0014</v>
          </cell>
          <cell r="B328">
            <v>1</v>
          </cell>
          <cell r="C328">
            <v>1</v>
          </cell>
          <cell r="D328">
            <v>0</v>
          </cell>
          <cell r="E328">
            <v>14</v>
          </cell>
          <cell r="F328" t="str">
            <v>Loja</v>
          </cell>
        </row>
        <row r="329">
          <cell r="A329" t="str">
            <v>Teclado Bring Usb Preto</v>
          </cell>
          <cell r="B329">
            <v>1</v>
          </cell>
          <cell r="C329">
            <v>1</v>
          </cell>
          <cell r="D329">
            <v>0</v>
          </cell>
          <cell r="E329">
            <v>15.5</v>
          </cell>
          <cell r="F329" t="str">
            <v>Loja</v>
          </cell>
        </row>
        <row r="330">
          <cell r="A330" t="str">
            <v>Teclado Semigamer</v>
          </cell>
          <cell r="B330">
            <v>1</v>
          </cell>
          <cell r="C330">
            <v>1</v>
          </cell>
          <cell r="D330">
            <v>0</v>
          </cell>
          <cell r="E330">
            <v>25</v>
          </cell>
          <cell r="F330" t="str">
            <v>Loja</v>
          </cell>
        </row>
        <row r="331">
          <cell r="A331" t="str">
            <v>Tripe Pequeno</v>
          </cell>
          <cell r="B331">
            <v>1</v>
          </cell>
          <cell r="C331">
            <v>1</v>
          </cell>
          <cell r="D331">
            <v>0</v>
          </cell>
          <cell r="E331">
            <v>4.99</v>
          </cell>
          <cell r="F331" t="str">
            <v>Loja</v>
          </cell>
        </row>
        <row r="332">
          <cell r="A332" t="str">
            <v>Triturador De Alimentos Manual Grande</v>
          </cell>
          <cell r="B332">
            <v>1</v>
          </cell>
          <cell r="C332">
            <v>1</v>
          </cell>
          <cell r="D332">
            <v>0</v>
          </cell>
          <cell r="E332">
            <v>11</v>
          </cell>
          <cell r="F332" t="str">
            <v>Loja</v>
          </cell>
        </row>
        <row r="333">
          <cell r="A333" t="str">
            <v>Tweeter Evok 400</v>
          </cell>
          <cell r="B333">
            <v>99</v>
          </cell>
          <cell r="C333">
            <v>98</v>
          </cell>
          <cell r="D333">
            <v>1</v>
          </cell>
          <cell r="F333" t="str">
            <v>Loja</v>
          </cell>
        </row>
        <row r="334">
          <cell r="A334" t="str">
            <v>Unitv V10</v>
          </cell>
          <cell r="B334">
            <v>1</v>
          </cell>
          <cell r="C334">
            <v>0</v>
          </cell>
          <cell r="D334">
            <v>1</v>
          </cell>
          <cell r="E334">
            <v>305</v>
          </cell>
          <cell r="F334" t="str">
            <v>Loja</v>
          </cell>
        </row>
        <row r="335">
          <cell r="A335" t="str">
            <v>Uno</v>
          </cell>
          <cell r="B335">
            <v>1</v>
          </cell>
          <cell r="C335">
            <v>0</v>
          </cell>
          <cell r="D335">
            <v>1</v>
          </cell>
          <cell r="E335">
            <v>6</v>
          </cell>
          <cell r="F335" t="str">
            <v>Loja</v>
          </cell>
        </row>
        <row r="336">
          <cell r="A336" t="str">
            <v>Xerox Preta</v>
          </cell>
          <cell r="B336">
            <v>1</v>
          </cell>
          <cell r="C336">
            <v>1</v>
          </cell>
          <cell r="D336">
            <v>0</v>
          </cell>
          <cell r="F336" t="str">
            <v>Loja</v>
          </cell>
        </row>
        <row r="337">
          <cell r="B337">
            <v>1</v>
          </cell>
          <cell r="C337">
            <v>1</v>
          </cell>
          <cell r="D337">
            <v>0</v>
          </cell>
          <cell r="F337" t="str">
            <v>Loja</v>
          </cell>
        </row>
        <row r="338">
          <cell r="A338" t="str">
            <v>Desentupidor</v>
          </cell>
          <cell r="B338">
            <v>99</v>
          </cell>
          <cell r="C338">
            <v>96</v>
          </cell>
          <cell r="D338">
            <v>3</v>
          </cell>
          <cell r="E338">
            <v>12.5</v>
          </cell>
          <cell r="F338" t="str">
            <v>Loja</v>
          </cell>
        </row>
        <row r="339">
          <cell r="B339">
            <v>1</v>
          </cell>
          <cell r="C339">
            <v>1</v>
          </cell>
          <cell r="D339">
            <v>0</v>
          </cell>
          <cell r="F339" t="str">
            <v>Loja</v>
          </cell>
        </row>
        <row r="340">
          <cell r="B340">
            <v>1</v>
          </cell>
          <cell r="C340">
            <v>1</v>
          </cell>
          <cell r="D340">
            <v>0</v>
          </cell>
          <cell r="F340" t="str">
            <v>Loja</v>
          </cell>
        </row>
        <row r="341">
          <cell r="B341">
            <v>1</v>
          </cell>
          <cell r="C341">
            <v>1</v>
          </cell>
          <cell r="D341">
            <v>0</v>
          </cell>
          <cell r="F341" t="str">
            <v>Loja</v>
          </cell>
        </row>
        <row r="342">
          <cell r="B342">
            <v>1</v>
          </cell>
          <cell r="C342">
            <v>1</v>
          </cell>
          <cell r="D342">
            <v>0</v>
          </cell>
          <cell r="F342" t="str">
            <v>Loja</v>
          </cell>
        </row>
        <row r="343">
          <cell r="B343">
            <v>1</v>
          </cell>
          <cell r="C343">
            <v>1</v>
          </cell>
          <cell r="D343">
            <v>0</v>
          </cell>
          <cell r="F343" t="str">
            <v>Loja</v>
          </cell>
        </row>
        <row r="344">
          <cell r="B344">
            <v>1</v>
          </cell>
          <cell r="C344">
            <v>1</v>
          </cell>
          <cell r="D344">
            <v>0</v>
          </cell>
          <cell r="F344" t="str">
            <v>Loja</v>
          </cell>
        </row>
        <row r="345">
          <cell r="B345">
            <v>1</v>
          </cell>
          <cell r="C345">
            <v>1</v>
          </cell>
          <cell r="D345">
            <v>0</v>
          </cell>
          <cell r="F345" t="str">
            <v>Loja</v>
          </cell>
        </row>
        <row r="346">
          <cell r="B346">
            <v>1</v>
          </cell>
          <cell r="C346">
            <v>1</v>
          </cell>
          <cell r="D346">
            <v>0</v>
          </cell>
          <cell r="F346" t="str">
            <v>Loja</v>
          </cell>
        </row>
        <row r="347">
          <cell r="B347">
            <v>1</v>
          </cell>
          <cell r="C347">
            <v>1</v>
          </cell>
          <cell r="D347">
            <v>0</v>
          </cell>
          <cell r="F347" t="str">
            <v>Loja</v>
          </cell>
        </row>
        <row r="348">
          <cell r="B348">
            <v>1</v>
          </cell>
          <cell r="C348">
            <v>1</v>
          </cell>
          <cell r="D348">
            <v>0</v>
          </cell>
          <cell r="F348" t="str">
            <v>Loja</v>
          </cell>
        </row>
        <row r="349">
          <cell r="B349">
            <v>1</v>
          </cell>
          <cell r="C349">
            <v>1</v>
          </cell>
          <cell r="D349">
            <v>0</v>
          </cell>
          <cell r="F349" t="str">
            <v>Loja</v>
          </cell>
        </row>
        <row r="350">
          <cell r="B350">
            <v>1</v>
          </cell>
          <cell r="C350">
            <v>1</v>
          </cell>
          <cell r="D350">
            <v>0</v>
          </cell>
          <cell r="F350" t="str">
            <v>Loja</v>
          </cell>
        </row>
        <row r="351">
          <cell r="B351">
            <v>1</v>
          </cell>
          <cell r="C351">
            <v>1</v>
          </cell>
          <cell r="D351">
            <v>0</v>
          </cell>
          <cell r="F351" t="str">
            <v>Loja</v>
          </cell>
        </row>
        <row r="352">
          <cell r="B352">
            <v>1</v>
          </cell>
          <cell r="C352">
            <v>1</v>
          </cell>
          <cell r="D352">
            <v>0</v>
          </cell>
          <cell r="F352" t="str">
            <v>Loja</v>
          </cell>
        </row>
        <row r="353">
          <cell r="B353">
            <v>1</v>
          </cell>
          <cell r="C353">
            <v>1</v>
          </cell>
          <cell r="D353">
            <v>0</v>
          </cell>
          <cell r="F353" t="str">
            <v>Loja</v>
          </cell>
        </row>
        <row r="354">
          <cell r="B354">
            <v>1</v>
          </cell>
          <cell r="C354">
            <v>1</v>
          </cell>
          <cell r="D354">
            <v>0</v>
          </cell>
          <cell r="F354" t="str">
            <v>Loja</v>
          </cell>
        </row>
        <row r="355">
          <cell r="B355">
            <v>1</v>
          </cell>
          <cell r="C355">
            <v>1</v>
          </cell>
          <cell r="D355">
            <v>0</v>
          </cell>
          <cell r="F355" t="str">
            <v>Loja</v>
          </cell>
        </row>
        <row r="356">
          <cell r="B356">
            <v>1</v>
          </cell>
          <cell r="C356">
            <v>1</v>
          </cell>
          <cell r="D356">
            <v>0</v>
          </cell>
          <cell r="F356" t="str">
            <v>Loja</v>
          </cell>
        </row>
        <row r="357">
          <cell r="B357">
            <v>1</v>
          </cell>
          <cell r="C357">
            <v>1</v>
          </cell>
          <cell r="D357">
            <v>0</v>
          </cell>
          <cell r="F357" t="str">
            <v>Loja</v>
          </cell>
        </row>
        <row r="358">
          <cell r="B358">
            <v>1</v>
          </cell>
          <cell r="C358">
            <v>1</v>
          </cell>
          <cell r="D358">
            <v>0</v>
          </cell>
          <cell r="F358" t="str">
            <v>Loja</v>
          </cell>
        </row>
        <row r="359">
          <cell r="B359">
            <v>1</v>
          </cell>
          <cell r="C359">
            <v>1</v>
          </cell>
          <cell r="D359">
            <v>0</v>
          </cell>
          <cell r="F359" t="str">
            <v>Loja</v>
          </cell>
        </row>
        <row r="360">
          <cell r="B360">
            <v>1</v>
          </cell>
          <cell r="C360">
            <v>1</v>
          </cell>
          <cell r="D360">
            <v>0</v>
          </cell>
          <cell r="F360" t="str">
            <v>Loja</v>
          </cell>
        </row>
        <row r="361">
          <cell r="B361">
            <v>1</v>
          </cell>
          <cell r="C361">
            <v>1</v>
          </cell>
          <cell r="D361">
            <v>0</v>
          </cell>
          <cell r="F361" t="str">
            <v>Loja</v>
          </cell>
        </row>
        <row r="362">
          <cell r="B362">
            <v>1</v>
          </cell>
          <cell r="C362">
            <v>1</v>
          </cell>
          <cell r="D362">
            <v>0</v>
          </cell>
          <cell r="F362" t="str">
            <v>Loja</v>
          </cell>
        </row>
        <row r="363">
          <cell r="B363">
            <v>1</v>
          </cell>
          <cell r="C363">
            <v>1</v>
          </cell>
          <cell r="D363">
            <v>0</v>
          </cell>
          <cell r="F363" t="str">
            <v>Loja</v>
          </cell>
        </row>
        <row r="364">
          <cell r="B364">
            <v>1</v>
          </cell>
          <cell r="C364">
            <v>1</v>
          </cell>
          <cell r="D364">
            <v>0</v>
          </cell>
          <cell r="F364" t="str">
            <v>Loja</v>
          </cell>
        </row>
        <row r="365">
          <cell r="B365">
            <v>1</v>
          </cell>
          <cell r="C365">
            <v>1</v>
          </cell>
          <cell r="D365">
            <v>0</v>
          </cell>
          <cell r="F365" t="str">
            <v>Loja</v>
          </cell>
        </row>
        <row r="366">
          <cell r="B366">
            <v>1</v>
          </cell>
          <cell r="C366">
            <v>1</v>
          </cell>
          <cell r="D366">
            <v>0</v>
          </cell>
          <cell r="F366" t="str">
            <v>Loja</v>
          </cell>
        </row>
        <row r="367">
          <cell r="B367">
            <v>1</v>
          </cell>
          <cell r="C367">
            <v>1</v>
          </cell>
          <cell r="D367">
            <v>0</v>
          </cell>
          <cell r="F367" t="str">
            <v>Loja</v>
          </cell>
        </row>
        <row r="368">
          <cell r="B368">
            <v>1</v>
          </cell>
          <cell r="C368">
            <v>1</v>
          </cell>
          <cell r="D368">
            <v>0</v>
          </cell>
          <cell r="F368" t="str">
            <v>Loja</v>
          </cell>
        </row>
        <row r="369">
          <cell r="B369">
            <v>1</v>
          </cell>
          <cell r="C369">
            <v>1</v>
          </cell>
          <cell r="D369">
            <v>0</v>
          </cell>
          <cell r="F369" t="str">
            <v>Loja</v>
          </cell>
        </row>
        <row r="370">
          <cell r="B370">
            <v>1</v>
          </cell>
          <cell r="C370">
            <v>1</v>
          </cell>
          <cell r="D370">
            <v>0</v>
          </cell>
          <cell r="F370" t="str">
            <v>Loja</v>
          </cell>
        </row>
        <row r="371">
          <cell r="B371">
            <v>1</v>
          </cell>
          <cell r="C371">
            <v>1</v>
          </cell>
          <cell r="D371">
            <v>0</v>
          </cell>
          <cell r="F371" t="str">
            <v>Loja</v>
          </cell>
        </row>
        <row r="372">
          <cell r="B372">
            <v>1</v>
          </cell>
          <cell r="C372">
            <v>1</v>
          </cell>
          <cell r="D372">
            <v>0</v>
          </cell>
          <cell r="F372" t="str">
            <v>Loja</v>
          </cell>
        </row>
        <row r="373">
          <cell r="B373">
            <v>1</v>
          </cell>
          <cell r="C373">
            <v>1</v>
          </cell>
          <cell r="D373">
            <v>0</v>
          </cell>
          <cell r="F373" t="str">
            <v>Loja</v>
          </cell>
        </row>
        <row r="374">
          <cell r="B374">
            <v>1</v>
          </cell>
          <cell r="C374">
            <v>1</v>
          </cell>
          <cell r="D374">
            <v>0</v>
          </cell>
          <cell r="F374" t="str">
            <v>Loja</v>
          </cell>
        </row>
        <row r="375">
          <cell r="B375">
            <v>1</v>
          </cell>
          <cell r="C375">
            <v>1</v>
          </cell>
          <cell r="D375">
            <v>0</v>
          </cell>
          <cell r="F375" t="str">
            <v>Loja</v>
          </cell>
        </row>
        <row r="376">
          <cell r="B376">
            <v>1</v>
          </cell>
          <cell r="C376">
            <v>1</v>
          </cell>
          <cell r="D376">
            <v>0</v>
          </cell>
          <cell r="F376" t="str">
            <v>Loja</v>
          </cell>
        </row>
        <row r="377">
          <cell r="B377">
            <v>1</v>
          </cell>
          <cell r="C377">
            <v>1</v>
          </cell>
          <cell r="D377">
            <v>0</v>
          </cell>
          <cell r="F377" t="str">
            <v>Loja</v>
          </cell>
        </row>
        <row r="378">
          <cell r="B378">
            <v>1</v>
          </cell>
          <cell r="C378">
            <v>1</v>
          </cell>
          <cell r="D378">
            <v>0</v>
          </cell>
          <cell r="F378" t="str">
            <v>Loja</v>
          </cell>
        </row>
        <row r="379">
          <cell r="B379">
            <v>1</v>
          </cell>
          <cell r="C379">
            <v>1</v>
          </cell>
          <cell r="D379">
            <v>0</v>
          </cell>
          <cell r="F379" t="str">
            <v>Loja</v>
          </cell>
        </row>
        <row r="380">
          <cell r="B380">
            <v>1</v>
          </cell>
          <cell r="C380">
            <v>1</v>
          </cell>
          <cell r="D380">
            <v>0</v>
          </cell>
          <cell r="F380" t="str">
            <v>Loja</v>
          </cell>
        </row>
        <row r="381">
          <cell r="B381">
            <v>1</v>
          </cell>
          <cell r="C381">
            <v>1</v>
          </cell>
          <cell r="D381">
            <v>0</v>
          </cell>
          <cell r="F381" t="str">
            <v>Loja</v>
          </cell>
        </row>
        <row r="382">
          <cell r="B382">
            <v>1</v>
          </cell>
          <cell r="C382">
            <v>1</v>
          </cell>
          <cell r="D382">
            <v>0</v>
          </cell>
          <cell r="F382" t="str">
            <v>Loja</v>
          </cell>
        </row>
        <row r="383">
          <cell r="B383">
            <v>1</v>
          </cell>
          <cell r="C383">
            <v>1</v>
          </cell>
          <cell r="D383">
            <v>0</v>
          </cell>
          <cell r="F383" t="str">
            <v>Loja</v>
          </cell>
        </row>
        <row r="384">
          <cell r="B384">
            <v>1</v>
          </cell>
          <cell r="C384">
            <v>1</v>
          </cell>
          <cell r="D384">
            <v>0</v>
          </cell>
          <cell r="F384" t="str">
            <v>Loja</v>
          </cell>
        </row>
        <row r="385">
          <cell r="B385">
            <v>1</v>
          </cell>
          <cell r="C385">
            <v>1</v>
          </cell>
          <cell r="D385">
            <v>0</v>
          </cell>
          <cell r="F385" t="str">
            <v>Loja</v>
          </cell>
        </row>
        <row r="386">
          <cell r="B386">
            <v>1</v>
          </cell>
          <cell r="C386">
            <v>1</v>
          </cell>
          <cell r="D386">
            <v>0</v>
          </cell>
          <cell r="F386" t="str">
            <v>Loja</v>
          </cell>
        </row>
        <row r="387">
          <cell r="B387">
            <v>1</v>
          </cell>
          <cell r="C387">
            <v>1</v>
          </cell>
          <cell r="D387">
            <v>0</v>
          </cell>
          <cell r="F387" t="str">
            <v>Loja</v>
          </cell>
        </row>
        <row r="388">
          <cell r="B388">
            <v>1</v>
          </cell>
          <cell r="C388">
            <v>1</v>
          </cell>
          <cell r="D388">
            <v>0</v>
          </cell>
          <cell r="F388" t="str">
            <v>Loja</v>
          </cell>
        </row>
        <row r="389">
          <cell r="B389">
            <v>1</v>
          </cell>
          <cell r="C389">
            <v>1</v>
          </cell>
          <cell r="D389">
            <v>0</v>
          </cell>
          <cell r="F389" t="str">
            <v>Loja</v>
          </cell>
        </row>
        <row r="390">
          <cell r="B390">
            <v>1</v>
          </cell>
          <cell r="C390">
            <v>1</v>
          </cell>
          <cell r="D390">
            <v>0</v>
          </cell>
          <cell r="F390" t="str">
            <v>Loja</v>
          </cell>
        </row>
        <row r="391">
          <cell r="B391">
            <v>1</v>
          </cell>
          <cell r="C391">
            <v>1</v>
          </cell>
          <cell r="D391">
            <v>0</v>
          </cell>
          <cell r="F391" t="str">
            <v>Loja</v>
          </cell>
        </row>
        <row r="392">
          <cell r="B392">
            <v>1</v>
          </cell>
          <cell r="C392">
            <v>1</v>
          </cell>
          <cell r="D392">
            <v>0</v>
          </cell>
          <cell r="F392" t="str">
            <v>Loja</v>
          </cell>
        </row>
        <row r="393">
          <cell r="B393">
            <v>1</v>
          </cell>
          <cell r="C393">
            <v>1</v>
          </cell>
          <cell r="D393">
            <v>0</v>
          </cell>
          <cell r="F393" t="str">
            <v>Loja</v>
          </cell>
        </row>
        <row r="394">
          <cell r="B394">
            <v>1</v>
          </cell>
          <cell r="C394">
            <v>1</v>
          </cell>
          <cell r="D394">
            <v>0</v>
          </cell>
          <cell r="F394" t="str">
            <v>Loja</v>
          </cell>
        </row>
        <row r="395">
          <cell r="B395">
            <v>1</v>
          </cell>
          <cell r="C395">
            <v>1</v>
          </cell>
          <cell r="D395">
            <v>0</v>
          </cell>
          <cell r="F395" t="str">
            <v>Loja</v>
          </cell>
        </row>
        <row r="396">
          <cell r="B396">
            <v>1</v>
          </cell>
          <cell r="C396">
            <v>1</v>
          </cell>
          <cell r="D396">
            <v>0</v>
          </cell>
          <cell r="F396" t="str">
            <v>Loja</v>
          </cell>
        </row>
        <row r="397">
          <cell r="B397">
            <v>1</v>
          </cell>
          <cell r="C397">
            <v>1</v>
          </cell>
          <cell r="D397">
            <v>0</v>
          </cell>
          <cell r="F397" t="str">
            <v>Loja</v>
          </cell>
        </row>
        <row r="398">
          <cell r="B398">
            <v>1</v>
          </cell>
          <cell r="C398">
            <v>1</v>
          </cell>
          <cell r="D398">
            <v>0</v>
          </cell>
          <cell r="F398" t="str">
            <v>Loja</v>
          </cell>
        </row>
        <row r="399">
          <cell r="B399">
            <v>1</v>
          </cell>
          <cell r="C399">
            <v>1</v>
          </cell>
          <cell r="D399">
            <v>0</v>
          </cell>
          <cell r="F399" t="str">
            <v>Loja</v>
          </cell>
        </row>
        <row r="400">
          <cell r="B400">
            <v>1</v>
          </cell>
          <cell r="C400">
            <v>1</v>
          </cell>
          <cell r="D400">
            <v>0</v>
          </cell>
          <cell r="F400" t="str">
            <v>Loja</v>
          </cell>
        </row>
        <row r="401">
          <cell r="B401">
            <v>1</v>
          </cell>
          <cell r="C401">
            <v>1</v>
          </cell>
          <cell r="D401">
            <v>0</v>
          </cell>
          <cell r="F401" t="str">
            <v>Loja</v>
          </cell>
        </row>
        <row r="402">
          <cell r="B402">
            <v>1</v>
          </cell>
          <cell r="C402">
            <v>1</v>
          </cell>
          <cell r="D402">
            <v>0</v>
          </cell>
          <cell r="F402" t="str">
            <v>Loja</v>
          </cell>
        </row>
        <row r="403">
          <cell r="B403">
            <v>1</v>
          </cell>
          <cell r="C403">
            <v>1</v>
          </cell>
          <cell r="D403">
            <v>0</v>
          </cell>
          <cell r="F403" t="str">
            <v>Loja</v>
          </cell>
        </row>
        <row r="404">
          <cell r="B404">
            <v>1</v>
          </cell>
          <cell r="C404">
            <v>1</v>
          </cell>
          <cell r="D404">
            <v>0</v>
          </cell>
          <cell r="F404" t="str">
            <v>Loja</v>
          </cell>
        </row>
        <row r="405">
          <cell r="B405">
            <v>1</v>
          </cell>
          <cell r="C405">
            <v>1</v>
          </cell>
          <cell r="D405">
            <v>0</v>
          </cell>
          <cell r="F405" t="str">
            <v>Loja</v>
          </cell>
        </row>
        <row r="406">
          <cell r="B406">
            <v>1</v>
          </cell>
          <cell r="C406">
            <v>1</v>
          </cell>
          <cell r="D406">
            <v>0</v>
          </cell>
          <cell r="F406" t="str">
            <v>Loja</v>
          </cell>
        </row>
        <row r="407">
          <cell r="B407">
            <v>1</v>
          </cell>
          <cell r="C407">
            <v>1</v>
          </cell>
          <cell r="D407">
            <v>0</v>
          </cell>
          <cell r="F407" t="str">
            <v>Loja</v>
          </cell>
        </row>
        <row r="408">
          <cell r="B408">
            <v>1</v>
          </cell>
          <cell r="C408">
            <v>1</v>
          </cell>
          <cell r="D408">
            <v>0</v>
          </cell>
          <cell r="F408" t="str">
            <v>Loja</v>
          </cell>
        </row>
        <row r="409">
          <cell r="B409">
            <v>1</v>
          </cell>
          <cell r="C409">
            <v>1</v>
          </cell>
          <cell r="D409">
            <v>0</v>
          </cell>
          <cell r="F409" t="str">
            <v>Loja</v>
          </cell>
        </row>
        <row r="410">
          <cell r="B410">
            <v>1</v>
          </cell>
          <cell r="C410">
            <v>1</v>
          </cell>
          <cell r="D410">
            <v>0</v>
          </cell>
          <cell r="F410" t="str">
            <v>Loja</v>
          </cell>
        </row>
        <row r="411">
          <cell r="B411">
            <v>1</v>
          </cell>
          <cell r="C411">
            <v>1</v>
          </cell>
          <cell r="D411">
            <v>0</v>
          </cell>
          <cell r="F411" t="str">
            <v>Loja</v>
          </cell>
        </row>
        <row r="412">
          <cell r="B412">
            <v>1</v>
          </cell>
          <cell r="C412">
            <v>1</v>
          </cell>
          <cell r="D412">
            <v>0</v>
          </cell>
          <cell r="F412" t="str">
            <v>Loja</v>
          </cell>
        </row>
        <row r="413">
          <cell r="B413">
            <v>1</v>
          </cell>
          <cell r="C413">
            <v>1</v>
          </cell>
          <cell r="D413">
            <v>0</v>
          </cell>
          <cell r="F413" t="str">
            <v>Loja</v>
          </cell>
        </row>
        <row r="414">
          <cell r="B414">
            <v>1</v>
          </cell>
          <cell r="C414">
            <v>1</v>
          </cell>
          <cell r="D414">
            <v>0</v>
          </cell>
          <cell r="F414" t="str">
            <v>Loja</v>
          </cell>
        </row>
        <row r="415">
          <cell r="B415">
            <v>1</v>
          </cell>
          <cell r="C415">
            <v>1</v>
          </cell>
          <cell r="D415">
            <v>0</v>
          </cell>
          <cell r="F415" t="str">
            <v>Loja</v>
          </cell>
        </row>
        <row r="416">
          <cell r="B416">
            <v>1</v>
          </cell>
          <cell r="C416">
            <v>1</v>
          </cell>
          <cell r="D416">
            <v>0</v>
          </cell>
          <cell r="F416" t="str">
            <v>Loja</v>
          </cell>
        </row>
        <row r="417">
          <cell r="B417">
            <v>1</v>
          </cell>
          <cell r="C417">
            <v>1</v>
          </cell>
          <cell r="D417">
            <v>0</v>
          </cell>
          <cell r="F417" t="str">
            <v>Loja</v>
          </cell>
        </row>
        <row r="418">
          <cell r="B418">
            <v>1</v>
          </cell>
          <cell r="C418">
            <v>1</v>
          </cell>
          <cell r="D418">
            <v>0</v>
          </cell>
          <cell r="F418" t="str">
            <v>Loja</v>
          </cell>
        </row>
        <row r="419">
          <cell r="B419">
            <v>1</v>
          </cell>
          <cell r="C419">
            <v>1</v>
          </cell>
          <cell r="D419">
            <v>0</v>
          </cell>
          <cell r="F419" t="str">
            <v>Loja</v>
          </cell>
        </row>
        <row r="420">
          <cell r="B420">
            <v>1</v>
          </cell>
          <cell r="C420">
            <v>1</v>
          </cell>
          <cell r="D420">
            <v>0</v>
          </cell>
          <cell r="F420" t="str">
            <v>Loja</v>
          </cell>
        </row>
        <row r="421">
          <cell r="B421">
            <v>1</v>
          </cell>
          <cell r="C421">
            <v>1</v>
          </cell>
          <cell r="D421">
            <v>0</v>
          </cell>
          <cell r="F421" t="str">
            <v>Loja</v>
          </cell>
        </row>
        <row r="422">
          <cell r="B422">
            <v>1</v>
          </cell>
          <cell r="C422">
            <v>1</v>
          </cell>
          <cell r="D422">
            <v>0</v>
          </cell>
          <cell r="F422" t="str">
            <v>Loja</v>
          </cell>
        </row>
        <row r="423">
          <cell r="B423">
            <v>1</v>
          </cell>
          <cell r="C423">
            <v>1</v>
          </cell>
          <cell r="D423">
            <v>0</v>
          </cell>
          <cell r="F423" t="str">
            <v>Loja</v>
          </cell>
        </row>
        <row r="424">
          <cell r="B424">
            <v>1</v>
          </cell>
          <cell r="C424">
            <v>1</v>
          </cell>
          <cell r="D424">
            <v>0</v>
          </cell>
          <cell r="F424" t="str">
            <v>Loja</v>
          </cell>
        </row>
        <row r="425">
          <cell r="B425">
            <v>1</v>
          </cell>
          <cell r="C425">
            <v>1</v>
          </cell>
          <cell r="D425">
            <v>0</v>
          </cell>
          <cell r="F425" t="str">
            <v>Loja</v>
          </cell>
        </row>
        <row r="426">
          <cell r="B426">
            <v>1</v>
          </cell>
          <cell r="C426">
            <v>1</v>
          </cell>
          <cell r="D426">
            <v>0</v>
          </cell>
          <cell r="F426" t="str">
            <v>Loja</v>
          </cell>
        </row>
        <row r="427">
          <cell r="B427">
            <v>1</v>
          </cell>
          <cell r="C427">
            <v>1</v>
          </cell>
          <cell r="D427">
            <v>0</v>
          </cell>
          <cell r="F427" t="str">
            <v>Loja</v>
          </cell>
        </row>
        <row r="428">
          <cell r="B428">
            <v>1</v>
          </cell>
          <cell r="C428">
            <v>1</v>
          </cell>
          <cell r="D428">
            <v>0</v>
          </cell>
          <cell r="F428" t="str">
            <v>Loja</v>
          </cell>
        </row>
        <row r="429">
          <cell r="B429">
            <v>1</v>
          </cell>
          <cell r="C429">
            <v>1</v>
          </cell>
          <cell r="D429">
            <v>0</v>
          </cell>
          <cell r="F429" t="str">
            <v>Loja</v>
          </cell>
        </row>
        <row r="430">
          <cell r="B430">
            <v>1</v>
          </cell>
          <cell r="C430">
            <v>1</v>
          </cell>
          <cell r="D430">
            <v>0</v>
          </cell>
          <cell r="F430" t="str">
            <v>Loja</v>
          </cell>
        </row>
        <row r="431">
          <cell r="B431">
            <v>1</v>
          </cell>
          <cell r="C431">
            <v>1</v>
          </cell>
          <cell r="D431">
            <v>0</v>
          </cell>
          <cell r="F431" t="str">
            <v>Loja</v>
          </cell>
        </row>
        <row r="432">
          <cell r="B432">
            <v>1</v>
          </cell>
          <cell r="C432">
            <v>1</v>
          </cell>
          <cell r="D432">
            <v>0</v>
          </cell>
          <cell r="F432" t="str">
            <v>Loja</v>
          </cell>
        </row>
        <row r="433">
          <cell r="B433">
            <v>1</v>
          </cell>
          <cell r="C433">
            <v>1</v>
          </cell>
          <cell r="D433">
            <v>0</v>
          </cell>
          <cell r="F433" t="str">
            <v>Loja</v>
          </cell>
        </row>
        <row r="434">
          <cell r="B434">
            <v>1</v>
          </cell>
          <cell r="C434">
            <v>1</v>
          </cell>
          <cell r="D434">
            <v>0</v>
          </cell>
          <cell r="F434" t="str">
            <v>Loja</v>
          </cell>
        </row>
        <row r="435">
          <cell r="B435">
            <v>1</v>
          </cell>
          <cell r="C435">
            <v>1</v>
          </cell>
          <cell r="D435">
            <v>0</v>
          </cell>
          <cell r="F435" t="str">
            <v>Loja</v>
          </cell>
        </row>
        <row r="436">
          <cell r="B436">
            <v>1</v>
          </cell>
          <cell r="C436">
            <v>1</v>
          </cell>
          <cell r="D436">
            <v>0</v>
          </cell>
          <cell r="F436" t="str">
            <v>Loja</v>
          </cell>
        </row>
        <row r="437">
          <cell r="B437">
            <v>1</v>
          </cell>
          <cell r="C437">
            <v>1</v>
          </cell>
          <cell r="D437">
            <v>0</v>
          </cell>
          <cell r="F437" t="str">
            <v>Loja</v>
          </cell>
        </row>
        <row r="438">
          <cell r="B438">
            <v>1</v>
          </cell>
          <cell r="C438">
            <v>1</v>
          </cell>
          <cell r="D438">
            <v>0</v>
          </cell>
          <cell r="F438" t="str">
            <v>Loja</v>
          </cell>
        </row>
        <row r="439">
          <cell r="B439">
            <v>1</v>
          </cell>
          <cell r="C439">
            <v>1</v>
          </cell>
          <cell r="D439">
            <v>0</v>
          </cell>
          <cell r="F439" t="str">
            <v>Loja</v>
          </cell>
        </row>
        <row r="440">
          <cell r="B440">
            <v>1</v>
          </cell>
          <cell r="C440">
            <v>1</v>
          </cell>
          <cell r="D440">
            <v>0</v>
          </cell>
          <cell r="F440" t="str">
            <v>Loja</v>
          </cell>
        </row>
        <row r="441">
          <cell r="B441">
            <v>1</v>
          </cell>
          <cell r="C441">
            <v>1</v>
          </cell>
          <cell r="D441">
            <v>0</v>
          </cell>
          <cell r="F441" t="str">
            <v>Loja</v>
          </cell>
        </row>
        <row r="442">
          <cell r="B442">
            <v>1</v>
          </cell>
          <cell r="C442">
            <v>1</v>
          </cell>
          <cell r="D442">
            <v>0</v>
          </cell>
          <cell r="F442" t="str">
            <v>Loja</v>
          </cell>
        </row>
        <row r="443">
          <cell r="B443">
            <v>1</v>
          </cell>
          <cell r="C443">
            <v>1</v>
          </cell>
          <cell r="D443">
            <v>0</v>
          </cell>
          <cell r="F443" t="str">
            <v>Loja</v>
          </cell>
        </row>
        <row r="444">
          <cell r="B444">
            <v>1</v>
          </cell>
          <cell r="C444">
            <v>1</v>
          </cell>
          <cell r="D444">
            <v>0</v>
          </cell>
          <cell r="F444" t="str">
            <v>Loja</v>
          </cell>
        </row>
        <row r="445">
          <cell r="B445">
            <v>1</v>
          </cell>
          <cell r="C445">
            <v>1</v>
          </cell>
          <cell r="D445">
            <v>0</v>
          </cell>
          <cell r="F445" t="str">
            <v>Loja</v>
          </cell>
        </row>
        <row r="446">
          <cell r="B446">
            <v>1</v>
          </cell>
          <cell r="C446">
            <v>1</v>
          </cell>
          <cell r="D446">
            <v>0</v>
          </cell>
          <cell r="F446" t="str">
            <v>Loja</v>
          </cell>
        </row>
        <row r="447">
          <cell r="B447">
            <v>1</v>
          </cell>
          <cell r="C447">
            <v>1</v>
          </cell>
          <cell r="D447">
            <v>0</v>
          </cell>
          <cell r="F447" t="str">
            <v>Loja</v>
          </cell>
        </row>
        <row r="448">
          <cell r="B448">
            <v>1</v>
          </cell>
          <cell r="C448">
            <v>1</v>
          </cell>
          <cell r="D448">
            <v>0</v>
          </cell>
          <cell r="F448" t="str">
            <v>Loja</v>
          </cell>
        </row>
        <row r="449">
          <cell r="B449">
            <v>1</v>
          </cell>
          <cell r="C449">
            <v>1</v>
          </cell>
          <cell r="D449">
            <v>0</v>
          </cell>
          <cell r="F449" t="str">
            <v>Loja</v>
          </cell>
        </row>
        <row r="450">
          <cell r="B450">
            <v>1</v>
          </cell>
          <cell r="C450">
            <v>1</v>
          </cell>
          <cell r="D450">
            <v>0</v>
          </cell>
          <cell r="F450" t="str">
            <v>Loja</v>
          </cell>
        </row>
        <row r="451">
          <cell r="B451">
            <v>1</v>
          </cell>
          <cell r="C451">
            <v>1</v>
          </cell>
          <cell r="D451">
            <v>0</v>
          </cell>
          <cell r="F451" t="str">
            <v>Loja</v>
          </cell>
        </row>
        <row r="452">
          <cell r="B452">
            <v>1</v>
          </cell>
          <cell r="C452">
            <v>1</v>
          </cell>
          <cell r="D452">
            <v>0</v>
          </cell>
          <cell r="F452" t="str">
            <v>Loja</v>
          </cell>
        </row>
        <row r="453">
          <cell r="B453">
            <v>1</v>
          </cell>
          <cell r="C453">
            <v>1</v>
          </cell>
          <cell r="D453">
            <v>0</v>
          </cell>
          <cell r="F453" t="str">
            <v>Loja</v>
          </cell>
        </row>
        <row r="454">
          <cell r="B454">
            <v>1</v>
          </cell>
          <cell r="C454">
            <v>1</v>
          </cell>
          <cell r="D454">
            <v>0</v>
          </cell>
          <cell r="F454" t="str">
            <v>Loja</v>
          </cell>
        </row>
        <row r="455">
          <cell r="B455">
            <v>1</v>
          </cell>
          <cell r="C455">
            <v>1</v>
          </cell>
          <cell r="D455">
            <v>0</v>
          </cell>
          <cell r="F455" t="str">
            <v>Loja</v>
          </cell>
        </row>
        <row r="456">
          <cell r="B456">
            <v>1</v>
          </cell>
          <cell r="C456">
            <v>1</v>
          </cell>
          <cell r="D456">
            <v>0</v>
          </cell>
          <cell r="F456" t="str">
            <v>Loja</v>
          </cell>
        </row>
        <row r="457">
          <cell r="B457">
            <v>1</v>
          </cell>
          <cell r="C457">
            <v>1</v>
          </cell>
          <cell r="D457">
            <v>0</v>
          </cell>
          <cell r="F457" t="str">
            <v>Loja</v>
          </cell>
        </row>
        <row r="458">
          <cell r="B458">
            <v>1</v>
          </cell>
          <cell r="C458">
            <v>1</v>
          </cell>
          <cell r="D458">
            <v>0</v>
          </cell>
          <cell r="F458" t="str">
            <v>Loja</v>
          </cell>
        </row>
        <row r="459">
          <cell r="B459">
            <v>1</v>
          </cell>
          <cell r="C459">
            <v>1</v>
          </cell>
          <cell r="D459">
            <v>0</v>
          </cell>
          <cell r="F459" t="str">
            <v>Loja</v>
          </cell>
        </row>
        <row r="460">
          <cell r="B460">
            <v>1</v>
          </cell>
          <cell r="C460">
            <v>1</v>
          </cell>
          <cell r="D460">
            <v>0</v>
          </cell>
          <cell r="F460" t="str">
            <v>Loja</v>
          </cell>
        </row>
        <row r="461">
          <cell r="B461">
            <v>1</v>
          </cell>
          <cell r="C461">
            <v>1</v>
          </cell>
          <cell r="D461">
            <v>0</v>
          </cell>
          <cell r="F461" t="str">
            <v>Loja</v>
          </cell>
        </row>
        <row r="462">
          <cell r="B462">
            <v>1</v>
          </cell>
          <cell r="C462">
            <v>1</v>
          </cell>
          <cell r="D462">
            <v>0</v>
          </cell>
          <cell r="F462" t="str">
            <v>Loja</v>
          </cell>
        </row>
        <row r="463">
          <cell r="B463">
            <v>1</v>
          </cell>
          <cell r="C463">
            <v>1</v>
          </cell>
          <cell r="D463">
            <v>0</v>
          </cell>
          <cell r="F463" t="str">
            <v>Loja</v>
          </cell>
        </row>
        <row r="464">
          <cell r="B464">
            <v>1</v>
          </cell>
          <cell r="C464">
            <v>1</v>
          </cell>
          <cell r="D464">
            <v>0</v>
          </cell>
          <cell r="F464" t="str">
            <v>Loja</v>
          </cell>
        </row>
        <row r="465">
          <cell r="B465">
            <v>1</v>
          </cell>
          <cell r="C465">
            <v>1</v>
          </cell>
          <cell r="D465">
            <v>0</v>
          </cell>
          <cell r="F465" t="str">
            <v>Loja</v>
          </cell>
        </row>
        <row r="466">
          <cell r="B466">
            <v>1</v>
          </cell>
          <cell r="C466">
            <v>1</v>
          </cell>
          <cell r="D466">
            <v>0</v>
          </cell>
          <cell r="F466" t="str">
            <v>Loja</v>
          </cell>
        </row>
        <row r="467">
          <cell r="B467">
            <v>1</v>
          </cell>
          <cell r="C467">
            <v>1</v>
          </cell>
          <cell r="D467">
            <v>0</v>
          </cell>
          <cell r="F467" t="str">
            <v>Loja</v>
          </cell>
        </row>
        <row r="468">
          <cell r="B468">
            <v>1</v>
          </cell>
          <cell r="C468">
            <v>1</v>
          </cell>
          <cell r="D468">
            <v>0</v>
          </cell>
          <cell r="F468" t="str">
            <v>Loja</v>
          </cell>
        </row>
        <row r="469">
          <cell r="B469">
            <v>1</v>
          </cell>
          <cell r="C469">
            <v>1</v>
          </cell>
          <cell r="D469">
            <v>0</v>
          </cell>
          <cell r="F469" t="str">
            <v>Loja</v>
          </cell>
        </row>
        <row r="470">
          <cell r="B470">
            <v>1</v>
          </cell>
          <cell r="C470">
            <v>1</v>
          </cell>
          <cell r="D470">
            <v>0</v>
          </cell>
          <cell r="F470" t="str">
            <v>Loja</v>
          </cell>
        </row>
        <row r="471">
          <cell r="B471">
            <v>1</v>
          </cell>
          <cell r="C471">
            <v>1</v>
          </cell>
          <cell r="D471">
            <v>0</v>
          </cell>
          <cell r="F471" t="str">
            <v>Loja</v>
          </cell>
        </row>
        <row r="472">
          <cell r="B472">
            <v>1</v>
          </cell>
          <cell r="C472">
            <v>1</v>
          </cell>
          <cell r="D472">
            <v>0</v>
          </cell>
          <cell r="F472" t="str">
            <v>Loja</v>
          </cell>
        </row>
        <row r="473">
          <cell r="B473">
            <v>1</v>
          </cell>
          <cell r="C473">
            <v>1</v>
          </cell>
          <cell r="D473">
            <v>0</v>
          </cell>
          <cell r="F473" t="str">
            <v>Loja</v>
          </cell>
        </row>
        <row r="474">
          <cell r="B474">
            <v>1</v>
          </cell>
          <cell r="C474">
            <v>1</v>
          </cell>
          <cell r="D474">
            <v>0</v>
          </cell>
          <cell r="F474" t="str">
            <v>Loja</v>
          </cell>
        </row>
        <row r="475">
          <cell r="B475">
            <v>1</v>
          </cell>
          <cell r="C475">
            <v>1</v>
          </cell>
          <cell r="D475">
            <v>0</v>
          </cell>
          <cell r="F475" t="str">
            <v>Loja</v>
          </cell>
        </row>
        <row r="476">
          <cell r="B476">
            <v>1</v>
          </cell>
          <cell r="C476">
            <v>1</v>
          </cell>
          <cell r="D476">
            <v>0</v>
          </cell>
          <cell r="F476" t="str">
            <v>Loja</v>
          </cell>
        </row>
        <row r="477">
          <cell r="B477">
            <v>1</v>
          </cell>
          <cell r="C477">
            <v>1</v>
          </cell>
          <cell r="D477">
            <v>0</v>
          </cell>
          <cell r="F477" t="str">
            <v>Loja</v>
          </cell>
        </row>
        <row r="478">
          <cell r="B478">
            <v>1</v>
          </cell>
          <cell r="C478">
            <v>1</v>
          </cell>
          <cell r="D478">
            <v>0</v>
          </cell>
          <cell r="F478" t="str">
            <v>Loja</v>
          </cell>
        </row>
        <row r="479">
          <cell r="B479">
            <v>1</v>
          </cell>
          <cell r="C479">
            <v>1</v>
          </cell>
          <cell r="D479">
            <v>0</v>
          </cell>
          <cell r="F479" t="str">
            <v>Loja</v>
          </cell>
        </row>
        <row r="480">
          <cell r="B480">
            <v>1</v>
          </cell>
          <cell r="C480">
            <v>1</v>
          </cell>
          <cell r="D480">
            <v>0</v>
          </cell>
          <cell r="F480" t="str">
            <v>Loja</v>
          </cell>
        </row>
        <row r="481">
          <cell r="B481">
            <v>1</v>
          </cell>
          <cell r="C481">
            <v>1</v>
          </cell>
          <cell r="D481">
            <v>0</v>
          </cell>
          <cell r="F481" t="str">
            <v>Loja</v>
          </cell>
        </row>
        <row r="482">
          <cell r="B482">
            <v>1</v>
          </cell>
          <cell r="C482">
            <v>1</v>
          </cell>
          <cell r="D482">
            <v>0</v>
          </cell>
          <cell r="F482" t="str">
            <v>Loja</v>
          </cell>
        </row>
        <row r="483">
          <cell r="B483">
            <v>1</v>
          </cell>
          <cell r="C483">
            <v>1</v>
          </cell>
          <cell r="D483">
            <v>0</v>
          </cell>
          <cell r="F483" t="str">
            <v>Loja</v>
          </cell>
        </row>
        <row r="484">
          <cell r="B484">
            <v>1</v>
          </cell>
          <cell r="C484">
            <v>1</v>
          </cell>
          <cell r="D484">
            <v>0</v>
          </cell>
          <cell r="F484" t="str">
            <v>Loja</v>
          </cell>
        </row>
        <row r="485">
          <cell r="B485">
            <v>1</v>
          </cell>
          <cell r="C485">
            <v>1</v>
          </cell>
          <cell r="D485">
            <v>0</v>
          </cell>
          <cell r="F485" t="str">
            <v>Loja</v>
          </cell>
        </row>
        <row r="486">
          <cell r="B486">
            <v>1</v>
          </cell>
          <cell r="C486">
            <v>1</v>
          </cell>
          <cell r="D486">
            <v>0</v>
          </cell>
          <cell r="F486" t="str">
            <v>Loja</v>
          </cell>
        </row>
        <row r="487">
          <cell r="B487">
            <v>1</v>
          </cell>
          <cell r="C487">
            <v>1</v>
          </cell>
          <cell r="D487">
            <v>0</v>
          </cell>
          <cell r="F487" t="str">
            <v>Loja</v>
          </cell>
        </row>
        <row r="488">
          <cell r="B488">
            <v>1</v>
          </cell>
          <cell r="C488">
            <v>1</v>
          </cell>
          <cell r="D488">
            <v>0</v>
          </cell>
          <cell r="F488" t="str">
            <v>Loja</v>
          </cell>
        </row>
        <row r="489">
          <cell r="B489">
            <v>1</v>
          </cell>
          <cell r="C489">
            <v>1</v>
          </cell>
          <cell r="D489">
            <v>0</v>
          </cell>
          <cell r="F489" t="str">
            <v>Loja</v>
          </cell>
        </row>
        <row r="490">
          <cell r="B490">
            <v>1</v>
          </cell>
          <cell r="C490">
            <v>1</v>
          </cell>
          <cell r="D490">
            <v>0</v>
          </cell>
          <cell r="F490" t="str">
            <v>Loja</v>
          </cell>
        </row>
        <row r="491">
          <cell r="B491">
            <v>1</v>
          </cell>
          <cell r="C491">
            <v>1</v>
          </cell>
          <cell r="D491">
            <v>0</v>
          </cell>
          <cell r="F491" t="str">
            <v>Loja</v>
          </cell>
        </row>
        <row r="492">
          <cell r="B492">
            <v>1</v>
          </cell>
          <cell r="C492">
            <v>1</v>
          </cell>
          <cell r="D492">
            <v>0</v>
          </cell>
          <cell r="F492" t="str">
            <v>Loja</v>
          </cell>
        </row>
        <row r="493">
          <cell r="B493">
            <v>1</v>
          </cell>
          <cell r="C493">
            <v>1</v>
          </cell>
          <cell r="D493">
            <v>0</v>
          </cell>
          <cell r="F493" t="str">
            <v>Loja</v>
          </cell>
        </row>
        <row r="494">
          <cell r="B494">
            <v>1</v>
          </cell>
          <cell r="C494">
            <v>1</v>
          </cell>
          <cell r="D494">
            <v>0</v>
          </cell>
          <cell r="F494" t="str">
            <v>Loja</v>
          </cell>
        </row>
        <row r="495">
          <cell r="B495">
            <v>1</v>
          </cell>
          <cell r="C495">
            <v>1</v>
          </cell>
          <cell r="D495">
            <v>0</v>
          </cell>
          <cell r="F495" t="str">
            <v>Loja</v>
          </cell>
        </row>
        <row r="496">
          <cell r="B496">
            <v>1</v>
          </cell>
          <cell r="C496">
            <v>1</v>
          </cell>
          <cell r="D496">
            <v>0</v>
          </cell>
          <cell r="F496" t="str">
            <v>Loja</v>
          </cell>
        </row>
        <row r="497">
          <cell r="B497">
            <v>1</v>
          </cell>
          <cell r="C497">
            <v>1</v>
          </cell>
          <cell r="D497">
            <v>0</v>
          </cell>
          <cell r="F497" t="str">
            <v>Loja</v>
          </cell>
        </row>
        <row r="498">
          <cell r="B498">
            <v>1</v>
          </cell>
          <cell r="C498">
            <v>1</v>
          </cell>
          <cell r="D498">
            <v>0</v>
          </cell>
          <cell r="F498" t="str">
            <v>Loja</v>
          </cell>
        </row>
        <row r="499">
          <cell r="B499">
            <v>1</v>
          </cell>
          <cell r="C499">
            <v>1</v>
          </cell>
          <cell r="D499">
            <v>0</v>
          </cell>
          <cell r="F499" t="str">
            <v>Loja</v>
          </cell>
        </row>
        <row r="500">
          <cell r="B500">
            <v>1</v>
          </cell>
          <cell r="C500">
            <v>1</v>
          </cell>
          <cell r="D500">
            <v>0</v>
          </cell>
          <cell r="F500" t="str">
            <v>Loja</v>
          </cell>
        </row>
        <row r="501">
          <cell r="B501">
            <v>1</v>
          </cell>
          <cell r="C501">
            <v>1</v>
          </cell>
          <cell r="D501">
            <v>0</v>
          </cell>
          <cell r="F501" t="str">
            <v>Loja</v>
          </cell>
        </row>
        <row r="502">
          <cell r="B502">
            <v>1</v>
          </cell>
          <cell r="C502">
            <v>1</v>
          </cell>
          <cell r="D502">
            <v>0</v>
          </cell>
          <cell r="F502" t="str">
            <v>Loja</v>
          </cell>
        </row>
        <row r="503">
          <cell r="B503">
            <v>1</v>
          </cell>
          <cell r="C503">
            <v>1</v>
          </cell>
          <cell r="D503">
            <v>0</v>
          </cell>
          <cell r="F503" t="str">
            <v>Loja</v>
          </cell>
        </row>
        <row r="504">
          <cell r="B504">
            <v>1</v>
          </cell>
          <cell r="C504">
            <v>1</v>
          </cell>
          <cell r="D504">
            <v>0</v>
          </cell>
          <cell r="F504" t="str">
            <v>Loja</v>
          </cell>
        </row>
        <row r="505">
          <cell r="B505">
            <v>1</v>
          </cell>
          <cell r="C505">
            <v>1</v>
          </cell>
          <cell r="D505">
            <v>0</v>
          </cell>
          <cell r="F505" t="str">
            <v>Loja</v>
          </cell>
        </row>
        <row r="506">
          <cell r="B506">
            <v>1</v>
          </cell>
          <cell r="C506">
            <v>1</v>
          </cell>
          <cell r="D506">
            <v>0</v>
          </cell>
          <cell r="F506" t="str">
            <v>Loja</v>
          </cell>
        </row>
        <row r="507">
          <cell r="B507">
            <v>1</v>
          </cell>
          <cell r="C507">
            <v>1</v>
          </cell>
          <cell r="D507">
            <v>0</v>
          </cell>
          <cell r="F507" t="str">
            <v>Loja</v>
          </cell>
        </row>
        <row r="508">
          <cell r="B508">
            <v>1</v>
          </cell>
          <cell r="C508">
            <v>1</v>
          </cell>
          <cell r="D508">
            <v>0</v>
          </cell>
          <cell r="F508" t="str">
            <v>Loja</v>
          </cell>
        </row>
        <row r="509">
          <cell r="B509">
            <v>1</v>
          </cell>
          <cell r="C509">
            <v>1</v>
          </cell>
          <cell r="D509">
            <v>0</v>
          </cell>
          <cell r="F509" t="str">
            <v>Loja</v>
          </cell>
        </row>
        <row r="510">
          <cell r="B510">
            <v>1</v>
          </cell>
          <cell r="C510">
            <v>1</v>
          </cell>
          <cell r="D510">
            <v>0</v>
          </cell>
          <cell r="F510" t="str">
            <v>Loja</v>
          </cell>
        </row>
        <row r="511">
          <cell r="B511">
            <v>1</v>
          </cell>
          <cell r="C511">
            <v>1</v>
          </cell>
          <cell r="D511">
            <v>0</v>
          </cell>
          <cell r="F511" t="str">
            <v>Loja</v>
          </cell>
        </row>
        <row r="512">
          <cell r="B512">
            <v>1</v>
          </cell>
          <cell r="C512">
            <v>1</v>
          </cell>
          <cell r="D512">
            <v>0</v>
          </cell>
          <cell r="F512" t="str">
            <v>Loja</v>
          </cell>
        </row>
        <row r="513">
          <cell r="B513">
            <v>1</v>
          </cell>
          <cell r="C513">
            <v>1</v>
          </cell>
          <cell r="D513">
            <v>0</v>
          </cell>
          <cell r="F513" t="str">
            <v>Loja</v>
          </cell>
        </row>
        <row r="514">
          <cell r="B514">
            <v>1</v>
          </cell>
          <cell r="C514">
            <v>1</v>
          </cell>
          <cell r="D514">
            <v>0</v>
          </cell>
          <cell r="F514" t="str">
            <v>Loja</v>
          </cell>
        </row>
        <row r="515">
          <cell r="B515">
            <v>1</v>
          </cell>
          <cell r="C515">
            <v>1</v>
          </cell>
          <cell r="D515">
            <v>0</v>
          </cell>
          <cell r="F515" t="str">
            <v>Loja</v>
          </cell>
        </row>
        <row r="516">
          <cell r="B516">
            <v>1</v>
          </cell>
          <cell r="C516">
            <v>1</v>
          </cell>
          <cell r="D516">
            <v>0</v>
          </cell>
          <cell r="F516" t="str">
            <v>Loja</v>
          </cell>
        </row>
        <row r="517">
          <cell r="B517">
            <v>1</v>
          </cell>
          <cell r="C517">
            <v>1</v>
          </cell>
          <cell r="D517">
            <v>0</v>
          </cell>
          <cell r="F517" t="str">
            <v>Loja</v>
          </cell>
        </row>
        <row r="518">
          <cell r="B518">
            <v>1</v>
          </cell>
          <cell r="C518">
            <v>1</v>
          </cell>
          <cell r="D518">
            <v>0</v>
          </cell>
          <cell r="F518" t="str">
            <v>Loja</v>
          </cell>
        </row>
        <row r="519">
          <cell r="B519">
            <v>1</v>
          </cell>
          <cell r="C519">
            <v>1</v>
          </cell>
          <cell r="D519">
            <v>0</v>
          </cell>
          <cell r="F519" t="str">
            <v>Loja</v>
          </cell>
        </row>
        <row r="520">
          <cell r="B520">
            <v>1</v>
          </cell>
          <cell r="C520">
            <v>1</v>
          </cell>
          <cell r="D520">
            <v>0</v>
          </cell>
          <cell r="F520" t="str">
            <v>Loja</v>
          </cell>
        </row>
        <row r="521">
          <cell r="B521">
            <v>1</v>
          </cell>
          <cell r="C521">
            <v>1</v>
          </cell>
          <cell r="D521">
            <v>0</v>
          </cell>
          <cell r="F521" t="str">
            <v>Loja</v>
          </cell>
        </row>
        <row r="522">
          <cell r="B522">
            <v>1</v>
          </cell>
          <cell r="C522">
            <v>1</v>
          </cell>
          <cell r="D522">
            <v>0</v>
          </cell>
          <cell r="F522" t="str">
            <v>Loja</v>
          </cell>
        </row>
        <row r="523">
          <cell r="B523">
            <v>1</v>
          </cell>
          <cell r="C523">
            <v>1</v>
          </cell>
          <cell r="D523">
            <v>0</v>
          </cell>
          <cell r="F523" t="str">
            <v>Loja</v>
          </cell>
        </row>
        <row r="524">
          <cell r="B524">
            <v>1</v>
          </cell>
          <cell r="C524">
            <v>1</v>
          </cell>
          <cell r="D524">
            <v>0</v>
          </cell>
          <cell r="F524" t="str">
            <v>Loja</v>
          </cell>
        </row>
        <row r="525">
          <cell r="B525">
            <v>1</v>
          </cell>
          <cell r="C525">
            <v>1</v>
          </cell>
          <cell r="D525">
            <v>0</v>
          </cell>
          <cell r="F525" t="str">
            <v>Loja</v>
          </cell>
        </row>
        <row r="526">
          <cell r="B526">
            <v>1</v>
          </cell>
          <cell r="C526">
            <v>1</v>
          </cell>
          <cell r="D526">
            <v>0</v>
          </cell>
          <cell r="F526" t="str">
            <v>Loja</v>
          </cell>
        </row>
        <row r="527">
          <cell r="B527">
            <v>1</v>
          </cell>
          <cell r="C527">
            <v>1</v>
          </cell>
          <cell r="D527">
            <v>0</v>
          </cell>
          <cell r="F527" t="str">
            <v>Loja</v>
          </cell>
        </row>
        <row r="528">
          <cell r="B528">
            <v>1</v>
          </cell>
          <cell r="C528">
            <v>1</v>
          </cell>
          <cell r="D528">
            <v>0</v>
          </cell>
          <cell r="F528" t="str">
            <v>Loja</v>
          </cell>
        </row>
        <row r="529">
          <cell r="B529">
            <v>1</v>
          </cell>
          <cell r="C529">
            <v>1</v>
          </cell>
          <cell r="D529">
            <v>0</v>
          </cell>
          <cell r="F529" t="str">
            <v>Loja</v>
          </cell>
        </row>
        <row r="530">
          <cell r="B530">
            <v>1</v>
          </cell>
          <cell r="C530">
            <v>1</v>
          </cell>
          <cell r="D530">
            <v>0</v>
          </cell>
          <cell r="F530" t="str">
            <v>Loja</v>
          </cell>
        </row>
        <row r="531">
          <cell r="B531">
            <v>1</v>
          </cell>
          <cell r="C531">
            <v>1</v>
          </cell>
          <cell r="D531">
            <v>0</v>
          </cell>
          <cell r="F531" t="str">
            <v>Loja</v>
          </cell>
        </row>
        <row r="532">
          <cell r="B532">
            <v>1</v>
          </cell>
          <cell r="C532">
            <v>1</v>
          </cell>
          <cell r="D532">
            <v>0</v>
          </cell>
          <cell r="F532" t="str">
            <v>Loja</v>
          </cell>
        </row>
        <row r="533">
          <cell r="B533">
            <v>1</v>
          </cell>
          <cell r="C533">
            <v>1</v>
          </cell>
          <cell r="D533">
            <v>0</v>
          </cell>
          <cell r="F533" t="str">
            <v>Loja</v>
          </cell>
        </row>
        <row r="534">
          <cell r="B534">
            <v>1</v>
          </cell>
          <cell r="C534">
            <v>1</v>
          </cell>
          <cell r="D534">
            <v>0</v>
          </cell>
          <cell r="F534" t="str">
            <v>Loja</v>
          </cell>
        </row>
        <row r="535">
          <cell r="B535">
            <v>1</v>
          </cell>
          <cell r="C535">
            <v>1</v>
          </cell>
          <cell r="D535">
            <v>0</v>
          </cell>
          <cell r="F535" t="str">
            <v>Loja</v>
          </cell>
        </row>
        <row r="536">
          <cell r="B536">
            <v>1</v>
          </cell>
          <cell r="C536">
            <v>1</v>
          </cell>
          <cell r="D536">
            <v>0</v>
          </cell>
          <cell r="F536" t="str">
            <v>Loja</v>
          </cell>
        </row>
        <row r="537">
          <cell r="B537">
            <v>1</v>
          </cell>
          <cell r="C537">
            <v>1</v>
          </cell>
          <cell r="D537">
            <v>0</v>
          </cell>
          <cell r="F537" t="str">
            <v>Loja</v>
          </cell>
        </row>
        <row r="538">
          <cell r="B538">
            <v>1</v>
          </cell>
          <cell r="C538">
            <v>1</v>
          </cell>
          <cell r="D538">
            <v>0</v>
          </cell>
          <cell r="F538" t="str">
            <v>Loja</v>
          </cell>
        </row>
        <row r="539">
          <cell r="B539">
            <v>1</v>
          </cell>
          <cell r="C539">
            <v>1</v>
          </cell>
          <cell r="D539">
            <v>0</v>
          </cell>
          <cell r="F539" t="str">
            <v>Loja</v>
          </cell>
        </row>
        <row r="540">
          <cell r="B540">
            <v>1</v>
          </cell>
          <cell r="C540">
            <v>1</v>
          </cell>
          <cell r="D540">
            <v>0</v>
          </cell>
          <cell r="F540" t="str">
            <v>Loja</v>
          </cell>
        </row>
        <row r="541">
          <cell r="B541">
            <v>1</v>
          </cell>
          <cell r="C541">
            <v>1</v>
          </cell>
          <cell r="D541">
            <v>0</v>
          </cell>
          <cell r="F541" t="str">
            <v>Loja</v>
          </cell>
        </row>
        <row r="542">
          <cell r="B542">
            <v>1</v>
          </cell>
          <cell r="C542">
            <v>1</v>
          </cell>
          <cell r="D542">
            <v>0</v>
          </cell>
          <cell r="F542" t="str">
            <v>Loja</v>
          </cell>
        </row>
        <row r="543">
          <cell r="B543">
            <v>1</v>
          </cell>
          <cell r="C543">
            <v>1</v>
          </cell>
          <cell r="D543">
            <v>0</v>
          </cell>
          <cell r="F543" t="str">
            <v>Loja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2" displayName="Table_2" ref="A1:P846">
  <autoFilter ref="A1:P846" xr:uid="{00000000-0009-0000-0100-000001000000}"/>
  <tableColumns count="16">
    <tableColumn id="1" xr3:uid="{00000000-0010-0000-0000-000001000000}" name="Mês" totalsRowDxfId="144"/>
    <tableColumn id="2" xr3:uid="{00000000-0010-0000-0000-000002000000}" name="Data" totalsRowDxfId="143"/>
    <tableColumn id="3" xr3:uid="{00000000-0010-0000-0000-000003000000}" name="Produto" totalsRowDxfId="142"/>
    <tableColumn id="4" xr3:uid="{00000000-0010-0000-0000-000004000000}" name="QT" totalsRowDxfId="141"/>
    <tableColumn id="5" xr3:uid="{00000000-0010-0000-0000-000005000000}" name="Cliente" totalsRowDxfId="140"/>
    <tableColumn id="6" xr3:uid="{00000000-0010-0000-0000-000006000000}" name="Vendedor" totalsRowDxfId="139"/>
    <tableColumn id="7" xr3:uid="{00000000-0010-0000-0000-000007000000}" name="Custo _x000a_Un" totalsRowDxfId="138"/>
    <tableColumn id="8" xr3:uid="{00000000-0010-0000-0000-000008000000}" name="Valor gasto" totalsRowDxfId="137"/>
    <tableColumn id="9" xr3:uid="{00000000-0010-0000-0000-000009000000}" name="Valor uni venda" totalsRowDxfId="136"/>
    <tableColumn id="10" xr3:uid="{00000000-0010-0000-0000-00000A000000}" name="Valor da _x000a_venda" totalsRowDxfId="135"/>
    <tableColumn id="11" xr3:uid="{00000000-0010-0000-0000-00000B000000}" name="Tipo de venda" totalsRowDxfId="134"/>
    <tableColumn id="12" xr3:uid="{00000000-0010-0000-0000-00000C000000}" name="Valor _x000a_CNPJ" totalsRowDxfId="133"/>
    <tableColumn id="13" xr3:uid="{00000000-0010-0000-0000-00000D000000}" name="Lucro" totalsRowDxfId="132"/>
    <tableColumn id="14" xr3:uid="{00000000-0010-0000-0000-00000E000000}" name="Forma de pagam"/>
    <tableColumn id="15" xr3:uid="{00000000-0010-0000-0000-00000F000000}" name="% Lucro" totalsRowDxfId="131"/>
    <tableColumn id="16" xr3:uid="{00000000-0010-0000-0000-000010000000}" name="Recebido _x000a_loja" totalsRowDxfId="130"/>
  </tableColumns>
  <tableStyleInfo name="Vend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4" displayName="Table_24" ref="A1:P922">
  <autoFilter ref="A1:P922" xr:uid="{00000000-0009-0000-0100-000002000000}"/>
  <tableColumns count="16">
    <tableColumn id="1" xr3:uid="{00000000-0010-0000-0100-000001000000}" name="Mês" dataDxfId="129" totalsRowDxfId="128"/>
    <tableColumn id="2" xr3:uid="{00000000-0010-0000-0100-000002000000}" name="Data" dataDxfId="127" totalsRowDxfId="126"/>
    <tableColumn id="3" xr3:uid="{00000000-0010-0000-0100-000003000000}" name="Produto" dataDxfId="125" totalsRowDxfId="124"/>
    <tableColumn id="4" xr3:uid="{00000000-0010-0000-0100-000004000000}" name="QT" dataDxfId="123" totalsRowDxfId="122"/>
    <tableColumn id="5" xr3:uid="{00000000-0010-0000-0100-000005000000}" name="Cliente" dataDxfId="121" totalsRowDxfId="120"/>
    <tableColumn id="6" xr3:uid="{00000000-0010-0000-0100-000006000000}" name="Vendedor" dataDxfId="119" totalsRowDxfId="118"/>
    <tableColumn id="7" xr3:uid="{00000000-0010-0000-0100-000007000000}" name="Custo _x000a_Un" dataDxfId="117" totalsRowDxfId="116"/>
    <tableColumn id="8" xr3:uid="{00000000-0010-0000-0100-000008000000}" name="Valor gasto" dataDxfId="115" totalsRowDxfId="114"/>
    <tableColumn id="9" xr3:uid="{00000000-0010-0000-0100-000009000000}" name="Valor uni venda" dataDxfId="113" totalsRowDxfId="112"/>
    <tableColumn id="10" xr3:uid="{00000000-0010-0000-0100-00000A000000}" name="Valor da _x000a_venda" dataDxfId="111" totalsRowDxfId="110"/>
    <tableColumn id="11" xr3:uid="{00000000-0010-0000-0100-00000B000000}" name="Tipo de venda" dataDxfId="109" totalsRowDxfId="108"/>
    <tableColumn id="12" xr3:uid="{00000000-0010-0000-0100-00000C000000}" name="Valor _x000a_CNPJ" dataDxfId="107" totalsRowDxfId="106"/>
    <tableColumn id="13" xr3:uid="{00000000-0010-0000-0100-00000D000000}" name="Lucro" dataDxfId="105" totalsRowDxfId="104"/>
    <tableColumn id="14" xr3:uid="{00000000-0010-0000-0100-00000E000000}" name="Forma de pagam" dataDxfId="103"/>
    <tableColumn id="15" xr3:uid="{00000000-0010-0000-0100-00000F000000}" name="% Lucro" dataDxfId="102" totalsRowDxfId="101"/>
    <tableColumn id="16" xr3:uid="{00000000-0010-0000-0100-000010000000}" name="Recebido _x000a_loja" dataDxfId="100" totalsRowDxfId="99"/>
  </tableColumns>
  <tableStyleInfo name="Venda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246" displayName="Table_246" ref="A1:O1111" totalsRowCount="1">
  <autoFilter ref="A1:O1110" xr:uid="{00000000-0009-0000-0100-000003000000}"/>
  <tableColumns count="15">
    <tableColumn id="1" xr3:uid="{00000000-0010-0000-0200-000001000000}" name="Mês" totalsRowLabel="Total" totalsRowDxfId="98">
      <calculatedColumnFormula>IF(Table_246[[#This Row],[Data]]="","",MONTH(Table_246[[#This Row],[Data]]))</calculatedColumnFormula>
    </tableColumn>
    <tableColumn id="2" xr3:uid="{00000000-0010-0000-0200-000002000000}" name="Data" totalsRowDxfId="97"/>
    <tableColumn id="3" xr3:uid="{00000000-0010-0000-0200-000003000000}" name="Produto" totalsRowDxfId="96"/>
    <tableColumn id="4" xr3:uid="{00000000-0010-0000-0200-000004000000}" name="QT" totalsRowDxfId="95"/>
    <tableColumn id="5" xr3:uid="{00000000-0010-0000-0200-000005000000}" name="Cliente" totalsRowDxfId="94"/>
    <tableColumn id="6" xr3:uid="{00000000-0010-0000-0200-000006000000}" name="Vendedor" totalsRowDxfId="93"/>
    <tableColumn id="7" xr3:uid="{00000000-0010-0000-0200-000007000000}" name="Custo _x000a_Un" totalsRowDxfId="92"/>
    <tableColumn id="8" xr3:uid="{00000000-0010-0000-0200-000008000000}" name="Valor gasto" totalsRowDxfId="91"/>
    <tableColumn id="9" xr3:uid="{00000000-0010-0000-0200-000009000000}" name="Valor uni venda" totalsRowDxfId="90"/>
    <tableColumn id="11" xr3:uid="{430E0B0F-DC20-445A-936F-40FD00A56033}" name="entrada" dataDxfId="89" totalsRowDxfId="88">
      <calculatedColumnFormula>I2*D2</calculatedColumnFormula>
    </tableColumn>
    <tableColumn id="10" xr3:uid="{00000000-0010-0000-0200-00000A000000}" name="Valor da _x000a_venda" totalsRowDxfId="87"/>
    <tableColumn id="13" xr3:uid="{00000000-0010-0000-0200-00000D000000}" name="Lucro" totalsRowDxfId="86"/>
    <tableColumn id="15" xr3:uid="{00000000-0010-0000-0200-00000F000000}" name="Coluna2" dataDxfId="85" totalsRowDxfId="84">
      <calculatedColumnFormula>IFERROR(L2/K2, 0)</calculatedColumnFormula>
    </tableColumn>
    <tableColumn id="16" xr3:uid="{00000000-0010-0000-0200-000010000000}" name="Recebido _x000a_loja" totalsRowDxfId="83"/>
    <tableColumn id="17" xr3:uid="{00000000-0010-0000-0200-000011000000}" name="Coluna1" totalsRowFunction="custom" dataDxfId="82">
      <calculatedColumnFormula>IF([1]!Table_246[[#This Row],[Coluna2]]&gt;0.5, "🔥 Excelente", IF([1]!Table_246[[#This Row],[Coluna2]]&gt;0.4, "👍 Bom", "⚠️ Baixo"))</calculatedColumnFormula>
      <totalsRowFormula>SUBTOTAL(103,Table_246[Coluna1])</totalsRowFormula>
    </tableColumn>
  </tableColumns>
  <tableStyleInfo name="Venda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1" displayName="Table_1" ref="A1:E543">
  <autoFilter ref="A1:E543" xr:uid="{00000000-0009-0000-0100-000004000000}"/>
  <tableColumns count="5">
    <tableColumn id="1" xr3:uid="{00000000-0010-0000-0300-000001000000}" name="Produtos" dataDxfId="81"/>
    <tableColumn id="2" xr3:uid="{00000000-0010-0000-0300-000002000000}" name="Compras"/>
    <tableColumn id="3" xr3:uid="{00000000-0010-0000-0300-000003000000}" name="Estoque">
      <calculatedColumnFormula>B2-D2</calculatedColumnFormula>
    </tableColumn>
    <tableColumn id="4" xr3:uid="{00000000-0010-0000-0300-000004000000}" name="Vendas" dataDxfId="80">
      <calculatedColumnFormula>COUNTIF(Table_246[Produto],Table_1[[#This Row],[Produtos]])</calculatedColumnFormula>
    </tableColumn>
    <tableColumn id="5" xr3:uid="{00000000-0010-0000-0300-000005000000}" name="valor"/>
  </tableColumns>
  <tableStyleInfo name="PRO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"/>
      </a:majorFont>
      <a:minorFont>
        <a:latin typeface="Calibri"/>
        <a:ea typeface="Calibr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A2C18-5453-DE6D-E278-76D98E3F9448}">
  <dimension ref="A1:P991"/>
  <sheetViews>
    <sheetView showGridLines="0" topLeftCell="A754" workbookViewId="0">
      <selection activeCell="A759" sqref="A759"/>
    </sheetView>
  </sheetViews>
  <sheetFormatPr defaultColWidth="14.42578125" defaultRowHeight="15" customHeight="1" outlineLevelRow="2"/>
  <cols>
    <col min="1" max="1" width="7" customWidth="1"/>
    <col min="2" max="2" width="11" customWidth="1"/>
    <col min="3" max="3" width="42.5703125" customWidth="1"/>
    <col min="4" max="4" width="8.85546875" customWidth="1"/>
    <col min="5" max="5" width="14.140625" customWidth="1"/>
    <col min="6" max="6" width="13" customWidth="1"/>
    <col min="7" max="7" width="12.5703125" customWidth="1"/>
    <col min="8" max="8" width="12.140625" customWidth="1"/>
    <col min="9" max="9" width="12.42578125" customWidth="1"/>
    <col min="10" max="10" width="15.28515625" customWidth="1"/>
    <col min="11" max="11" width="9.85546875" customWidth="1"/>
    <col min="12" max="12" width="9.7109375" customWidth="1"/>
    <col min="13" max="13" width="12.42578125" customWidth="1"/>
    <col min="14" max="14" width="15.85546875" customWidth="1"/>
    <col min="15" max="15" width="15" customWidth="1"/>
    <col min="16" max="16" width="13.28515625" customWidth="1"/>
  </cols>
  <sheetData>
    <row r="1" spans="1:16" ht="42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9" t="s">
        <v>15</v>
      </c>
    </row>
    <row r="2" spans="1:16" ht="15" customHeight="1" outlineLevel="1">
      <c r="A2" s="25">
        <v>1</v>
      </c>
      <c r="B2" s="29">
        <v>45313</v>
      </c>
      <c r="C2" s="34" t="s">
        <v>16</v>
      </c>
      <c r="D2" s="40">
        <v>1</v>
      </c>
      <c r="E2" s="45" t="s">
        <v>17</v>
      </c>
      <c r="F2" s="45" t="s">
        <v>18</v>
      </c>
      <c r="G2" s="49">
        <v>7</v>
      </c>
      <c r="H2" s="10">
        <v>7</v>
      </c>
      <c r="I2" s="50">
        <v>15</v>
      </c>
      <c r="J2" s="10">
        <v>15</v>
      </c>
      <c r="K2" s="45" t="s">
        <v>19</v>
      </c>
      <c r="L2" s="57">
        <v>0.53333333333333333</v>
      </c>
      <c r="M2" s="50">
        <v>8</v>
      </c>
      <c r="N2" s="45"/>
      <c r="O2" s="50"/>
      <c r="P2" s="50" t="s">
        <v>20</v>
      </c>
    </row>
    <row r="3" spans="1:16" ht="15" customHeight="1" outlineLevel="1">
      <c r="A3" s="25">
        <v>1</v>
      </c>
      <c r="B3" s="29">
        <v>45313</v>
      </c>
      <c r="C3" s="34" t="s">
        <v>21</v>
      </c>
      <c r="D3" s="40">
        <v>1</v>
      </c>
      <c r="E3" s="45" t="s">
        <v>22</v>
      </c>
      <c r="F3" s="45" t="s">
        <v>23</v>
      </c>
      <c r="G3" s="49">
        <v>37</v>
      </c>
      <c r="H3" s="10">
        <v>37</v>
      </c>
      <c r="I3" s="50">
        <v>55.5</v>
      </c>
      <c r="J3" s="10">
        <v>55.5</v>
      </c>
      <c r="K3" s="45" t="s">
        <v>22</v>
      </c>
      <c r="L3" s="57">
        <v>0.33333333333333331</v>
      </c>
      <c r="M3" s="50">
        <v>18.5</v>
      </c>
      <c r="N3" s="45"/>
      <c r="O3" s="50"/>
      <c r="P3" s="50" t="s">
        <v>20</v>
      </c>
    </row>
    <row r="4" spans="1:16" ht="15" customHeight="1" outlineLevel="1">
      <c r="A4" s="25">
        <v>1</v>
      </c>
      <c r="B4" s="29">
        <v>45314</v>
      </c>
      <c r="C4" s="34" t="s">
        <v>21</v>
      </c>
      <c r="D4" s="40">
        <v>1</v>
      </c>
      <c r="E4" s="45" t="s">
        <v>24</v>
      </c>
      <c r="F4" s="45" t="s">
        <v>23</v>
      </c>
      <c r="G4" s="49">
        <v>37</v>
      </c>
      <c r="H4" s="10">
        <v>37</v>
      </c>
      <c r="I4" s="50">
        <v>60</v>
      </c>
      <c r="J4" s="10">
        <v>60</v>
      </c>
      <c r="K4" s="45" t="s">
        <v>19</v>
      </c>
      <c r="L4" s="57">
        <v>0.38333333333333336</v>
      </c>
      <c r="M4" s="50">
        <v>23</v>
      </c>
      <c r="N4" s="45"/>
      <c r="O4" s="50"/>
      <c r="P4" s="50" t="s">
        <v>20</v>
      </c>
    </row>
    <row r="5" spans="1:16" ht="15" customHeight="1" outlineLevel="1">
      <c r="A5" s="25">
        <v>1</v>
      </c>
      <c r="B5" s="29">
        <v>45315</v>
      </c>
      <c r="C5" s="34" t="s">
        <v>25</v>
      </c>
      <c r="D5" s="40">
        <v>1</v>
      </c>
      <c r="E5" s="45" t="s">
        <v>26</v>
      </c>
      <c r="F5" s="45" t="s">
        <v>18</v>
      </c>
      <c r="G5" s="49">
        <v>18</v>
      </c>
      <c r="H5" s="10">
        <v>18</v>
      </c>
      <c r="I5" s="50">
        <v>30</v>
      </c>
      <c r="J5" s="10">
        <v>30</v>
      </c>
      <c r="K5" s="45" t="s">
        <v>19</v>
      </c>
      <c r="L5" s="57">
        <v>0.4</v>
      </c>
      <c r="M5" s="50">
        <v>12</v>
      </c>
      <c r="N5" s="45"/>
      <c r="O5" s="50"/>
      <c r="P5" s="50" t="s">
        <v>20</v>
      </c>
    </row>
    <row r="6" spans="1:16" ht="15" customHeight="1" outlineLevel="1">
      <c r="A6" s="25">
        <v>1</v>
      </c>
      <c r="B6" s="29">
        <v>45316</v>
      </c>
      <c r="C6" s="34" t="s">
        <v>25</v>
      </c>
      <c r="D6" s="40">
        <v>1</v>
      </c>
      <c r="E6" s="45" t="s">
        <v>26</v>
      </c>
      <c r="F6" s="45" t="s">
        <v>18</v>
      </c>
      <c r="G6" s="49">
        <v>18</v>
      </c>
      <c r="H6" s="10">
        <v>18</v>
      </c>
      <c r="I6" s="50">
        <v>20</v>
      </c>
      <c r="J6" s="10">
        <v>20</v>
      </c>
      <c r="K6" s="45" t="s">
        <v>19</v>
      </c>
      <c r="L6" s="57">
        <v>0.1</v>
      </c>
      <c r="M6" s="50">
        <v>2</v>
      </c>
      <c r="N6" s="45"/>
      <c r="O6" s="50"/>
      <c r="P6" s="50" t="s">
        <v>20</v>
      </c>
    </row>
    <row r="7" spans="1:16" ht="15" customHeight="1" outlineLevel="1">
      <c r="A7" s="25">
        <v>1</v>
      </c>
      <c r="B7" s="29">
        <v>45317</v>
      </c>
      <c r="C7" s="34" t="s">
        <v>27</v>
      </c>
      <c r="D7" s="40">
        <v>1</v>
      </c>
      <c r="E7" s="45" t="s">
        <v>26</v>
      </c>
      <c r="F7" s="45" t="s">
        <v>18</v>
      </c>
      <c r="G7" s="49">
        <v>80</v>
      </c>
      <c r="H7" s="10">
        <v>80</v>
      </c>
      <c r="I7" s="50">
        <v>140</v>
      </c>
      <c r="J7" s="10">
        <v>140</v>
      </c>
      <c r="K7" s="45" t="s">
        <v>19</v>
      </c>
      <c r="L7" s="57">
        <v>0.42857142857142855</v>
      </c>
      <c r="M7" s="50">
        <v>60</v>
      </c>
      <c r="N7" s="45"/>
      <c r="O7" s="50"/>
      <c r="P7" s="50" t="s">
        <v>20</v>
      </c>
    </row>
    <row r="8" spans="1:16" ht="15" customHeight="1" outlineLevel="1">
      <c r="A8" s="25">
        <v>1</v>
      </c>
      <c r="B8" s="29">
        <v>45318</v>
      </c>
      <c r="C8" s="34" t="s">
        <v>28</v>
      </c>
      <c r="D8" s="40">
        <v>1</v>
      </c>
      <c r="E8" s="45" t="s">
        <v>29</v>
      </c>
      <c r="F8" s="45" t="s">
        <v>23</v>
      </c>
      <c r="G8" s="49">
        <v>14</v>
      </c>
      <c r="H8" s="10">
        <v>14</v>
      </c>
      <c r="I8" s="50">
        <v>30</v>
      </c>
      <c r="J8" s="10">
        <v>30</v>
      </c>
      <c r="K8" s="45" t="s">
        <v>30</v>
      </c>
      <c r="L8" s="57">
        <v>0.53333333333333333</v>
      </c>
      <c r="M8" s="50">
        <v>16</v>
      </c>
      <c r="N8" s="45"/>
      <c r="O8" s="50"/>
      <c r="P8" s="50" t="s">
        <v>20</v>
      </c>
    </row>
    <row r="9" spans="1:16" ht="15" customHeight="1" outlineLevel="1">
      <c r="A9" s="25">
        <v>1</v>
      </c>
      <c r="B9" s="29">
        <v>45318</v>
      </c>
      <c r="C9" s="34" t="s">
        <v>28</v>
      </c>
      <c r="D9" s="40">
        <v>1</v>
      </c>
      <c r="E9" s="45" t="s">
        <v>29</v>
      </c>
      <c r="F9" s="45" t="s">
        <v>23</v>
      </c>
      <c r="G9" s="49">
        <v>14</v>
      </c>
      <c r="H9" s="10">
        <v>14</v>
      </c>
      <c r="I9" s="50">
        <v>30</v>
      </c>
      <c r="J9" s="10">
        <v>30</v>
      </c>
      <c r="K9" s="45" t="s">
        <v>30</v>
      </c>
      <c r="L9" s="57">
        <v>0.53333333333333333</v>
      </c>
      <c r="M9" s="50">
        <v>16</v>
      </c>
      <c r="N9" s="45"/>
      <c r="O9" s="50"/>
      <c r="P9" s="50" t="s">
        <v>20</v>
      </c>
    </row>
    <row r="10" spans="1:16" ht="15" customHeight="1" outlineLevel="1">
      <c r="A10" s="25">
        <v>1</v>
      </c>
      <c r="B10" s="29">
        <v>45318</v>
      </c>
      <c r="C10" s="34" t="s">
        <v>28</v>
      </c>
      <c r="D10" s="40">
        <v>1</v>
      </c>
      <c r="E10" s="45" t="s">
        <v>29</v>
      </c>
      <c r="F10" s="45" t="s">
        <v>23</v>
      </c>
      <c r="G10" s="49">
        <v>14</v>
      </c>
      <c r="H10" s="10">
        <v>14</v>
      </c>
      <c r="I10" s="50">
        <v>30</v>
      </c>
      <c r="J10" s="10">
        <v>30</v>
      </c>
      <c r="K10" s="45" t="s">
        <v>30</v>
      </c>
      <c r="L10" s="57">
        <v>0.53333333333333333</v>
      </c>
      <c r="M10" s="50">
        <v>16</v>
      </c>
      <c r="N10" s="45"/>
      <c r="O10" s="50"/>
      <c r="P10" s="50" t="s">
        <v>20</v>
      </c>
    </row>
    <row r="11" spans="1:16" ht="15" customHeight="1" outlineLevel="1">
      <c r="A11" s="25">
        <v>1</v>
      </c>
      <c r="B11" s="29">
        <v>45318</v>
      </c>
      <c r="C11" s="34" t="s">
        <v>28</v>
      </c>
      <c r="D11" s="40">
        <v>1</v>
      </c>
      <c r="E11" s="45" t="s">
        <v>29</v>
      </c>
      <c r="F11" s="45" t="s">
        <v>23</v>
      </c>
      <c r="G11" s="49">
        <v>14</v>
      </c>
      <c r="H11" s="10">
        <v>14</v>
      </c>
      <c r="I11" s="50">
        <v>30</v>
      </c>
      <c r="J11" s="10">
        <v>30</v>
      </c>
      <c r="K11" s="45" t="s">
        <v>30</v>
      </c>
      <c r="L11" s="57">
        <v>0.53333333333333333</v>
      </c>
      <c r="M11" s="50">
        <v>16</v>
      </c>
      <c r="N11" s="45"/>
      <c r="O11" s="50"/>
      <c r="P11" s="50" t="s">
        <v>20</v>
      </c>
    </row>
    <row r="12" spans="1:16" ht="15" customHeight="1" outlineLevel="1">
      <c r="A12" s="25">
        <v>1</v>
      </c>
      <c r="B12" s="29">
        <v>45318</v>
      </c>
      <c r="C12" s="34" t="s">
        <v>25</v>
      </c>
      <c r="D12" s="40">
        <v>1</v>
      </c>
      <c r="E12" s="45" t="s">
        <v>26</v>
      </c>
      <c r="F12" s="45" t="s">
        <v>18</v>
      </c>
      <c r="G12" s="49">
        <v>18</v>
      </c>
      <c r="H12" s="10">
        <v>18</v>
      </c>
      <c r="I12" s="50">
        <v>20</v>
      </c>
      <c r="J12" s="10">
        <v>20</v>
      </c>
      <c r="K12" s="45" t="s">
        <v>19</v>
      </c>
      <c r="L12" s="57">
        <v>0.1</v>
      </c>
      <c r="M12" s="50">
        <v>2</v>
      </c>
      <c r="N12" s="45"/>
      <c r="O12" s="50"/>
      <c r="P12" s="50" t="s">
        <v>20</v>
      </c>
    </row>
    <row r="13" spans="1:16" ht="15" customHeight="1" outlineLevel="1">
      <c r="A13" s="25">
        <v>1</v>
      </c>
      <c r="B13" s="29">
        <v>45318</v>
      </c>
      <c r="C13" s="34" t="s">
        <v>31</v>
      </c>
      <c r="D13" s="40">
        <v>1</v>
      </c>
      <c r="E13" s="45" t="s">
        <v>26</v>
      </c>
      <c r="F13" s="45" t="s">
        <v>18</v>
      </c>
      <c r="G13" s="49">
        <v>75</v>
      </c>
      <c r="H13" s="10">
        <v>75</v>
      </c>
      <c r="I13" s="50">
        <v>150</v>
      </c>
      <c r="J13" s="10">
        <v>150</v>
      </c>
      <c r="K13" s="45" t="s">
        <v>19</v>
      </c>
      <c r="L13" s="57">
        <v>0.5</v>
      </c>
      <c r="M13" s="50">
        <v>75</v>
      </c>
      <c r="N13" s="45"/>
      <c r="O13" s="50"/>
      <c r="P13" s="50" t="s">
        <v>20</v>
      </c>
    </row>
    <row r="14" spans="1:16" ht="15" customHeight="1" outlineLevel="1">
      <c r="A14" s="25">
        <v>1</v>
      </c>
      <c r="B14" s="29">
        <v>45318</v>
      </c>
      <c r="C14" s="34" t="s">
        <v>32</v>
      </c>
      <c r="D14" s="40">
        <v>1</v>
      </c>
      <c r="E14" s="45" t="s">
        <v>26</v>
      </c>
      <c r="F14" s="45" t="s">
        <v>33</v>
      </c>
      <c r="G14" s="49">
        <v>7.5</v>
      </c>
      <c r="H14" s="10">
        <v>7.5</v>
      </c>
      <c r="I14" s="50">
        <v>12</v>
      </c>
      <c r="J14" s="10">
        <v>12</v>
      </c>
      <c r="K14" s="45" t="s">
        <v>19</v>
      </c>
      <c r="L14" s="57">
        <v>0.375</v>
      </c>
      <c r="M14" s="50">
        <v>4.5</v>
      </c>
      <c r="N14" s="45"/>
      <c r="O14" s="50"/>
      <c r="P14" s="50" t="s">
        <v>20</v>
      </c>
    </row>
    <row r="15" spans="1:16" ht="15" customHeight="1" outlineLevel="1">
      <c r="A15" s="25">
        <v>1</v>
      </c>
      <c r="B15" s="29">
        <v>45318</v>
      </c>
      <c r="C15" s="34" t="s">
        <v>34</v>
      </c>
      <c r="D15" s="40">
        <v>1</v>
      </c>
      <c r="E15" s="45" t="s">
        <v>26</v>
      </c>
      <c r="F15" s="45" t="s">
        <v>33</v>
      </c>
      <c r="G15" s="49">
        <v>10</v>
      </c>
      <c r="H15" s="10">
        <v>10</v>
      </c>
      <c r="I15" s="50">
        <v>15</v>
      </c>
      <c r="J15" s="10">
        <v>15</v>
      </c>
      <c r="K15" s="45" t="s">
        <v>19</v>
      </c>
      <c r="L15" s="57">
        <v>0.33333333333333331</v>
      </c>
      <c r="M15" s="50">
        <v>5</v>
      </c>
      <c r="N15" s="45"/>
      <c r="O15" s="50"/>
      <c r="P15" s="50" t="s">
        <v>20</v>
      </c>
    </row>
    <row r="16" spans="1:16" ht="15" customHeight="1" outlineLevel="1">
      <c r="A16" s="25">
        <v>1</v>
      </c>
      <c r="B16" s="29">
        <v>45318</v>
      </c>
      <c r="C16" s="34" t="s">
        <v>35</v>
      </c>
      <c r="D16" s="40">
        <v>1</v>
      </c>
      <c r="E16" s="45" t="s">
        <v>26</v>
      </c>
      <c r="F16" s="45" t="s">
        <v>33</v>
      </c>
      <c r="G16" s="49">
        <v>28</v>
      </c>
      <c r="H16" s="10">
        <v>28</v>
      </c>
      <c r="I16" s="50">
        <v>50</v>
      </c>
      <c r="J16" s="10">
        <v>50</v>
      </c>
      <c r="K16" s="45" t="s">
        <v>19</v>
      </c>
      <c r="L16" s="57">
        <v>0.44</v>
      </c>
      <c r="M16" s="50">
        <v>22</v>
      </c>
      <c r="N16" s="45"/>
      <c r="O16" s="50"/>
      <c r="P16" s="50" t="s">
        <v>20</v>
      </c>
    </row>
    <row r="17" spans="1:16" ht="15" customHeight="1" outlineLevel="1">
      <c r="A17" s="25">
        <v>1</v>
      </c>
      <c r="B17" s="29">
        <v>45318</v>
      </c>
      <c r="C17" s="34" t="s">
        <v>36</v>
      </c>
      <c r="D17" s="40">
        <v>1</v>
      </c>
      <c r="E17" s="45" t="s">
        <v>37</v>
      </c>
      <c r="F17" s="45" t="s">
        <v>33</v>
      </c>
      <c r="G17" s="49">
        <v>22</v>
      </c>
      <c r="H17" s="10">
        <v>22</v>
      </c>
      <c r="I17" s="50">
        <v>35</v>
      </c>
      <c r="J17" s="10">
        <v>35</v>
      </c>
      <c r="K17" s="45" t="s">
        <v>19</v>
      </c>
      <c r="L17" s="57">
        <v>0.37142857142857144</v>
      </c>
      <c r="M17" s="50">
        <v>13</v>
      </c>
      <c r="N17" s="45"/>
      <c r="O17" s="50"/>
      <c r="P17" s="50" t="s">
        <v>20</v>
      </c>
    </row>
    <row r="18" spans="1:16" ht="15" customHeight="1" outlineLevel="1">
      <c r="A18" s="25">
        <v>1</v>
      </c>
      <c r="B18" s="29">
        <v>45318</v>
      </c>
      <c r="C18" s="34" t="s">
        <v>38</v>
      </c>
      <c r="D18" s="40">
        <v>1</v>
      </c>
      <c r="E18" s="45" t="s">
        <v>26</v>
      </c>
      <c r="F18" s="45" t="s">
        <v>33</v>
      </c>
      <c r="G18" s="49">
        <v>31.99</v>
      </c>
      <c r="H18" s="10">
        <v>31.99</v>
      </c>
      <c r="I18" s="50">
        <v>50</v>
      </c>
      <c r="J18" s="10">
        <v>50</v>
      </c>
      <c r="K18" s="45" t="s">
        <v>19</v>
      </c>
      <c r="L18" s="57">
        <v>0.36020000000000002</v>
      </c>
      <c r="M18" s="50">
        <v>18.010000000000002</v>
      </c>
      <c r="N18" s="45"/>
      <c r="O18" s="50"/>
      <c r="P18" s="50" t="s">
        <v>20</v>
      </c>
    </row>
    <row r="19" spans="1:16" ht="15" customHeight="1" outlineLevel="1">
      <c r="A19" s="25">
        <v>1</v>
      </c>
      <c r="B19" s="29">
        <v>45318</v>
      </c>
      <c r="C19" s="34" t="s">
        <v>39</v>
      </c>
      <c r="D19" s="40">
        <v>1</v>
      </c>
      <c r="E19" s="45" t="s">
        <v>40</v>
      </c>
      <c r="F19" s="45" t="s">
        <v>23</v>
      </c>
      <c r="G19" s="49">
        <v>30</v>
      </c>
      <c r="H19" s="10">
        <v>30</v>
      </c>
      <c r="I19" s="50">
        <v>45</v>
      </c>
      <c r="J19" s="10">
        <v>45</v>
      </c>
      <c r="K19" s="45" t="s">
        <v>19</v>
      </c>
      <c r="L19" s="57">
        <v>0.33333333333333331</v>
      </c>
      <c r="M19" s="50">
        <v>15</v>
      </c>
      <c r="N19" s="45"/>
      <c r="O19" s="50"/>
      <c r="P19" s="50" t="s">
        <v>20</v>
      </c>
    </row>
    <row r="20" spans="1:16" ht="15" customHeight="1" outlineLevel="1">
      <c r="A20" s="25">
        <v>1</v>
      </c>
      <c r="B20" s="29">
        <v>45318</v>
      </c>
      <c r="C20" s="34" t="s">
        <v>41</v>
      </c>
      <c r="D20" s="40">
        <v>1</v>
      </c>
      <c r="E20" s="45" t="s">
        <v>42</v>
      </c>
      <c r="F20" s="45" t="s">
        <v>23</v>
      </c>
      <c r="G20" s="49">
        <v>9</v>
      </c>
      <c r="H20" s="10">
        <v>9</v>
      </c>
      <c r="I20" s="50">
        <v>20</v>
      </c>
      <c r="J20" s="10">
        <v>20</v>
      </c>
      <c r="K20" s="45" t="s">
        <v>19</v>
      </c>
      <c r="L20" s="57">
        <v>0.55000000000000004</v>
      </c>
      <c r="M20" s="50">
        <v>11</v>
      </c>
      <c r="N20" s="45"/>
      <c r="O20" s="50"/>
      <c r="P20" s="50" t="s">
        <v>20</v>
      </c>
    </row>
    <row r="21" spans="1:16" ht="15" customHeight="1" outlineLevel="1">
      <c r="A21" s="25">
        <v>1</v>
      </c>
      <c r="B21" s="29">
        <v>45318</v>
      </c>
      <c r="C21" s="34" t="s">
        <v>28</v>
      </c>
      <c r="D21" s="40">
        <v>1</v>
      </c>
      <c r="E21" s="45" t="s">
        <v>43</v>
      </c>
      <c r="F21" s="45" t="s">
        <v>23</v>
      </c>
      <c r="G21" s="49">
        <v>14</v>
      </c>
      <c r="H21" s="10">
        <v>14</v>
      </c>
      <c r="I21" s="50">
        <v>25</v>
      </c>
      <c r="J21" s="10">
        <v>25</v>
      </c>
      <c r="K21" s="45" t="s">
        <v>19</v>
      </c>
      <c r="L21" s="57">
        <v>0.44</v>
      </c>
      <c r="M21" s="50">
        <v>11</v>
      </c>
      <c r="N21" s="45"/>
      <c r="O21" s="50"/>
      <c r="P21" s="50" t="s">
        <v>20</v>
      </c>
    </row>
    <row r="22" spans="1:16" ht="15" customHeight="1" outlineLevel="1">
      <c r="A22" s="25">
        <v>1</v>
      </c>
      <c r="B22" s="29">
        <v>45318</v>
      </c>
      <c r="C22" s="34" t="s">
        <v>34</v>
      </c>
      <c r="D22" s="40">
        <v>1</v>
      </c>
      <c r="E22" s="45" t="s">
        <v>43</v>
      </c>
      <c r="F22" s="45" t="s">
        <v>23</v>
      </c>
      <c r="G22" s="49">
        <v>10</v>
      </c>
      <c r="H22" s="10">
        <v>10</v>
      </c>
      <c r="I22" s="50">
        <v>20</v>
      </c>
      <c r="J22" s="10">
        <v>20</v>
      </c>
      <c r="K22" s="45" t="s">
        <v>19</v>
      </c>
      <c r="L22" s="57">
        <v>0.5</v>
      </c>
      <c r="M22" s="50">
        <v>10</v>
      </c>
      <c r="N22" s="45"/>
      <c r="O22" s="50"/>
      <c r="P22" s="50" t="s">
        <v>20</v>
      </c>
    </row>
    <row r="23" spans="1:16" ht="15" customHeight="1" outlineLevel="1">
      <c r="A23" s="25">
        <v>1</v>
      </c>
      <c r="B23" s="29">
        <v>45318</v>
      </c>
      <c r="C23" s="34" t="s">
        <v>44</v>
      </c>
      <c r="D23" s="40">
        <v>1</v>
      </c>
      <c r="E23" s="45" t="s">
        <v>26</v>
      </c>
      <c r="F23" s="45" t="s">
        <v>18</v>
      </c>
      <c r="G23" s="49">
        <v>22</v>
      </c>
      <c r="H23" s="10">
        <v>22</v>
      </c>
      <c r="I23" s="50">
        <v>40</v>
      </c>
      <c r="J23" s="10">
        <v>40</v>
      </c>
      <c r="K23" s="45" t="s">
        <v>19</v>
      </c>
      <c r="L23" s="57">
        <v>0.45</v>
      </c>
      <c r="M23" s="50">
        <v>18</v>
      </c>
      <c r="N23" s="45"/>
      <c r="O23" s="50"/>
      <c r="P23" s="50" t="s">
        <v>20</v>
      </c>
    </row>
    <row r="24" spans="1:16" ht="15" customHeight="1" outlineLevel="1">
      <c r="A24" s="25">
        <v>1</v>
      </c>
      <c r="B24" s="29">
        <v>45318</v>
      </c>
      <c r="C24" s="34" t="s">
        <v>45</v>
      </c>
      <c r="D24" s="40">
        <v>1</v>
      </c>
      <c r="E24" s="45" t="s">
        <v>46</v>
      </c>
      <c r="F24" s="45" t="s">
        <v>18</v>
      </c>
      <c r="G24" s="49">
        <v>20</v>
      </c>
      <c r="H24" s="10">
        <v>20</v>
      </c>
      <c r="I24" s="50">
        <v>45</v>
      </c>
      <c r="J24" s="10">
        <v>45</v>
      </c>
      <c r="K24" s="45" t="s">
        <v>19</v>
      </c>
      <c r="L24" s="57">
        <v>0.55555555555555558</v>
      </c>
      <c r="M24" s="50">
        <v>25</v>
      </c>
      <c r="N24" s="45"/>
      <c r="O24" s="50"/>
      <c r="P24" s="50" t="s">
        <v>20</v>
      </c>
    </row>
    <row r="25" spans="1:16" ht="15" customHeight="1" outlineLevel="1">
      <c r="A25" s="25">
        <v>1</v>
      </c>
      <c r="B25" s="29">
        <v>45318</v>
      </c>
      <c r="C25" s="34" t="s">
        <v>47</v>
      </c>
      <c r="D25" s="40">
        <v>1</v>
      </c>
      <c r="E25" s="45" t="s">
        <v>46</v>
      </c>
      <c r="F25" s="45" t="s">
        <v>18</v>
      </c>
      <c r="G25" s="49">
        <v>15</v>
      </c>
      <c r="H25" s="10">
        <v>15</v>
      </c>
      <c r="I25" s="50">
        <v>30</v>
      </c>
      <c r="J25" s="10">
        <v>30</v>
      </c>
      <c r="K25" s="45" t="s">
        <v>19</v>
      </c>
      <c r="L25" s="57">
        <v>0.5</v>
      </c>
      <c r="M25" s="50">
        <v>15</v>
      </c>
      <c r="N25" s="45"/>
      <c r="O25" s="50"/>
      <c r="P25" s="50" t="s">
        <v>20</v>
      </c>
    </row>
    <row r="26" spans="1:16" ht="15" customHeight="1" outlineLevel="1">
      <c r="A26" s="25">
        <v>1</v>
      </c>
      <c r="B26" s="29">
        <v>45318</v>
      </c>
      <c r="C26" s="34" t="s">
        <v>48</v>
      </c>
      <c r="D26" s="40">
        <v>1</v>
      </c>
      <c r="E26" s="45" t="s">
        <v>26</v>
      </c>
      <c r="F26" s="45" t="s">
        <v>18</v>
      </c>
      <c r="G26" s="49">
        <v>3.5</v>
      </c>
      <c r="H26" s="10">
        <v>3.5</v>
      </c>
      <c r="I26" s="50">
        <v>10</v>
      </c>
      <c r="J26" s="10">
        <v>10</v>
      </c>
      <c r="K26" s="45" t="s">
        <v>19</v>
      </c>
      <c r="L26" s="57">
        <v>0.65</v>
      </c>
      <c r="M26" s="50">
        <v>6.5</v>
      </c>
      <c r="N26" s="45"/>
      <c r="O26" s="50"/>
      <c r="P26" s="50" t="s">
        <v>20</v>
      </c>
    </row>
    <row r="27" spans="1:16" ht="15" customHeight="1" outlineLevel="1">
      <c r="A27" s="25">
        <v>1</v>
      </c>
      <c r="B27" s="29">
        <v>45321</v>
      </c>
      <c r="C27" s="34" t="s">
        <v>49</v>
      </c>
      <c r="D27" s="40">
        <v>1</v>
      </c>
      <c r="E27" s="45" t="s">
        <v>50</v>
      </c>
      <c r="F27" s="45" t="s">
        <v>23</v>
      </c>
      <c r="G27" s="49">
        <v>40</v>
      </c>
      <c r="H27" s="10">
        <v>40</v>
      </c>
      <c r="I27" s="50">
        <v>65</v>
      </c>
      <c r="J27" s="10">
        <v>65</v>
      </c>
      <c r="K27" s="45" t="s">
        <v>19</v>
      </c>
      <c r="L27" s="57">
        <v>0.38461538461538464</v>
      </c>
      <c r="M27" s="50">
        <v>25</v>
      </c>
      <c r="N27" s="45"/>
      <c r="O27" s="50"/>
      <c r="P27" s="50" t="s">
        <v>20</v>
      </c>
    </row>
    <row r="28" spans="1:16" ht="15" customHeight="1" outlineLevel="1">
      <c r="A28" s="25">
        <v>1</v>
      </c>
      <c r="B28" s="29">
        <v>45321</v>
      </c>
      <c r="C28" s="34" t="s">
        <v>51</v>
      </c>
      <c r="D28" s="40">
        <v>1</v>
      </c>
      <c r="E28" s="45" t="s">
        <v>52</v>
      </c>
      <c r="F28" s="45" t="s">
        <v>23</v>
      </c>
      <c r="G28" s="49">
        <v>27.5</v>
      </c>
      <c r="H28" s="10">
        <v>27.5</v>
      </c>
      <c r="I28" s="50">
        <v>50</v>
      </c>
      <c r="J28" s="10">
        <v>50</v>
      </c>
      <c r="K28" s="45" t="s">
        <v>19</v>
      </c>
      <c r="L28" s="57">
        <v>0.45</v>
      </c>
      <c r="M28" s="50">
        <v>22.5</v>
      </c>
      <c r="N28" s="45"/>
      <c r="O28" s="50"/>
      <c r="P28" s="50" t="s">
        <v>20</v>
      </c>
    </row>
    <row r="29" spans="1:16" ht="15" customHeight="1" outlineLevel="1">
      <c r="A29" s="25">
        <v>1</v>
      </c>
      <c r="B29" s="29">
        <v>45321</v>
      </c>
      <c r="C29" s="34" t="s">
        <v>53</v>
      </c>
      <c r="D29" s="40">
        <v>1</v>
      </c>
      <c r="E29" s="45" t="s">
        <v>26</v>
      </c>
      <c r="F29" s="45" t="s">
        <v>18</v>
      </c>
      <c r="G29" s="49">
        <v>13</v>
      </c>
      <c r="H29" s="10">
        <v>13</v>
      </c>
      <c r="I29" s="50">
        <v>25</v>
      </c>
      <c r="J29" s="10">
        <v>25</v>
      </c>
      <c r="K29" s="45" t="s">
        <v>19</v>
      </c>
      <c r="L29" s="57">
        <v>0.48</v>
      </c>
      <c r="M29" s="50">
        <v>12</v>
      </c>
      <c r="N29" s="45"/>
      <c r="O29" s="50"/>
      <c r="P29" s="50" t="s">
        <v>20</v>
      </c>
    </row>
    <row r="30" spans="1:16" ht="15" customHeight="1" outlineLevel="1">
      <c r="A30" s="25">
        <v>1</v>
      </c>
      <c r="B30" s="29">
        <v>45321</v>
      </c>
      <c r="C30" s="34" t="s">
        <v>54</v>
      </c>
      <c r="D30" s="40">
        <v>1</v>
      </c>
      <c r="E30" s="45" t="s">
        <v>26</v>
      </c>
      <c r="F30" s="45" t="s">
        <v>18</v>
      </c>
      <c r="G30" s="49">
        <v>8</v>
      </c>
      <c r="H30" s="10">
        <v>8</v>
      </c>
      <c r="I30" s="50">
        <v>20</v>
      </c>
      <c r="J30" s="10">
        <v>20</v>
      </c>
      <c r="K30" s="45" t="s">
        <v>19</v>
      </c>
      <c r="L30" s="57">
        <v>0.6</v>
      </c>
      <c r="M30" s="50">
        <v>12</v>
      </c>
      <c r="N30" s="45"/>
      <c r="O30" s="50"/>
      <c r="P30" s="50" t="s">
        <v>20</v>
      </c>
    </row>
    <row r="31" spans="1:16" ht="15" customHeight="1" outlineLevel="1">
      <c r="A31" s="25">
        <v>1</v>
      </c>
      <c r="B31" s="29">
        <v>45321</v>
      </c>
      <c r="C31" s="34" t="s">
        <v>49</v>
      </c>
      <c r="D31" s="40">
        <v>1</v>
      </c>
      <c r="E31" s="45" t="s">
        <v>26</v>
      </c>
      <c r="F31" s="45" t="s">
        <v>18</v>
      </c>
      <c r="G31" s="49">
        <v>40</v>
      </c>
      <c r="H31" s="10">
        <v>40</v>
      </c>
      <c r="I31" s="50">
        <v>70</v>
      </c>
      <c r="J31" s="10">
        <v>70</v>
      </c>
      <c r="K31" s="45" t="s">
        <v>19</v>
      </c>
      <c r="L31" s="57">
        <v>0.42857142857142855</v>
      </c>
      <c r="M31" s="50">
        <v>30</v>
      </c>
      <c r="N31" s="45"/>
      <c r="O31" s="50"/>
      <c r="P31" s="50" t="s">
        <v>20</v>
      </c>
    </row>
    <row r="32" spans="1:16" ht="15" customHeight="1" outlineLevel="1">
      <c r="A32" s="25">
        <v>1</v>
      </c>
      <c r="B32" s="29">
        <v>45321</v>
      </c>
      <c r="C32" s="34" t="s">
        <v>55</v>
      </c>
      <c r="D32" s="40">
        <v>1</v>
      </c>
      <c r="E32" s="45" t="s">
        <v>26</v>
      </c>
      <c r="F32" s="45" t="s">
        <v>18</v>
      </c>
      <c r="G32" s="49">
        <v>3</v>
      </c>
      <c r="H32" s="10">
        <v>3</v>
      </c>
      <c r="I32" s="50">
        <v>20</v>
      </c>
      <c r="J32" s="10">
        <v>20</v>
      </c>
      <c r="K32" s="45" t="s">
        <v>19</v>
      </c>
      <c r="L32" s="57">
        <v>0.85</v>
      </c>
      <c r="M32" s="50">
        <v>17</v>
      </c>
      <c r="N32" s="45"/>
      <c r="O32" s="50"/>
      <c r="P32" s="50" t="s">
        <v>20</v>
      </c>
    </row>
    <row r="33" spans="1:16" ht="15" customHeight="1" outlineLevel="1">
      <c r="A33" s="25">
        <v>1</v>
      </c>
      <c r="B33" s="29">
        <v>45322</v>
      </c>
      <c r="C33" s="34" t="s">
        <v>51</v>
      </c>
      <c r="D33" s="40">
        <v>1</v>
      </c>
      <c r="E33" s="45" t="s">
        <v>56</v>
      </c>
      <c r="F33" s="45" t="s">
        <v>33</v>
      </c>
      <c r="G33" s="49">
        <v>27.5</v>
      </c>
      <c r="H33" s="10">
        <v>27.5</v>
      </c>
      <c r="I33" s="50">
        <v>50</v>
      </c>
      <c r="J33" s="10">
        <v>50</v>
      </c>
      <c r="K33" s="45" t="s">
        <v>19</v>
      </c>
      <c r="L33" s="57">
        <v>0.45</v>
      </c>
      <c r="M33" s="50">
        <v>22.5</v>
      </c>
      <c r="N33" s="45"/>
      <c r="O33" s="50"/>
      <c r="P33" s="50" t="s">
        <v>20</v>
      </c>
    </row>
    <row r="34" spans="1:16" ht="15" customHeight="1" outlineLevel="1">
      <c r="A34" s="25">
        <v>1</v>
      </c>
      <c r="B34" s="29">
        <v>45322</v>
      </c>
      <c r="C34" s="34" t="s">
        <v>57</v>
      </c>
      <c r="D34" s="40">
        <v>1</v>
      </c>
      <c r="E34" s="45" t="s">
        <v>58</v>
      </c>
      <c r="F34" s="45" t="s">
        <v>33</v>
      </c>
      <c r="G34" s="49">
        <v>11</v>
      </c>
      <c r="H34" s="10">
        <v>11</v>
      </c>
      <c r="I34" s="50">
        <v>20</v>
      </c>
      <c r="J34" s="10">
        <v>20</v>
      </c>
      <c r="K34" s="45" t="s">
        <v>19</v>
      </c>
      <c r="L34" s="57">
        <v>0.45</v>
      </c>
      <c r="M34" s="50">
        <v>9</v>
      </c>
      <c r="N34" s="45"/>
      <c r="O34" s="50"/>
      <c r="P34" s="50" t="s">
        <v>20</v>
      </c>
    </row>
    <row r="35" spans="1:16" ht="15" customHeight="1" outlineLevel="1">
      <c r="A35" s="25">
        <v>1</v>
      </c>
      <c r="B35" s="29">
        <v>45322</v>
      </c>
      <c r="C35" s="34" t="s">
        <v>59</v>
      </c>
      <c r="D35" s="40">
        <v>1</v>
      </c>
      <c r="E35" s="45" t="s">
        <v>26</v>
      </c>
      <c r="F35" s="45" t="s">
        <v>33</v>
      </c>
      <c r="G35" s="49">
        <v>8</v>
      </c>
      <c r="H35" s="10">
        <v>8</v>
      </c>
      <c r="I35" s="50">
        <v>15</v>
      </c>
      <c r="J35" s="10">
        <v>15</v>
      </c>
      <c r="K35" s="45" t="s">
        <v>19</v>
      </c>
      <c r="L35" s="57">
        <v>0.46666666666666667</v>
      </c>
      <c r="M35" s="50">
        <v>7</v>
      </c>
      <c r="N35" s="45"/>
      <c r="O35" s="50"/>
      <c r="P35" s="50" t="s">
        <v>20</v>
      </c>
    </row>
    <row r="36" spans="1:16" ht="15" customHeight="1" outlineLevel="1">
      <c r="A36" s="25">
        <v>1</v>
      </c>
      <c r="B36" s="29">
        <v>45322</v>
      </c>
      <c r="C36" s="34" t="s">
        <v>60</v>
      </c>
      <c r="D36" s="40">
        <v>1</v>
      </c>
      <c r="E36" s="45" t="s">
        <v>26</v>
      </c>
      <c r="F36" s="45" t="s">
        <v>33</v>
      </c>
      <c r="G36" s="49">
        <v>26</v>
      </c>
      <c r="H36" s="10">
        <v>26</v>
      </c>
      <c r="I36" s="50">
        <v>45</v>
      </c>
      <c r="J36" s="10">
        <v>45</v>
      </c>
      <c r="K36" s="45" t="s">
        <v>19</v>
      </c>
      <c r="L36" s="57">
        <v>0.42222222222222222</v>
      </c>
      <c r="M36" s="50">
        <v>19</v>
      </c>
      <c r="N36" s="45"/>
      <c r="O36" s="50"/>
      <c r="P36" s="50" t="s">
        <v>20</v>
      </c>
    </row>
    <row r="37" spans="1:16" ht="15" customHeight="1" outlineLevel="1">
      <c r="A37" s="25">
        <v>1</v>
      </c>
      <c r="B37" s="29">
        <v>45322</v>
      </c>
      <c r="C37" s="34" t="s">
        <v>35</v>
      </c>
      <c r="D37" s="40">
        <v>1</v>
      </c>
      <c r="E37" s="45" t="s">
        <v>61</v>
      </c>
      <c r="F37" s="45" t="s">
        <v>33</v>
      </c>
      <c r="G37" s="49">
        <v>28</v>
      </c>
      <c r="H37" s="10">
        <v>28</v>
      </c>
      <c r="I37" s="50">
        <v>45</v>
      </c>
      <c r="J37" s="10">
        <v>45</v>
      </c>
      <c r="K37" s="45" t="s">
        <v>19</v>
      </c>
      <c r="L37" s="57">
        <v>0.37777777777777777</v>
      </c>
      <c r="M37" s="50">
        <v>17</v>
      </c>
      <c r="N37" s="45"/>
      <c r="O37" s="50"/>
      <c r="P37" s="50" t="s">
        <v>20</v>
      </c>
    </row>
    <row r="38" spans="1:16" ht="15" customHeight="1" outlineLevel="1">
      <c r="A38" s="25">
        <v>1</v>
      </c>
      <c r="B38" s="29">
        <v>45322</v>
      </c>
      <c r="C38" s="34" t="s">
        <v>34</v>
      </c>
      <c r="D38" s="40">
        <v>1</v>
      </c>
      <c r="E38" s="45" t="s">
        <v>62</v>
      </c>
      <c r="F38" s="45" t="s">
        <v>33</v>
      </c>
      <c r="G38" s="49">
        <v>10</v>
      </c>
      <c r="H38" s="10">
        <v>10</v>
      </c>
      <c r="I38" s="50">
        <v>15</v>
      </c>
      <c r="J38" s="10">
        <v>15</v>
      </c>
      <c r="K38" s="45" t="s">
        <v>19</v>
      </c>
      <c r="L38" s="57">
        <v>0.33333333333333331</v>
      </c>
      <c r="M38" s="50">
        <v>5</v>
      </c>
      <c r="N38" s="45"/>
      <c r="O38" s="50"/>
      <c r="P38" s="50" t="s">
        <v>20</v>
      </c>
    </row>
    <row r="39" spans="1:16" ht="15" customHeight="1" outlineLevel="1">
      <c r="A39" s="25">
        <v>1</v>
      </c>
      <c r="B39" s="29">
        <v>45322</v>
      </c>
      <c r="C39" s="34" t="s">
        <v>63</v>
      </c>
      <c r="D39" s="40">
        <v>1</v>
      </c>
      <c r="E39" s="45" t="s">
        <v>61</v>
      </c>
      <c r="F39" s="45" t="s">
        <v>33</v>
      </c>
      <c r="G39" s="49">
        <v>32.450000000000003</v>
      </c>
      <c r="H39" s="10">
        <v>32.450000000000003</v>
      </c>
      <c r="I39" s="50">
        <v>85</v>
      </c>
      <c r="J39" s="10">
        <v>85</v>
      </c>
      <c r="K39" s="45" t="s">
        <v>19</v>
      </c>
      <c r="L39" s="57">
        <v>0.61823529411764699</v>
      </c>
      <c r="M39" s="50">
        <v>52.55</v>
      </c>
      <c r="N39" s="45"/>
      <c r="O39" s="50"/>
      <c r="P39" s="50" t="s">
        <v>20</v>
      </c>
    </row>
    <row r="40" spans="1:16" ht="15" customHeight="1" outlineLevel="1">
      <c r="A40" s="25">
        <v>1</v>
      </c>
      <c r="B40" s="29">
        <v>45322</v>
      </c>
      <c r="C40" s="34" t="s">
        <v>64</v>
      </c>
      <c r="D40" s="40">
        <v>1</v>
      </c>
      <c r="E40" s="45" t="s">
        <v>61</v>
      </c>
      <c r="F40" s="45" t="s">
        <v>33</v>
      </c>
      <c r="G40" s="49">
        <v>60</v>
      </c>
      <c r="H40" s="10">
        <v>60</v>
      </c>
      <c r="I40" s="50">
        <v>70</v>
      </c>
      <c r="J40" s="10">
        <v>70</v>
      </c>
      <c r="K40" s="45" t="s">
        <v>19</v>
      </c>
      <c r="L40" s="57">
        <v>0.14285714285714285</v>
      </c>
      <c r="M40" s="50">
        <v>10</v>
      </c>
      <c r="N40" s="45"/>
      <c r="O40" s="50"/>
      <c r="P40" s="50" t="s">
        <v>20</v>
      </c>
    </row>
    <row r="41" spans="1:16" ht="15" customHeight="1">
      <c r="A41" s="25" t="s">
        <v>65</v>
      </c>
      <c r="B41" s="29">
        <v>45322</v>
      </c>
      <c r="C41" s="34" t="s">
        <v>66</v>
      </c>
      <c r="D41" s="40">
        <v>1</v>
      </c>
      <c r="E41" s="45" t="s">
        <v>67</v>
      </c>
      <c r="F41" s="45" t="s">
        <v>23</v>
      </c>
      <c r="G41" s="49">
        <v>4.5</v>
      </c>
      <c r="H41" s="10">
        <v>4.5</v>
      </c>
      <c r="I41" s="50">
        <v>10</v>
      </c>
      <c r="J41" s="10">
        <v>10</v>
      </c>
      <c r="K41" s="45" t="s">
        <v>19</v>
      </c>
      <c r="L41" s="57">
        <v>0.55000000000000004</v>
      </c>
      <c r="M41" s="50">
        <v>5.5</v>
      </c>
      <c r="N41" s="58"/>
      <c r="O41" s="50"/>
      <c r="P41" s="50" t="s">
        <v>20</v>
      </c>
    </row>
    <row r="42" spans="1:16" ht="15" customHeight="1" outlineLevel="2">
      <c r="A42" s="26">
        <v>2</v>
      </c>
      <c r="B42" s="30">
        <v>45324</v>
      </c>
      <c r="C42" s="35" t="s">
        <v>68</v>
      </c>
      <c r="D42" s="41">
        <v>1</v>
      </c>
      <c r="E42" s="46" t="s">
        <v>69</v>
      </c>
      <c r="F42" s="46" t="s">
        <v>23</v>
      </c>
      <c r="G42" s="49">
        <v>12</v>
      </c>
      <c r="H42" s="10">
        <v>12</v>
      </c>
      <c r="I42" s="51">
        <v>20</v>
      </c>
      <c r="J42" s="10">
        <v>20</v>
      </c>
      <c r="K42" s="46" t="s">
        <v>19</v>
      </c>
      <c r="L42" s="57">
        <v>0.4</v>
      </c>
      <c r="M42" s="50">
        <v>8</v>
      </c>
      <c r="N42" s="11"/>
      <c r="O42" s="50"/>
      <c r="P42" s="51" t="s">
        <v>20</v>
      </c>
    </row>
    <row r="43" spans="1:16" ht="15" customHeight="1" outlineLevel="2">
      <c r="A43" s="26">
        <v>2</v>
      </c>
      <c r="B43" s="30">
        <v>45325</v>
      </c>
      <c r="C43" s="35" t="s">
        <v>21</v>
      </c>
      <c r="D43" s="41">
        <v>1</v>
      </c>
      <c r="E43" s="46" t="s">
        <v>26</v>
      </c>
      <c r="F43" s="46" t="s">
        <v>23</v>
      </c>
      <c r="G43" s="49">
        <v>37</v>
      </c>
      <c r="H43" s="10">
        <v>37</v>
      </c>
      <c r="I43" s="51">
        <v>85</v>
      </c>
      <c r="J43" s="10">
        <v>85</v>
      </c>
      <c r="K43" s="46" t="s">
        <v>19</v>
      </c>
      <c r="L43" s="57">
        <v>0.56470588235294117</v>
      </c>
      <c r="M43" s="50">
        <v>48</v>
      </c>
      <c r="N43" s="11"/>
      <c r="O43" s="50"/>
      <c r="P43" s="51" t="s">
        <v>20</v>
      </c>
    </row>
    <row r="44" spans="1:16" ht="15" customHeight="1" outlineLevel="2">
      <c r="A44" s="26">
        <v>2</v>
      </c>
      <c r="B44" s="30">
        <v>45325</v>
      </c>
      <c r="C44" s="35" t="s">
        <v>70</v>
      </c>
      <c r="D44" s="41">
        <v>1</v>
      </c>
      <c r="E44" s="46" t="s">
        <v>26</v>
      </c>
      <c r="F44" s="46" t="s">
        <v>18</v>
      </c>
      <c r="G44" s="49">
        <v>7</v>
      </c>
      <c r="H44" s="10">
        <v>7</v>
      </c>
      <c r="I44" s="51">
        <v>12</v>
      </c>
      <c r="J44" s="10">
        <v>12</v>
      </c>
      <c r="K44" s="46" t="s">
        <v>71</v>
      </c>
      <c r="L44" s="57">
        <v>0.41666666666666669</v>
      </c>
      <c r="M44" s="50">
        <v>5</v>
      </c>
      <c r="N44" s="11"/>
      <c r="O44" s="50"/>
      <c r="P44" s="51" t="s">
        <v>20</v>
      </c>
    </row>
    <row r="45" spans="1:16" ht="15" customHeight="1" outlineLevel="2">
      <c r="A45" s="26">
        <v>2</v>
      </c>
      <c r="B45" s="30">
        <v>45325</v>
      </c>
      <c r="C45" s="35" t="s">
        <v>72</v>
      </c>
      <c r="D45" s="41">
        <v>1</v>
      </c>
      <c r="E45" s="46" t="s">
        <v>26</v>
      </c>
      <c r="F45" s="46" t="s">
        <v>18</v>
      </c>
      <c r="G45" s="49">
        <v>55</v>
      </c>
      <c r="H45" s="10">
        <v>55</v>
      </c>
      <c r="I45" s="51">
        <v>80</v>
      </c>
      <c r="J45" s="10">
        <v>80</v>
      </c>
      <c r="K45" s="46" t="s">
        <v>71</v>
      </c>
      <c r="L45" s="57">
        <v>0.3125</v>
      </c>
      <c r="M45" s="50">
        <v>25</v>
      </c>
      <c r="N45" s="11"/>
      <c r="O45" s="50"/>
      <c r="P45" s="51" t="s">
        <v>20</v>
      </c>
    </row>
    <row r="46" spans="1:16" ht="15" customHeight="1" outlineLevel="2">
      <c r="A46" s="26">
        <v>2</v>
      </c>
      <c r="B46" s="30">
        <v>45327</v>
      </c>
      <c r="C46" s="35" t="s">
        <v>63</v>
      </c>
      <c r="D46" s="41">
        <v>1</v>
      </c>
      <c r="E46" s="46" t="s">
        <v>26</v>
      </c>
      <c r="F46" s="46" t="s">
        <v>33</v>
      </c>
      <c r="G46" s="49">
        <v>32.450000000000003</v>
      </c>
      <c r="H46" s="10">
        <v>32.450000000000003</v>
      </c>
      <c r="I46" s="51">
        <v>100</v>
      </c>
      <c r="J46" s="10">
        <v>100</v>
      </c>
      <c r="K46" s="46" t="s">
        <v>71</v>
      </c>
      <c r="L46" s="57">
        <v>0.67549999999999999</v>
      </c>
      <c r="M46" s="50">
        <v>67.55</v>
      </c>
      <c r="N46" s="11"/>
      <c r="O46" s="50"/>
      <c r="P46" s="51" t="s">
        <v>20</v>
      </c>
    </row>
    <row r="47" spans="1:16" ht="15" customHeight="1" outlineLevel="2">
      <c r="A47" s="26">
        <v>2</v>
      </c>
      <c r="B47" s="30">
        <v>45327</v>
      </c>
      <c r="C47" s="35" t="s">
        <v>72</v>
      </c>
      <c r="D47" s="41">
        <v>1</v>
      </c>
      <c r="E47" s="46" t="s">
        <v>26</v>
      </c>
      <c r="F47" s="46" t="s">
        <v>33</v>
      </c>
      <c r="G47" s="49">
        <v>55</v>
      </c>
      <c r="H47" s="10">
        <v>55</v>
      </c>
      <c r="I47" s="51">
        <v>70</v>
      </c>
      <c r="J47" s="10">
        <v>70</v>
      </c>
      <c r="K47" s="46" t="s">
        <v>71</v>
      </c>
      <c r="L47" s="57">
        <v>0.21428571428571427</v>
      </c>
      <c r="M47" s="50">
        <v>15</v>
      </c>
      <c r="N47" s="11"/>
      <c r="O47" s="50"/>
      <c r="P47" s="51" t="s">
        <v>20</v>
      </c>
    </row>
    <row r="48" spans="1:16" ht="15" customHeight="1" outlineLevel="2">
      <c r="A48" s="26">
        <v>2</v>
      </c>
      <c r="B48" s="30">
        <v>45327</v>
      </c>
      <c r="C48" s="35" t="s">
        <v>66</v>
      </c>
      <c r="D48" s="41">
        <v>1</v>
      </c>
      <c r="E48" s="46" t="s">
        <v>26</v>
      </c>
      <c r="F48" s="46" t="s">
        <v>33</v>
      </c>
      <c r="G48" s="49">
        <v>4.5</v>
      </c>
      <c r="H48" s="10">
        <v>4.5</v>
      </c>
      <c r="I48" s="51">
        <v>8</v>
      </c>
      <c r="J48" s="10">
        <v>8</v>
      </c>
      <c r="K48" s="46" t="s">
        <v>71</v>
      </c>
      <c r="L48" s="57">
        <v>0.4375</v>
      </c>
      <c r="M48" s="50">
        <v>3.5</v>
      </c>
      <c r="N48" s="11"/>
      <c r="O48" s="50"/>
      <c r="P48" s="51" t="s">
        <v>20</v>
      </c>
    </row>
    <row r="49" spans="1:16" ht="15.75" customHeight="1" outlineLevel="2">
      <c r="A49" s="27">
        <v>2</v>
      </c>
      <c r="B49" s="30">
        <v>45329</v>
      </c>
      <c r="C49" s="35" t="s">
        <v>73</v>
      </c>
      <c r="D49" s="42">
        <v>1</v>
      </c>
      <c r="E49" s="47" t="s">
        <v>26</v>
      </c>
      <c r="F49" s="47" t="s">
        <v>33</v>
      </c>
      <c r="G49" s="49">
        <v>1.2</v>
      </c>
      <c r="H49" s="10">
        <v>1.2</v>
      </c>
      <c r="I49" s="51">
        <v>5</v>
      </c>
      <c r="J49" s="10">
        <v>5</v>
      </c>
      <c r="K49" s="46" t="s">
        <v>71</v>
      </c>
      <c r="L49" s="57">
        <v>0.76</v>
      </c>
      <c r="M49" s="50">
        <v>3.8</v>
      </c>
      <c r="N49" s="11"/>
      <c r="O49" s="50"/>
      <c r="P49" s="51" t="s">
        <v>20</v>
      </c>
    </row>
    <row r="50" spans="1:16" ht="15" customHeight="1" outlineLevel="2">
      <c r="A50" s="26">
        <v>2</v>
      </c>
      <c r="B50" s="30">
        <v>45329</v>
      </c>
      <c r="C50" s="35" t="s">
        <v>32</v>
      </c>
      <c r="D50" s="41">
        <v>1</v>
      </c>
      <c r="E50" s="46" t="s">
        <v>74</v>
      </c>
      <c r="F50" s="46" t="s">
        <v>23</v>
      </c>
      <c r="G50" s="49">
        <v>7.5</v>
      </c>
      <c r="H50" s="10">
        <v>7.5</v>
      </c>
      <c r="I50" s="51">
        <v>10.6</v>
      </c>
      <c r="J50" s="10">
        <v>10.6</v>
      </c>
      <c r="K50" s="46" t="s">
        <v>22</v>
      </c>
      <c r="L50" s="57">
        <v>0.29245283018867924</v>
      </c>
      <c r="M50" s="50">
        <v>3.0999999999999996</v>
      </c>
      <c r="N50" s="11"/>
      <c r="O50" s="50"/>
      <c r="P50" s="51" t="s">
        <v>20</v>
      </c>
    </row>
    <row r="51" spans="1:16" ht="15" customHeight="1" outlineLevel="2">
      <c r="A51" s="26">
        <v>2</v>
      </c>
      <c r="B51" s="30">
        <v>45329</v>
      </c>
      <c r="C51" s="35" t="s">
        <v>75</v>
      </c>
      <c r="D51" s="41">
        <v>1</v>
      </c>
      <c r="E51" s="46" t="s">
        <v>74</v>
      </c>
      <c r="F51" s="46" t="s">
        <v>23</v>
      </c>
      <c r="G51" s="49">
        <v>35</v>
      </c>
      <c r="H51" s="10">
        <v>35</v>
      </c>
      <c r="I51" s="51">
        <v>63.3</v>
      </c>
      <c r="J51" s="10">
        <v>63.3</v>
      </c>
      <c r="K51" s="46" t="s">
        <v>22</v>
      </c>
      <c r="L51" s="57">
        <v>0.44707740916271721</v>
      </c>
      <c r="M51" s="50">
        <v>28.299999999999997</v>
      </c>
      <c r="N51" s="11"/>
      <c r="O51" s="50"/>
      <c r="P51" s="51" t="s">
        <v>20</v>
      </c>
    </row>
    <row r="52" spans="1:16" ht="15" customHeight="1" outlineLevel="2">
      <c r="A52" s="26">
        <v>2</v>
      </c>
      <c r="B52" s="30">
        <v>45329</v>
      </c>
      <c r="C52" s="35" t="s">
        <v>32</v>
      </c>
      <c r="D52" s="41">
        <v>1</v>
      </c>
      <c r="E52" s="46" t="s">
        <v>74</v>
      </c>
      <c r="F52" s="46" t="s">
        <v>23</v>
      </c>
      <c r="G52" s="49">
        <v>7.5</v>
      </c>
      <c r="H52" s="10">
        <v>7.5</v>
      </c>
      <c r="I52" s="51">
        <v>10.6</v>
      </c>
      <c r="J52" s="10">
        <v>10.6</v>
      </c>
      <c r="K52" s="46" t="s">
        <v>22</v>
      </c>
      <c r="L52" s="57">
        <v>0.29245283018867924</v>
      </c>
      <c r="M52" s="50">
        <v>3.0999999999999996</v>
      </c>
      <c r="N52" s="11"/>
      <c r="O52" s="50"/>
      <c r="P52" s="51" t="s">
        <v>20</v>
      </c>
    </row>
    <row r="53" spans="1:16" ht="15" customHeight="1" outlineLevel="2">
      <c r="A53" s="26">
        <v>2</v>
      </c>
      <c r="B53" s="30">
        <v>45329</v>
      </c>
      <c r="C53" s="35" t="s">
        <v>32</v>
      </c>
      <c r="D53" s="41">
        <v>1</v>
      </c>
      <c r="E53" s="46" t="s">
        <v>74</v>
      </c>
      <c r="F53" s="46" t="s">
        <v>23</v>
      </c>
      <c r="G53" s="49">
        <v>7.5</v>
      </c>
      <c r="H53" s="10">
        <v>7.5</v>
      </c>
      <c r="I53" s="51">
        <v>10.6</v>
      </c>
      <c r="J53" s="10">
        <v>10.6</v>
      </c>
      <c r="K53" s="46" t="s">
        <v>22</v>
      </c>
      <c r="L53" s="57">
        <v>0.29245283018867924</v>
      </c>
      <c r="M53" s="50">
        <v>3.0999999999999996</v>
      </c>
      <c r="N53" s="11"/>
      <c r="O53" s="50"/>
      <c r="P53" s="51" t="s">
        <v>20</v>
      </c>
    </row>
    <row r="54" spans="1:16" ht="15.75" customHeight="1" outlineLevel="2">
      <c r="A54" s="27">
        <v>2</v>
      </c>
      <c r="B54" s="30">
        <v>45329</v>
      </c>
      <c r="C54" s="35" t="s">
        <v>76</v>
      </c>
      <c r="D54" s="42">
        <v>1</v>
      </c>
      <c r="E54" s="47" t="s">
        <v>22</v>
      </c>
      <c r="F54" s="47" t="s">
        <v>23</v>
      </c>
      <c r="G54" s="49">
        <v>7.5</v>
      </c>
      <c r="H54" s="10">
        <v>7.5</v>
      </c>
      <c r="I54" s="51">
        <v>16.89</v>
      </c>
      <c r="J54" s="10">
        <v>16.89</v>
      </c>
      <c r="K54" s="46" t="s">
        <v>22</v>
      </c>
      <c r="L54" s="57">
        <v>0.55595026642984013</v>
      </c>
      <c r="M54" s="50">
        <v>9.39</v>
      </c>
      <c r="N54" s="11"/>
      <c r="O54" s="50"/>
      <c r="P54" s="51" t="s">
        <v>20</v>
      </c>
    </row>
    <row r="55" spans="1:16" ht="15.75" customHeight="1" outlineLevel="2">
      <c r="A55" s="27">
        <v>2</v>
      </c>
      <c r="B55" s="30">
        <v>45329</v>
      </c>
      <c r="C55" s="35" t="s">
        <v>77</v>
      </c>
      <c r="D55" s="42">
        <v>1</v>
      </c>
      <c r="E55" s="12" t="s">
        <v>78</v>
      </c>
      <c r="F55" s="47" t="s">
        <v>23</v>
      </c>
      <c r="G55" s="49" t="s">
        <v>79</v>
      </c>
      <c r="H55" s="10">
        <v>0</v>
      </c>
      <c r="I55" s="51">
        <v>45</v>
      </c>
      <c r="J55" s="10">
        <v>45</v>
      </c>
      <c r="K55" s="46" t="s">
        <v>71</v>
      </c>
      <c r="L55" s="57">
        <v>1</v>
      </c>
      <c r="M55" s="50">
        <v>45</v>
      </c>
      <c r="N55" s="11"/>
      <c r="O55" s="50"/>
      <c r="P55" s="51" t="s">
        <v>20</v>
      </c>
    </row>
    <row r="56" spans="1:16" ht="15.75" customHeight="1" outlineLevel="2">
      <c r="A56" s="27">
        <v>2</v>
      </c>
      <c r="B56" s="30">
        <v>45329</v>
      </c>
      <c r="C56" s="35" t="s">
        <v>80</v>
      </c>
      <c r="D56" s="42">
        <v>1</v>
      </c>
      <c r="E56" s="47" t="s">
        <v>22</v>
      </c>
      <c r="F56" s="47" t="s">
        <v>23</v>
      </c>
      <c r="G56" s="49">
        <v>9</v>
      </c>
      <c r="H56" s="10">
        <v>9</v>
      </c>
      <c r="I56" s="51">
        <v>12</v>
      </c>
      <c r="J56" s="10">
        <v>12</v>
      </c>
      <c r="K56" s="46" t="s">
        <v>30</v>
      </c>
      <c r="L56" s="57">
        <v>0.25</v>
      </c>
      <c r="M56" s="50">
        <v>3</v>
      </c>
      <c r="N56" s="11"/>
      <c r="O56" s="50"/>
      <c r="P56" s="51" t="s">
        <v>20</v>
      </c>
    </row>
    <row r="57" spans="1:16" ht="15.75" customHeight="1" outlineLevel="2">
      <c r="A57" s="27">
        <v>2</v>
      </c>
      <c r="B57" s="30">
        <v>45329</v>
      </c>
      <c r="C57" s="35" t="s">
        <v>73</v>
      </c>
      <c r="D57" s="42">
        <v>1</v>
      </c>
      <c r="E57" s="47" t="s">
        <v>81</v>
      </c>
      <c r="F57" s="47" t="s">
        <v>23</v>
      </c>
      <c r="G57" s="49">
        <v>1.2</v>
      </c>
      <c r="H57" s="10">
        <v>1.2</v>
      </c>
      <c r="I57" s="51">
        <v>5</v>
      </c>
      <c r="J57" s="10">
        <v>5</v>
      </c>
      <c r="K57" s="46" t="s">
        <v>71</v>
      </c>
      <c r="L57" s="57">
        <v>0.76</v>
      </c>
      <c r="M57" s="50">
        <v>3.8</v>
      </c>
      <c r="N57" s="11"/>
      <c r="O57" s="50"/>
      <c r="P57" s="51" t="s">
        <v>20</v>
      </c>
    </row>
    <row r="58" spans="1:16" ht="15.75" customHeight="1" outlineLevel="2">
      <c r="A58" s="27">
        <v>2</v>
      </c>
      <c r="B58" s="30">
        <v>45329</v>
      </c>
      <c r="C58" s="35" t="s">
        <v>73</v>
      </c>
      <c r="D58" s="42">
        <v>1</v>
      </c>
      <c r="E58" s="47" t="s">
        <v>81</v>
      </c>
      <c r="F58" s="47" t="s">
        <v>23</v>
      </c>
      <c r="G58" s="49">
        <v>1.2</v>
      </c>
      <c r="H58" s="10">
        <v>1.2</v>
      </c>
      <c r="I58" s="51">
        <v>5</v>
      </c>
      <c r="J58" s="10">
        <v>5</v>
      </c>
      <c r="K58" s="46" t="s">
        <v>71</v>
      </c>
      <c r="L58" s="57">
        <v>0.76</v>
      </c>
      <c r="M58" s="50">
        <v>3.8</v>
      </c>
      <c r="N58" s="11"/>
      <c r="O58" s="50"/>
      <c r="P58" s="51" t="s">
        <v>20</v>
      </c>
    </row>
    <row r="59" spans="1:16" ht="15.75" customHeight="1" outlineLevel="2">
      <c r="A59" s="27">
        <v>2</v>
      </c>
      <c r="B59" s="30">
        <v>45329</v>
      </c>
      <c r="C59" s="35" t="s">
        <v>82</v>
      </c>
      <c r="D59" s="42">
        <v>1</v>
      </c>
      <c r="E59" s="47" t="s">
        <v>81</v>
      </c>
      <c r="F59" s="47" t="s">
        <v>23</v>
      </c>
      <c r="G59" s="49">
        <v>1.2</v>
      </c>
      <c r="H59" s="10">
        <v>1.2</v>
      </c>
      <c r="I59" s="51">
        <v>5</v>
      </c>
      <c r="J59" s="10">
        <v>5</v>
      </c>
      <c r="K59" s="46" t="s">
        <v>71</v>
      </c>
      <c r="L59" s="57">
        <v>0.76</v>
      </c>
      <c r="M59" s="50">
        <v>3.8</v>
      </c>
      <c r="N59" s="11"/>
      <c r="O59" s="50"/>
      <c r="P59" s="51" t="s">
        <v>20</v>
      </c>
    </row>
    <row r="60" spans="1:16" ht="15.75" customHeight="1" outlineLevel="2">
      <c r="A60" s="27">
        <v>2</v>
      </c>
      <c r="B60" s="30">
        <v>45329</v>
      </c>
      <c r="C60" s="35" t="s">
        <v>82</v>
      </c>
      <c r="D60" s="42">
        <v>1</v>
      </c>
      <c r="E60" s="47" t="s">
        <v>81</v>
      </c>
      <c r="F60" s="47" t="s">
        <v>23</v>
      </c>
      <c r="G60" s="49">
        <v>1.2</v>
      </c>
      <c r="H60" s="10">
        <v>1.2</v>
      </c>
      <c r="I60" s="51">
        <v>5</v>
      </c>
      <c r="J60" s="10">
        <v>5</v>
      </c>
      <c r="K60" s="46" t="s">
        <v>71</v>
      </c>
      <c r="L60" s="57">
        <v>0.76</v>
      </c>
      <c r="M60" s="50">
        <v>3.8</v>
      </c>
      <c r="N60" s="11"/>
      <c r="O60" s="50"/>
      <c r="P60" s="51" t="s">
        <v>20</v>
      </c>
    </row>
    <row r="61" spans="1:16" ht="15.75" customHeight="1" outlineLevel="2">
      <c r="A61" s="27">
        <v>2</v>
      </c>
      <c r="B61" s="30">
        <v>45329</v>
      </c>
      <c r="C61" s="35" t="s">
        <v>83</v>
      </c>
      <c r="D61" s="42">
        <v>1</v>
      </c>
      <c r="E61" s="47" t="s">
        <v>81</v>
      </c>
      <c r="F61" s="47" t="s">
        <v>23</v>
      </c>
      <c r="G61" s="49">
        <v>13.5</v>
      </c>
      <c r="H61" s="10">
        <v>13.5</v>
      </c>
      <c r="I61" s="51">
        <v>25</v>
      </c>
      <c r="J61" s="10">
        <v>25</v>
      </c>
      <c r="K61" s="46" t="s">
        <v>71</v>
      </c>
      <c r="L61" s="57">
        <v>0.46</v>
      </c>
      <c r="M61" s="50">
        <v>11.5</v>
      </c>
      <c r="N61" s="11"/>
      <c r="O61" s="50"/>
      <c r="P61" s="51" t="s">
        <v>20</v>
      </c>
    </row>
    <row r="62" spans="1:16" ht="15.75" customHeight="1" outlineLevel="2">
      <c r="A62" s="27">
        <v>2</v>
      </c>
      <c r="B62" s="30">
        <v>45329</v>
      </c>
      <c r="C62" s="35" t="s">
        <v>84</v>
      </c>
      <c r="D62" s="42">
        <v>1</v>
      </c>
      <c r="E62" s="47" t="s">
        <v>85</v>
      </c>
      <c r="F62" s="47" t="s">
        <v>23</v>
      </c>
      <c r="G62" s="49">
        <v>10</v>
      </c>
      <c r="H62" s="10">
        <v>10</v>
      </c>
      <c r="I62" s="51">
        <v>25</v>
      </c>
      <c r="J62" s="10">
        <v>25</v>
      </c>
      <c r="K62" s="46" t="s">
        <v>71</v>
      </c>
      <c r="L62" s="57">
        <v>0.6</v>
      </c>
      <c r="M62" s="50">
        <v>15</v>
      </c>
      <c r="N62" s="11"/>
      <c r="O62" s="50"/>
      <c r="P62" s="51" t="s">
        <v>20</v>
      </c>
    </row>
    <row r="63" spans="1:16" ht="15.75" customHeight="1" outlineLevel="2">
      <c r="A63" s="27">
        <v>2</v>
      </c>
      <c r="B63" s="30">
        <v>45329</v>
      </c>
      <c r="C63" s="35" t="s">
        <v>86</v>
      </c>
      <c r="D63" s="42">
        <v>1</v>
      </c>
      <c r="E63" s="47" t="s">
        <v>85</v>
      </c>
      <c r="F63" s="47" t="s">
        <v>23</v>
      </c>
      <c r="G63" s="49">
        <v>11</v>
      </c>
      <c r="H63" s="10">
        <v>11</v>
      </c>
      <c r="I63" s="51">
        <v>25</v>
      </c>
      <c r="J63" s="10">
        <v>25</v>
      </c>
      <c r="K63" s="46" t="s">
        <v>71</v>
      </c>
      <c r="L63" s="57">
        <v>0.56000000000000005</v>
      </c>
      <c r="M63" s="50">
        <v>14</v>
      </c>
      <c r="N63" s="11"/>
      <c r="O63" s="50"/>
      <c r="P63" s="51" t="s">
        <v>20</v>
      </c>
    </row>
    <row r="64" spans="1:16" ht="15.75" customHeight="1" outlineLevel="2">
      <c r="A64" s="27">
        <v>2</v>
      </c>
      <c r="B64" s="30">
        <v>45330</v>
      </c>
      <c r="C64" s="35" t="s">
        <v>87</v>
      </c>
      <c r="D64" s="42">
        <v>1</v>
      </c>
      <c r="E64" s="47" t="s">
        <v>26</v>
      </c>
      <c r="F64" s="47" t="s">
        <v>33</v>
      </c>
      <c r="G64" s="49">
        <v>6</v>
      </c>
      <c r="H64" s="10">
        <v>6</v>
      </c>
      <c r="I64" s="51">
        <v>8</v>
      </c>
      <c r="J64" s="10">
        <v>8</v>
      </c>
      <c r="K64" s="46" t="s">
        <v>71</v>
      </c>
      <c r="L64" s="57">
        <v>0.25</v>
      </c>
      <c r="M64" s="50">
        <v>2</v>
      </c>
      <c r="N64" s="11"/>
      <c r="O64" s="50"/>
      <c r="P64" s="51" t="s">
        <v>20</v>
      </c>
    </row>
    <row r="65" spans="1:16" ht="15.75" customHeight="1" outlineLevel="2">
      <c r="A65" s="27">
        <v>2</v>
      </c>
      <c r="B65" s="30">
        <v>45330</v>
      </c>
      <c r="C65" s="35" t="s">
        <v>88</v>
      </c>
      <c r="D65" s="42">
        <v>1</v>
      </c>
      <c r="E65" s="47" t="s">
        <v>81</v>
      </c>
      <c r="F65" s="47" t="s">
        <v>23</v>
      </c>
      <c r="G65" s="49">
        <v>11</v>
      </c>
      <c r="H65" s="10">
        <v>11</v>
      </c>
      <c r="I65" s="51">
        <v>25</v>
      </c>
      <c r="J65" s="10">
        <v>25</v>
      </c>
      <c r="K65" s="46" t="s">
        <v>71</v>
      </c>
      <c r="L65" s="57">
        <v>0.56000000000000005</v>
      </c>
      <c r="M65" s="50">
        <v>14</v>
      </c>
      <c r="N65" s="11"/>
      <c r="O65" s="50"/>
      <c r="P65" s="51" t="s">
        <v>20</v>
      </c>
    </row>
    <row r="66" spans="1:16" ht="15.75" customHeight="1" outlineLevel="2">
      <c r="A66" s="27">
        <v>2</v>
      </c>
      <c r="B66" s="30">
        <v>45330</v>
      </c>
      <c r="C66" s="35" t="s">
        <v>89</v>
      </c>
      <c r="D66" s="42">
        <v>1</v>
      </c>
      <c r="E66" s="47" t="s">
        <v>81</v>
      </c>
      <c r="F66" s="47" t="s">
        <v>23</v>
      </c>
      <c r="G66" s="49">
        <v>12</v>
      </c>
      <c r="H66" s="10">
        <v>12</v>
      </c>
      <c r="I66" s="51">
        <v>30</v>
      </c>
      <c r="J66" s="10">
        <v>30</v>
      </c>
      <c r="K66" s="46" t="s">
        <v>71</v>
      </c>
      <c r="L66" s="57">
        <v>0.6</v>
      </c>
      <c r="M66" s="50">
        <v>18</v>
      </c>
      <c r="N66" s="11"/>
      <c r="O66" s="50"/>
      <c r="P66" s="51" t="s">
        <v>20</v>
      </c>
    </row>
    <row r="67" spans="1:16" ht="15.75" customHeight="1" outlineLevel="2">
      <c r="A67" s="27">
        <v>2</v>
      </c>
      <c r="B67" s="30">
        <v>45330</v>
      </c>
      <c r="C67" s="35" t="s">
        <v>90</v>
      </c>
      <c r="D67" s="42">
        <v>1</v>
      </c>
      <c r="E67" s="47" t="s">
        <v>26</v>
      </c>
      <c r="F67" s="47" t="s">
        <v>23</v>
      </c>
      <c r="G67" s="49">
        <v>18</v>
      </c>
      <c r="H67" s="10">
        <v>18</v>
      </c>
      <c r="I67" s="51">
        <v>35</v>
      </c>
      <c r="J67" s="10">
        <v>35</v>
      </c>
      <c r="K67" s="46" t="s">
        <v>71</v>
      </c>
      <c r="L67" s="57">
        <v>0.48571428571428571</v>
      </c>
      <c r="M67" s="50">
        <v>17</v>
      </c>
      <c r="N67" s="11"/>
      <c r="O67" s="50"/>
      <c r="P67" s="51" t="s">
        <v>20</v>
      </c>
    </row>
    <row r="68" spans="1:16" ht="15.75" customHeight="1" outlineLevel="2">
      <c r="A68" s="27">
        <v>2</v>
      </c>
      <c r="B68" s="30">
        <v>45331</v>
      </c>
      <c r="C68" s="35" t="s">
        <v>91</v>
      </c>
      <c r="D68" s="42">
        <v>1</v>
      </c>
      <c r="E68" s="47" t="s">
        <v>92</v>
      </c>
      <c r="F68" s="47" t="s">
        <v>33</v>
      </c>
      <c r="G68" s="49">
        <v>19</v>
      </c>
      <c r="H68" s="10">
        <v>19</v>
      </c>
      <c r="I68" s="51">
        <v>30</v>
      </c>
      <c r="J68" s="10">
        <v>30</v>
      </c>
      <c r="K68" s="46" t="s">
        <v>71</v>
      </c>
      <c r="L68" s="57">
        <v>0.36666666666666664</v>
      </c>
      <c r="M68" s="50">
        <v>11</v>
      </c>
      <c r="N68" s="11"/>
      <c r="O68" s="50"/>
      <c r="P68" s="51" t="s">
        <v>20</v>
      </c>
    </row>
    <row r="69" spans="1:16" ht="15.75" customHeight="1" outlineLevel="2">
      <c r="A69" s="27">
        <v>2</v>
      </c>
      <c r="B69" s="30">
        <v>45331</v>
      </c>
      <c r="C69" s="35" t="s">
        <v>93</v>
      </c>
      <c r="D69" s="42">
        <v>1</v>
      </c>
      <c r="E69" s="47" t="s">
        <v>94</v>
      </c>
      <c r="F69" s="47" t="s">
        <v>33</v>
      </c>
      <c r="G69" s="49">
        <v>80</v>
      </c>
      <c r="H69" s="10">
        <v>80</v>
      </c>
      <c r="I69" s="51">
        <v>115</v>
      </c>
      <c r="J69" s="10">
        <v>115</v>
      </c>
      <c r="K69" s="46" t="s">
        <v>71</v>
      </c>
      <c r="L69" s="57">
        <v>0.30434782608695654</v>
      </c>
      <c r="M69" s="50">
        <v>35</v>
      </c>
      <c r="N69" s="11"/>
      <c r="O69" s="50"/>
      <c r="P69" s="51" t="s">
        <v>20</v>
      </c>
    </row>
    <row r="70" spans="1:16" ht="15.75" customHeight="1" outlineLevel="2">
      <c r="A70" s="27">
        <v>2</v>
      </c>
      <c r="B70" s="30">
        <v>45331</v>
      </c>
      <c r="C70" s="35" t="s">
        <v>95</v>
      </c>
      <c r="D70" s="42">
        <v>1</v>
      </c>
      <c r="E70" s="47" t="s">
        <v>96</v>
      </c>
      <c r="F70" s="47" t="s">
        <v>23</v>
      </c>
      <c r="G70" s="49">
        <v>23.5</v>
      </c>
      <c r="H70" s="10">
        <v>23.5</v>
      </c>
      <c r="I70" s="51">
        <v>40</v>
      </c>
      <c r="J70" s="10">
        <v>40</v>
      </c>
      <c r="K70" s="46" t="s">
        <v>71</v>
      </c>
      <c r="L70" s="57">
        <v>0.41249999999999998</v>
      </c>
      <c r="M70" s="50">
        <v>16.5</v>
      </c>
      <c r="N70" s="11"/>
      <c r="O70" s="50"/>
      <c r="P70" s="51" t="s">
        <v>20</v>
      </c>
    </row>
    <row r="71" spans="1:16" ht="15.75" customHeight="1" outlineLevel="2">
      <c r="A71" s="27">
        <v>2</v>
      </c>
      <c r="B71" s="30">
        <v>45331</v>
      </c>
      <c r="C71" s="35" t="s">
        <v>97</v>
      </c>
      <c r="D71" s="42">
        <v>1</v>
      </c>
      <c r="E71" s="47" t="s">
        <v>26</v>
      </c>
      <c r="F71" s="47" t="s">
        <v>18</v>
      </c>
      <c r="G71" s="49">
        <v>3</v>
      </c>
      <c r="H71" s="10">
        <v>3</v>
      </c>
      <c r="I71" s="51">
        <v>6.666666666666667</v>
      </c>
      <c r="J71" s="10">
        <v>6.666666666666667</v>
      </c>
      <c r="K71" s="46" t="s">
        <v>71</v>
      </c>
      <c r="L71" s="57">
        <v>0.55000000000000004</v>
      </c>
      <c r="M71" s="50">
        <v>3.666666666666667</v>
      </c>
      <c r="N71" s="11"/>
      <c r="O71" s="50"/>
      <c r="P71" s="51" t="s">
        <v>20</v>
      </c>
    </row>
    <row r="72" spans="1:16" ht="15.75" customHeight="1" outlineLevel="2">
      <c r="A72" s="27">
        <v>2</v>
      </c>
      <c r="B72" s="30">
        <v>45331</v>
      </c>
      <c r="C72" s="35" t="s">
        <v>97</v>
      </c>
      <c r="D72" s="42">
        <v>1</v>
      </c>
      <c r="E72" s="47" t="s">
        <v>26</v>
      </c>
      <c r="F72" s="47" t="s">
        <v>18</v>
      </c>
      <c r="G72" s="49">
        <v>3</v>
      </c>
      <c r="H72" s="10">
        <v>3</v>
      </c>
      <c r="I72" s="51">
        <v>6.666666666666667</v>
      </c>
      <c r="J72" s="10">
        <v>6.666666666666667</v>
      </c>
      <c r="K72" s="46" t="s">
        <v>71</v>
      </c>
      <c r="L72" s="57">
        <v>0.55000000000000004</v>
      </c>
      <c r="M72" s="50">
        <v>3.666666666666667</v>
      </c>
      <c r="N72" s="11"/>
      <c r="O72" s="50"/>
      <c r="P72" s="51" t="s">
        <v>20</v>
      </c>
    </row>
    <row r="73" spans="1:16" ht="15.75" customHeight="1" outlineLevel="2">
      <c r="A73" s="27">
        <v>2</v>
      </c>
      <c r="B73" s="30">
        <v>45331</v>
      </c>
      <c r="C73" s="35" t="s">
        <v>97</v>
      </c>
      <c r="D73" s="42">
        <v>1</v>
      </c>
      <c r="E73" s="47" t="s">
        <v>26</v>
      </c>
      <c r="F73" s="47" t="s">
        <v>18</v>
      </c>
      <c r="G73" s="49">
        <v>3</v>
      </c>
      <c r="H73" s="10">
        <v>3</v>
      </c>
      <c r="I73" s="51">
        <v>6.666666666666667</v>
      </c>
      <c r="J73" s="10">
        <v>6.666666666666667</v>
      </c>
      <c r="K73" s="46" t="s">
        <v>71</v>
      </c>
      <c r="L73" s="57">
        <v>0.55000000000000004</v>
      </c>
      <c r="M73" s="50">
        <v>3.666666666666667</v>
      </c>
      <c r="N73" s="11"/>
      <c r="O73" s="50"/>
      <c r="P73" s="51" t="s">
        <v>20</v>
      </c>
    </row>
    <row r="74" spans="1:16" ht="15.75" customHeight="1" outlineLevel="2">
      <c r="A74" s="27">
        <v>2</v>
      </c>
      <c r="B74" s="30">
        <v>45331</v>
      </c>
      <c r="C74" s="35" t="s">
        <v>28</v>
      </c>
      <c r="D74" s="42">
        <v>1</v>
      </c>
      <c r="E74" s="47" t="s">
        <v>98</v>
      </c>
      <c r="F74" s="47" t="s">
        <v>18</v>
      </c>
      <c r="G74" s="49">
        <v>14</v>
      </c>
      <c r="H74" s="10">
        <v>14</v>
      </c>
      <c r="I74" s="51">
        <v>25</v>
      </c>
      <c r="J74" s="10">
        <v>25</v>
      </c>
      <c r="K74" s="46" t="s">
        <v>71</v>
      </c>
      <c r="L74" s="57">
        <v>0.44</v>
      </c>
      <c r="M74" s="50">
        <v>11</v>
      </c>
      <c r="N74" s="11"/>
      <c r="O74" s="50"/>
      <c r="P74" s="51" t="s">
        <v>20</v>
      </c>
    </row>
    <row r="75" spans="1:16" ht="15.75" customHeight="1" outlineLevel="2">
      <c r="A75" s="27">
        <v>2</v>
      </c>
      <c r="B75" s="30">
        <v>45332</v>
      </c>
      <c r="C75" s="35" t="s">
        <v>99</v>
      </c>
      <c r="D75" s="42">
        <v>1</v>
      </c>
      <c r="E75" s="47" t="s">
        <v>100</v>
      </c>
      <c r="F75" s="47" t="s">
        <v>33</v>
      </c>
      <c r="G75" s="49">
        <v>2</v>
      </c>
      <c r="H75" s="10">
        <v>2</v>
      </c>
      <c r="I75" s="51">
        <v>12.5</v>
      </c>
      <c r="J75" s="10">
        <v>12.5</v>
      </c>
      <c r="K75" s="46" t="s">
        <v>71</v>
      </c>
      <c r="L75" s="57">
        <v>0.84</v>
      </c>
      <c r="M75" s="50">
        <v>10.5</v>
      </c>
      <c r="N75" s="11"/>
      <c r="O75" s="50"/>
      <c r="P75" s="51" t="s">
        <v>20</v>
      </c>
    </row>
    <row r="76" spans="1:16" ht="15.75" customHeight="1" outlineLevel="2">
      <c r="A76" s="27">
        <v>2</v>
      </c>
      <c r="B76" s="30">
        <v>45332</v>
      </c>
      <c r="C76" s="35" t="s">
        <v>97</v>
      </c>
      <c r="D76" s="42">
        <v>1</v>
      </c>
      <c r="E76" s="47" t="s">
        <v>100</v>
      </c>
      <c r="F76" s="47" t="s">
        <v>33</v>
      </c>
      <c r="G76" s="49">
        <v>3</v>
      </c>
      <c r="H76" s="10">
        <v>3</v>
      </c>
      <c r="I76" s="51">
        <v>12.5</v>
      </c>
      <c r="J76" s="10">
        <v>12.5</v>
      </c>
      <c r="K76" s="46" t="s">
        <v>71</v>
      </c>
      <c r="L76" s="57">
        <v>0.76</v>
      </c>
      <c r="M76" s="50">
        <v>9.5</v>
      </c>
      <c r="N76" s="11"/>
      <c r="O76" s="50"/>
      <c r="P76" s="51" t="s">
        <v>20</v>
      </c>
    </row>
    <row r="77" spans="1:16" ht="15.75" customHeight="1" outlineLevel="2">
      <c r="A77" s="27">
        <v>2</v>
      </c>
      <c r="B77" s="30">
        <v>45332</v>
      </c>
      <c r="C77" s="35" t="s">
        <v>99</v>
      </c>
      <c r="D77" s="42">
        <v>1</v>
      </c>
      <c r="E77" s="47" t="s">
        <v>100</v>
      </c>
      <c r="F77" s="47" t="s">
        <v>33</v>
      </c>
      <c r="G77" s="49">
        <v>2</v>
      </c>
      <c r="H77" s="10">
        <v>2</v>
      </c>
      <c r="I77" s="51">
        <v>12.5</v>
      </c>
      <c r="J77" s="10">
        <v>12.5</v>
      </c>
      <c r="K77" s="46" t="s">
        <v>71</v>
      </c>
      <c r="L77" s="57">
        <v>0.84</v>
      </c>
      <c r="M77" s="50">
        <v>10.5</v>
      </c>
      <c r="N77" s="11"/>
      <c r="O77" s="50"/>
      <c r="P77" s="51" t="s">
        <v>20</v>
      </c>
    </row>
    <row r="78" spans="1:16" ht="15.75" customHeight="1" outlineLevel="2">
      <c r="A78" s="27">
        <v>2</v>
      </c>
      <c r="B78" s="30">
        <v>45332</v>
      </c>
      <c r="C78" s="35" t="s">
        <v>97</v>
      </c>
      <c r="D78" s="42">
        <v>1</v>
      </c>
      <c r="E78" s="47" t="s">
        <v>100</v>
      </c>
      <c r="F78" s="47" t="s">
        <v>33</v>
      </c>
      <c r="G78" s="49">
        <v>3</v>
      </c>
      <c r="H78" s="10">
        <v>3</v>
      </c>
      <c r="I78" s="51">
        <v>12.5</v>
      </c>
      <c r="J78" s="10">
        <v>12.5</v>
      </c>
      <c r="K78" s="46" t="s">
        <v>71</v>
      </c>
      <c r="L78" s="57">
        <v>0.76</v>
      </c>
      <c r="M78" s="50">
        <v>9.5</v>
      </c>
      <c r="N78" s="11"/>
      <c r="O78" s="50"/>
      <c r="P78" s="51" t="s">
        <v>20</v>
      </c>
    </row>
    <row r="79" spans="1:16" ht="15.75" customHeight="1" outlineLevel="2">
      <c r="A79" s="27">
        <v>2</v>
      </c>
      <c r="B79" s="30">
        <v>45332</v>
      </c>
      <c r="C79" s="35" t="s">
        <v>101</v>
      </c>
      <c r="D79" s="42">
        <v>1</v>
      </c>
      <c r="E79" s="47" t="s">
        <v>100</v>
      </c>
      <c r="F79" s="47" t="s">
        <v>33</v>
      </c>
      <c r="G79" s="49">
        <v>5.5</v>
      </c>
      <c r="H79" s="10">
        <v>5.5</v>
      </c>
      <c r="I79" s="51">
        <v>15</v>
      </c>
      <c r="J79" s="10">
        <v>15</v>
      </c>
      <c r="K79" s="46" t="s">
        <v>71</v>
      </c>
      <c r="L79" s="57">
        <v>0.6333333333333333</v>
      </c>
      <c r="M79" s="50">
        <v>9.5</v>
      </c>
      <c r="N79" s="11"/>
      <c r="O79" s="50"/>
      <c r="P79" s="51" t="s">
        <v>20</v>
      </c>
    </row>
    <row r="80" spans="1:16" ht="15.75" customHeight="1" outlineLevel="2">
      <c r="A80" s="27">
        <v>2</v>
      </c>
      <c r="B80" s="30">
        <v>45332</v>
      </c>
      <c r="C80" s="35" t="s">
        <v>101</v>
      </c>
      <c r="D80" s="42">
        <v>1</v>
      </c>
      <c r="E80" s="47" t="s">
        <v>100</v>
      </c>
      <c r="F80" s="47" t="s">
        <v>33</v>
      </c>
      <c r="G80" s="49">
        <v>5.5</v>
      </c>
      <c r="H80" s="10">
        <v>5.5</v>
      </c>
      <c r="I80" s="51">
        <v>15</v>
      </c>
      <c r="J80" s="10">
        <v>15</v>
      </c>
      <c r="K80" s="46" t="s">
        <v>71</v>
      </c>
      <c r="L80" s="57">
        <v>0.6333333333333333</v>
      </c>
      <c r="M80" s="50">
        <v>9.5</v>
      </c>
      <c r="N80" s="11"/>
      <c r="O80" s="50"/>
      <c r="P80" s="51" t="s">
        <v>20</v>
      </c>
    </row>
    <row r="81" spans="1:16" ht="15.75" customHeight="1" outlineLevel="2">
      <c r="A81" s="27">
        <v>2</v>
      </c>
      <c r="B81" s="30">
        <v>45332</v>
      </c>
      <c r="C81" s="35" t="s">
        <v>102</v>
      </c>
      <c r="D81" s="42">
        <v>1</v>
      </c>
      <c r="E81" s="47" t="s">
        <v>100</v>
      </c>
      <c r="F81" s="47" t="s">
        <v>33</v>
      </c>
      <c r="G81" s="49">
        <v>27</v>
      </c>
      <c r="H81" s="10">
        <v>27</v>
      </c>
      <c r="I81" s="51">
        <v>44</v>
      </c>
      <c r="J81" s="10">
        <v>44</v>
      </c>
      <c r="K81" s="46" t="s">
        <v>71</v>
      </c>
      <c r="L81" s="57">
        <v>0.38636363636363635</v>
      </c>
      <c r="M81" s="50">
        <v>17</v>
      </c>
      <c r="N81" s="11"/>
      <c r="O81" s="50"/>
      <c r="P81" s="51" t="s">
        <v>20</v>
      </c>
    </row>
    <row r="82" spans="1:16" ht="15.75" customHeight="1" outlineLevel="2">
      <c r="A82" s="27">
        <v>2</v>
      </c>
      <c r="B82" s="30">
        <v>45332</v>
      </c>
      <c r="C82" s="35" t="s">
        <v>87</v>
      </c>
      <c r="D82" s="42">
        <v>1</v>
      </c>
      <c r="E82" s="47" t="s">
        <v>100</v>
      </c>
      <c r="F82" s="47" t="s">
        <v>33</v>
      </c>
      <c r="G82" s="49">
        <v>6</v>
      </c>
      <c r="H82" s="10">
        <v>6</v>
      </c>
      <c r="I82" s="51">
        <v>10</v>
      </c>
      <c r="J82" s="10">
        <v>10</v>
      </c>
      <c r="K82" s="46" t="s">
        <v>71</v>
      </c>
      <c r="L82" s="57">
        <v>0.4</v>
      </c>
      <c r="M82" s="50">
        <v>4</v>
      </c>
      <c r="N82" s="11"/>
      <c r="O82" s="50"/>
      <c r="P82" s="51" t="s">
        <v>20</v>
      </c>
    </row>
    <row r="83" spans="1:16" ht="15.75" customHeight="1" outlineLevel="2">
      <c r="A83" s="27">
        <v>2</v>
      </c>
      <c r="B83" s="30">
        <v>45332</v>
      </c>
      <c r="C83" s="35" t="s">
        <v>103</v>
      </c>
      <c r="D83" s="42">
        <v>1</v>
      </c>
      <c r="E83" s="47" t="s">
        <v>100</v>
      </c>
      <c r="F83" s="47" t="s">
        <v>33</v>
      </c>
      <c r="G83" s="49">
        <v>75</v>
      </c>
      <c r="H83" s="10">
        <v>75</v>
      </c>
      <c r="I83" s="51">
        <v>140</v>
      </c>
      <c r="J83" s="10">
        <v>140</v>
      </c>
      <c r="K83" s="46" t="s">
        <v>71</v>
      </c>
      <c r="L83" s="57">
        <v>0.4642857142857143</v>
      </c>
      <c r="M83" s="50">
        <v>65</v>
      </c>
      <c r="N83" s="11"/>
      <c r="O83" s="50"/>
      <c r="P83" s="51" t="s">
        <v>20</v>
      </c>
    </row>
    <row r="84" spans="1:16" ht="15.75" customHeight="1" outlineLevel="2">
      <c r="A84" s="27">
        <v>2</v>
      </c>
      <c r="B84" s="30">
        <v>45332</v>
      </c>
      <c r="C84" s="35" t="s">
        <v>104</v>
      </c>
      <c r="D84" s="42">
        <v>1</v>
      </c>
      <c r="E84" s="47" t="s">
        <v>26</v>
      </c>
      <c r="F84" s="47" t="s">
        <v>23</v>
      </c>
      <c r="G84" s="49">
        <v>3</v>
      </c>
      <c r="H84" s="10">
        <v>3</v>
      </c>
      <c r="I84" s="51">
        <v>7.5</v>
      </c>
      <c r="J84" s="10">
        <v>7.5</v>
      </c>
      <c r="K84" s="46" t="s">
        <v>71</v>
      </c>
      <c r="L84" s="57">
        <v>0.6</v>
      </c>
      <c r="M84" s="50">
        <v>4.5</v>
      </c>
      <c r="N84" s="11"/>
      <c r="O84" s="50"/>
      <c r="P84" s="51" t="s">
        <v>20</v>
      </c>
    </row>
    <row r="85" spans="1:16" ht="15.75" customHeight="1" outlineLevel="2">
      <c r="A85" s="27">
        <v>2</v>
      </c>
      <c r="B85" s="30">
        <v>45332</v>
      </c>
      <c r="C85" s="35" t="s">
        <v>104</v>
      </c>
      <c r="D85" s="42">
        <v>1</v>
      </c>
      <c r="E85" s="47" t="s">
        <v>26</v>
      </c>
      <c r="F85" s="47" t="s">
        <v>23</v>
      </c>
      <c r="G85" s="49">
        <v>3</v>
      </c>
      <c r="H85" s="10">
        <v>3</v>
      </c>
      <c r="I85" s="51">
        <v>7.5</v>
      </c>
      <c r="J85" s="10">
        <v>7.5</v>
      </c>
      <c r="K85" s="46" t="s">
        <v>71</v>
      </c>
      <c r="L85" s="57">
        <v>0.6</v>
      </c>
      <c r="M85" s="50">
        <v>4.5</v>
      </c>
      <c r="N85" s="11"/>
      <c r="O85" s="50"/>
      <c r="P85" s="51" t="s">
        <v>20</v>
      </c>
    </row>
    <row r="86" spans="1:16" ht="15.75" customHeight="1" outlineLevel="2">
      <c r="A86" s="27">
        <v>2</v>
      </c>
      <c r="B86" s="30">
        <v>45332</v>
      </c>
      <c r="C86" s="35" t="s">
        <v>55</v>
      </c>
      <c r="D86" s="42">
        <v>1</v>
      </c>
      <c r="E86" s="47" t="s">
        <v>105</v>
      </c>
      <c r="F86" s="47" t="s">
        <v>18</v>
      </c>
      <c r="G86" s="49">
        <v>3</v>
      </c>
      <c r="H86" s="10">
        <v>3</v>
      </c>
      <c r="I86" s="51">
        <v>30</v>
      </c>
      <c r="J86" s="10">
        <v>30</v>
      </c>
      <c r="K86" s="46" t="s">
        <v>71</v>
      </c>
      <c r="L86" s="57">
        <v>0.9</v>
      </c>
      <c r="M86" s="50">
        <v>27</v>
      </c>
      <c r="N86" s="11"/>
      <c r="O86" s="50"/>
      <c r="P86" s="51" t="s">
        <v>20</v>
      </c>
    </row>
    <row r="87" spans="1:16" ht="15.75" customHeight="1" outlineLevel="2">
      <c r="A87" s="27">
        <v>2</v>
      </c>
      <c r="B87" s="30">
        <v>45332</v>
      </c>
      <c r="C87" s="35" t="s">
        <v>97</v>
      </c>
      <c r="D87" s="42">
        <v>1</v>
      </c>
      <c r="E87" s="47" t="s">
        <v>105</v>
      </c>
      <c r="F87" s="47" t="s">
        <v>18</v>
      </c>
      <c r="G87" s="49">
        <v>3</v>
      </c>
      <c r="H87" s="10">
        <v>3</v>
      </c>
      <c r="I87" s="51">
        <v>10</v>
      </c>
      <c r="J87" s="10">
        <v>10</v>
      </c>
      <c r="K87" s="46" t="s">
        <v>71</v>
      </c>
      <c r="L87" s="57">
        <v>0.7</v>
      </c>
      <c r="M87" s="50">
        <v>7</v>
      </c>
      <c r="N87" s="11"/>
      <c r="O87" s="50"/>
      <c r="P87" s="51" t="s">
        <v>20</v>
      </c>
    </row>
    <row r="88" spans="1:16" ht="15.75" customHeight="1" outlineLevel="2">
      <c r="A88" s="27">
        <v>2</v>
      </c>
      <c r="B88" s="30">
        <v>45332</v>
      </c>
      <c r="C88" s="35" t="s">
        <v>106</v>
      </c>
      <c r="D88" s="42">
        <v>1</v>
      </c>
      <c r="E88" s="47" t="s">
        <v>107</v>
      </c>
      <c r="F88" s="47" t="s">
        <v>18</v>
      </c>
      <c r="G88" s="49">
        <v>10</v>
      </c>
      <c r="H88" s="10">
        <v>10</v>
      </c>
      <c r="I88" s="51">
        <v>20</v>
      </c>
      <c r="J88" s="10">
        <v>20</v>
      </c>
      <c r="K88" s="46" t="s">
        <v>71</v>
      </c>
      <c r="L88" s="57">
        <v>0.5</v>
      </c>
      <c r="M88" s="50">
        <v>10</v>
      </c>
      <c r="N88" s="11"/>
      <c r="O88" s="50"/>
      <c r="P88" s="51" t="s">
        <v>20</v>
      </c>
    </row>
    <row r="89" spans="1:16" ht="15.75" customHeight="1" outlineLevel="2">
      <c r="A89" s="27">
        <v>2</v>
      </c>
      <c r="B89" s="30">
        <v>45332</v>
      </c>
      <c r="C89" s="35" t="s">
        <v>97</v>
      </c>
      <c r="D89" s="42">
        <v>1</v>
      </c>
      <c r="E89" s="47" t="s">
        <v>107</v>
      </c>
      <c r="F89" s="47" t="s">
        <v>18</v>
      </c>
      <c r="G89" s="49">
        <v>3</v>
      </c>
      <c r="H89" s="10">
        <v>3</v>
      </c>
      <c r="I89" s="51">
        <v>3</v>
      </c>
      <c r="J89" s="10">
        <v>3</v>
      </c>
      <c r="K89" s="46" t="s">
        <v>71</v>
      </c>
      <c r="L89" s="57">
        <v>0</v>
      </c>
      <c r="M89" s="50">
        <v>0</v>
      </c>
      <c r="N89" s="11"/>
      <c r="O89" s="50"/>
      <c r="P89" s="51" t="s">
        <v>20</v>
      </c>
    </row>
    <row r="90" spans="1:16" ht="15.75" customHeight="1" outlineLevel="2">
      <c r="A90" s="27">
        <v>2</v>
      </c>
      <c r="B90" s="30">
        <v>45332</v>
      </c>
      <c r="C90" s="35" t="s">
        <v>108</v>
      </c>
      <c r="D90" s="42">
        <v>1</v>
      </c>
      <c r="E90" s="47" t="s">
        <v>26</v>
      </c>
      <c r="F90" s="47" t="s">
        <v>23</v>
      </c>
      <c r="G90" s="49">
        <v>45</v>
      </c>
      <c r="H90" s="10">
        <v>45</v>
      </c>
      <c r="I90" s="51">
        <v>55</v>
      </c>
      <c r="J90" s="10">
        <v>55</v>
      </c>
      <c r="K90" s="46" t="s">
        <v>71</v>
      </c>
      <c r="L90" s="57">
        <v>0.18181818181818182</v>
      </c>
      <c r="M90" s="50">
        <v>10</v>
      </c>
      <c r="N90" s="11"/>
      <c r="O90" s="50"/>
      <c r="P90" s="51" t="s">
        <v>20</v>
      </c>
    </row>
    <row r="91" spans="1:16" ht="15.75" customHeight="1" outlineLevel="2">
      <c r="A91" s="27">
        <v>2</v>
      </c>
      <c r="B91" s="30">
        <v>45332</v>
      </c>
      <c r="C91" s="35" t="s">
        <v>109</v>
      </c>
      <c r="D91" s="42">
        <v>1</v>
      </c>
      <c r="E91" s="47" t="s">
        <v>110</v>
      </c>
      <c r="F91" s="47" t="s">
        <v>23</v>
      </c>
      <c r="G91" s="49">
        <v>50</v>
      </c>
      <c r="H91" s="10">
        <v>50</v>
      </c>
      <c r="I91" s="51">
        <v>75</v>
      </c>
      <c r="J91" s="10">
        <v>75</v>
      </c>
      <c r="K91" s="46" t="s">
        <v>71</v>
      </c>
      <c r="L91" s="57">
        <v>0.33333333333333331</v>
      </c>
      <c r="M91" s="50">
        <v>25</v>
      </c>
      <c r="N91" s="11"/>
      <c r="O91" s="50"/>
      <c r="P91" s="51" t="s">
        <v>20</v>
      </c>
    </row>
    <row r="92" spans="1:16" ht="15.75" customHeight="1" outlineLevel="2">
      <c r="A92" s="27">
        <v>2</v>
      </c>
      <c r="B92" s="30">
        <v>45332</v>
      </c>
      <c r="C92" s="35" t="s">
        <v>111</v>
      </c>
      <c r="D92" s="42">
        <v>1</v>
      </c>
      <c r="E92" s="47" t="s">
        <v>110</v>
      </c>
      <c r="F92" s="47" t="s">
        <v>23</v>
      </c>
      <c r="G92" s="49">
        <v>50</v>
      </c>
      <c r="H92" s="10">
        <v>50</v>
      </c>
      <c r="I92" s="51">
        <v>80</v>
      </c>
      <c r="J92" s="10">
        <v>80</v>
      </c>
      <c r="K92" s="46" t="s">
        <v>71</v>
      </c>
      <c r="L92" s="57">
        <v>0.375</v>
      </c>
      <c r="M92" s="50">
        <v>30</v>
      </c>
      <c r="N92" s="11"/>
      <c r="O92" s="50"/>
      <c r="P92" s="51" t="s">
        <v>20</v>
      </c>
    </row>
    <row r="93" spans="1:16" ht="15.75" customHeight="1" outlineLevel="2">
      <c r="A93" s="27">
        <v>2</v>
      </c>
      <c r="B93" s="30">
        <v>45337</v>
      </c>
      <c r="C93" s="35" t="s">
        <v>32</v>
      </c>
      <c r="D93" s="42">
        <v>1</v>
      </c>
      <c r="E93" s="47" t="s">
        <v>22</v>
      </c>
      <c r="F93" s="47" t="s">
        <v>23</v>
      </c>
      <c r="G93" s="49">
        <v>7.5</v>
      </c>
      <c r="H93" s="10">
        <v>7.5</v>
      </c>
      <c r="I93" s="51">
        <v>14.2</v>
      </c>
      <c r="J93" s="10">
        <v>14.2</v>
      </c>
      <c r="K93" s="46" t="s">
        <v>30</v>
      </c>
      <c r="L93" s="57">
        <v>0.47183098591549294</v>
      </c>
      <c r="M93" s="50">
        <v>6.6999999999999993</v>
      </c>
      <c r="N93" s="11"/>
      <c r="O93" s="50"/>
      <c r="P93" s="51" t="s">
        <v>20</v>
      </c>
    </row>
    <row r="94" spans="1:16" ht="15.75" customHeight="1" outlineLevel="2">
      <c r="A94" s="27">
        <v>2</v>
      </c>
      <c r="B94" s="30">
        <v>45338</v>
      </c>
      <c r="C94" s="35" t="s">
        <v>112</v>
      </c>
      <c r="D94" s="42">
        <v>1</v>
      </c>
      <c r="E94" s="13" t="s">
        <v>113</v>
      </c>
      <c r="F94" s="47" t="s">
        <v>33</v>
      </c>
      <c r="G94" s="49">
        <v>12</v>
      </c>
      <c r="H94" s="10">
        <v>12</v>
      </c>
      <c r="I94" s="51">
        <v>35</v>
      </c>
      <c r="J94" s="10">
        <v>35</v>
      </c>
      <c r="K94" s="46" t="s">
        <v>71</v>
      </c>
      <c r="L94" s="57">
        <v>0.65714285714285714</v>
      </c>
      <c r="M94" s="50">
        <v>23</v>
      </c>
      <c r="N94" s="11"/>
      <c r="O94" s="50"/>
      <c r="P94" s="51" t="s">
        <v>20</v>
      </c>
    </row>
    <row r="95" spans="1:16" ht="15.75" customHeight="1" outlineLevel="2">
      <c r="A95" s="27">
        <v>2</v>
      </c>
      <c r="B95" s="30">
        <v>45338</v>
      </c>
      <c r="C95" s="35" t="s">
        <v>114</v>
      </c>
      <c r="D95" s="42">
        <v>1</v>
      </c>
      <c r="E95" s="47" t="s">
        <v>115</v>
      </c>
      <c r="F95" s="47" t="s">
        <v>33</v>
      </c>
      <c r="G95" s="49">
        <v>20</v>
      </c>
      <c r="H95" s="10">
        <v>20</v>
      </c>
      <c r="I95" s="51">
        <v>28</v>
      </c>
      <c r="J95" s="10">
        <v>28</v>
      </c>
      <c r="K95" s="46" t="s">
        <v>71</v>
      </c>
      <c r="L95" s="57">
        <v>0.2857142857142857</v>
      </c>
      <c r="M95" s="50">
        <v>8</v>
      </c>
      <c r="N95" s="11"/>
      <c r="O95" s="50"/>
      <c r="P95" s="51" t="s">
        <v>20</v>
      </c>
    </row>
    <row r="96" spans="1:16" ht="15.75" customHeight="1" outlineLevel="2">
      <c r="A96" s="27">
        <v>2</v>
      </c>
      <c r="B96" s="30">
        <v>45338</v>
      </c>
      <c r="C96" s="35" t="s">
        <v>116</v>
      </c>
      <c r="D96" s="42">
        <v>1</v>
      </c>
      <c r="E96" s="47" t="s">
        <v>22</v>
      </c>
      <c r="F96" s="47" t="s">
        <v>23</v>
      </c>
      <c r="G96" s="49">
        <v>4</v>
      </c>
      <c r="H96" s="10">
        <v>4</v>
      </c>
      <c r="I96" s="51">
        <v>11.41</v>
      </c>
      <c r="J96" s="10">
        <v>11.41</v>
      </c>
      <c r="K96" s="46" t="s">
        <v>30</v>
      </c>
      <c r="L96" s="57">
        <v>0.64943032427695002</v>
      </c>
      <c r="M96" s="50">
        <v>7.41</v>
      </c>
      <c r="N96" s="11"/>
      <c r="O96" s="50"/>
      <c r="P96" s="51" t="s">
        <v>20</v>
      </c>
    </row>
    <row r="97" spans="1:16" ht="15.75" customHeight="1" outlineLevel="2">
      <c r="A97" s="27">
        <v>2</v>
      </c>
      <c r="B97" s="30">
        <v>45338</v>
      </c>
      <c r="C97" s="35" t="s">
        <v>28</v>
      </c>
      <c r="D97" s="42">
        <v>1</v>
      </c>
      <c r="E97" s="47" t="s">
        <v>117</v>
      </c>
      <c r="F97" s="47" t="s">
        <v>23</v>
      </c>
      <c r="G97" s="49">
        <v>14</v>
      </c>
      <c r="H97" s="10">
        <v>14</v>
      </c>
      <c r="I97" s="51">
        <v>30</v>
      </c>
      <c r="J97" s="10">
        <v>30</v>
      </c>
      <c r="K97" s="46" t="s">
        <v>71</v>
      </c>
      <c r="L97" s="57">
        <v>0.53333333333333333</v>
      </c>
      <c r="M97" s="50">
        <v>16</v>
      </c>
      <c r="N97" s="11"/>
      <c r="O97" s="50"/>
      <c r="P97" s="51" t="s">
        <v>20</v>
      </c>
    </row>
    <row r="98" spans="1:16" ht="15.75" customHeight="1" outlineLevel="2">
      <c r="A98" s="27">
        <v>2</v>
      </c>
      <c r="B98" s="30">
        <v>45339</v>
      </c>
      <c r="C98" s="35" t="s">
        <v>66</v>
      </c>
      <c r="D98" s="42">
        <v>1</v>
      </c>
      <c r="E98" s="47" t="s">
        <v>26</v>
      </c>
      <c r="F98" s="47" t="s">
        <v>23</v>
      </c>
      <c r="G98" s="49">
        <v>4.5</v>
      </c>
      <c r="H98" s="10">
        <v>4.5</v>
      </c>
      <c r="I98" s="51">
        <v>10</v>
      </c>
      <c r="J98" s="10">
        <v>10</v>
      </c>
      <c r="K98" s="46" t="s">
        <v>71</v>
      </c>
      <c r="L98" s="57">
        <v>0.55000000000000004</v>
      </c>
      <c r="M98" s="50">
        <v>5.5</v>
      </c>
      <c r="N98" s="11"/>
      <c r="O98" s="50"/>
      <c r="P98" s="51" t="s">
        <v>20</v>
      </c>
    </row>
    <row r="99" spans="1:16" ht="15.75" customHeight="1" outlineLevel="2">
      <c r="A99" s="27">
        <v>2</v>
      </c>
      <c r="B99" s="30">
        <v>45339</v>
      </c>
      <c r="C99" s="35" t="s">
        <v>35</v>
      </c>
      <c r="D99" s="42">
        <v>1</v>
      </c>
      <c r="E99" s="47" t="s">
        <v>26</v>
      </c>
      <c r="F99" s="47" t="s">
        <v>18</v>
      </c>
      <c r="G99" s="49">
        <v>28</v>
      </c>
      <c r="H99" s="10">
        <v>28</v>
      </c>
      <c r="I99" s="51">
        <v>50</v>
      </c>
      <c r="J99" s="10">
        <v>50</v>
      </c>
      <c r="K99" s="46" t="s">
        <v>71</v>
      </c>
      <c r="L99" s="57">
        <v>0.44</v>
      </c>
      <c r="M99" s="50">
        <v>22</v>
      </c>
      <c r="N99" s="11"/>
      <c r="O99" s="50"/>
      <c r="P99" s="51" t="s">
        <v>20</v>
      </c>
    </row>
    <row r="100" spans="1:16" ht="15.75" customHeight="1" outlineLevel="2">
      <c r="A100" s="27">
        <v>2</v>
      </c>
      <c r="B100" s="30">
        <v>45339</v>
      </c>
      <c r="C100" s="35" t="s">
        <v>118</v>
      </c>
      <c r="D100" s="42">
        <v>1</v>
      </c>
      <c r="E100" s="47" t="s">
        <v>26</v>
      </c>
      <c r="F100" s="47" t="s">
        <v>18</v>
      </c>
      <c r="G100" s="49">
        <v>16</v>
      </c>
      <c r="H100" s="10">
        <v>16</v>
      </c>
      <c r="I100" s="51">
        <v>27.5</v>
      </c>
      <c r="J100" s="10">
        <v>27.5</v>
      </c>
      <c r="K100" s="46" t="s">
        <v>71</v>
      </c>
      <c r="L100" s="57">
        <v>0.41818181818181815</v>
      </c>
      <c r="M100" s="50">
        <v>11.5</v>
      </c>
      <c r="N100" s="11"/>
      <c r="O100" s="50"/>
      <c r="P100" s="51" t="s">
        <v>20</v>
      </c>
    </row>
    <row r="101" spans="1:16" ht="15.75" customHeight="1" outlineLevel="2">
      <c r="A101" s="27">
        <v>2</v>
      </c>
      <c r="B101" s="30">
        <v>45339</v>
      </c>
      <c r="C101" s="35" t="s">
        <v>118</v>
      </c>
      <c r="D101" s="42">
        <v>1</v>
      </c>
      <c r="E101" s="47" t="s">
        <v>26</v>
      </c>
      <c r="F101" s="47" t="s">
        <v>18</v>
      </c>
      <c r="G101" s="49">
        <v>16</v>
      </c>
      <c r="H101" s="10">
        <v>16</v>
      </c>
      <c r="I101" s="51">
        <v>27.5</v>
      </c>
      <c r="J101" s="10">
        <v>27.5</v>
      </c>
      <c r="K101" s="46" t="s">
        <v>71</v>
      </c>
      <c r="L101" s="57">
        <v>0.41818181818181815</v>
      </c>
      <c r="M101" s="50">
        <v>11.5</v>
      </c>
      <c r="N101" s="11"/>
      <c r="O101" s="50"/>
      <c r="P101" s="51" t="s">
        <v>20</v>
      </c>
    </row>
    <row r="102" spans="1:16" ht="15.75" customHeight="1" outlineLevel="2">
      <c r="A102" s="27">
        <v>2</v>
      </c>
      <c r="B102" s="30">
        <v>45339</v>
      </c>
      <c r="C102" s="35" t="s">
        <v>119</v>
      </c>
      <c r="D102" s="42">
        <v>1</v>
      </c>
      <c r="E102" s="47" t="s">
        <v>26</v>
      </c>
      <c r="F102" s="47" t="s">
        <v>18</v>
      </c>
      <c r="G102" s="49">
        <v>3.5</v>
      </c>
      <c r="H102" s="10">
        <v>3.5</v>
      </c>
      <c r="I102" s="51">
        <v>10</v>
      </c>
      <c r="J102" s="10">
        <v>10</v>
      </c>
      <c r="K102" s="46" t="s">
        <v>71</v>
      </c>
      <c r="L102" s="57">
        <v>0.65</v>
      </c>
      <c r="M102" s="50">
        <v>6.5</v>
      </c>
      <c r="N102" s="11"/>
      <c r="O102" s="50"/>
      <c r="P102" s="51" t="s">
        <v>20</v>
      </c>
    </row>
    <row r="103" spans="1:16" ht="15.75" customHeight="1" outlineLevel="2">
      <c r="A103" s="27">
        <v>2</v>
      </c>
      <c r="B103" s="30">
        <v>45339</v>
      </c>
      <c r="C103" s="35" t="s">
        <v>120</v>
      </c>
      <c r="D103" s="42">
        <v>1</v>
      </c>
      <c r="E103" s="47" t="s">
        <v>26</v>
      </c>
      <c r="F103" s="47" t="s">
        <v>18</v>
      </c>
      <c r="G103" s="49" t="s">
        <v>79</v>
      </c>
      <c r="H103" s="10">
        <v>0</v>
      </c>
      <c r="I103" s="51">
        <v>165</v>
      </c>
      <c r="J103" s="10">
        <v>165</v>
      </c>
      <c r="K103" s="46" t="s">
        <v>71</v>
      </c>
      <c r="L103" s="57">
        <v>1</v>
      </c>
      <c r="M103" s="50">
        <v>165</v>
      </c>
      <c r="N103" s="11"/>
      <c r="O103" s="50"/>
      <c r="P103" s="51" t="s">
        <v>20</v>
      </c>
    </row>
    <row r="104" spans="1:16" ht="15.75" customHeight="1" outlineLevel="2">
      <c r="A104" s="27">
        <v>2</v>
      </c>
      <c r="B104" s="30">
        <v>45339</v>
      </c>
      <c r="C104" s="35" t="s">
        <v>121</v>
      </c>
      <c r="D104" s="42">
        <v>1</v>
      </c>
      <c r="E104" s="47" t="s">
        <v>26</v>
      </c>
      <c r="F104" s="47" t="s">
        <v>18</v>
      </c>
      <c r="G104" s="49">
        <v>11</v>
      </c>
      <c r="H104" s="10">
        <v>11</v>
      </c>
      <c r="I104" s="51">
        <v>15</v>
      </c>
      <c r="J104" s="10">
        <v>15</v>
      </c>
      <c r="K104" s="46" t="s">
        <v>71</v>
      </c>
      <c r="L104" s="57">
        <v>0.26666666666666666</v>
      </c>
      <c r="M104" s="50">
        <v>4</v>
      </c>
      <c r="N104" s="11"/>
      <c r="O104" s="50"/>
      <c r="P104" s="51" t="s">
        <v>20</v>
      </c>
    </row>
    <row r="105" spans="1:16" ht="15.75" customHeight="1" outlineLevel="2">
      <c r="A105" s="27">
        <v>2</v>
      </c>
      <c r="B105" s="30">
        <v>45339</v>
      </c>
      <c r="C105" s="35" t="s">
        <v>59</v>
      </c>
      <c r="D105" s="42">
        <v>1</v>
      </c>
      <c r="E105" s="47" t="s">
        <v>26</v>
      </c>
      <c r="F105" s="47" t="s">
        <v>18</v>
      </c>
      <c r="G105" s="49">
        <v>8</v>
      </c>
      <c r="H105" s="10">
        <v>8</v>
      </c>
      <c r="I105" s="51">
        <v>15</v>
      </c>
      <c r="J105" s="10">
        <v>15</v>
      </c>
      <c r="K105" s="46" t="s">
        <v>71</v>
      </c>
      <c r="L105" s="57">
        <v>0.46666666666666667</v>
      </c>
      <c r="M105" s="50">
        <v>7</v>
      </c>
      <c r="N105" s="11"/>
      <c r="O105" s="50"/>
      <c r="P105" s="51" t="s">
        <v>20</v>
      </c>
    </row>
    <row r="106" spans="1:16" ht="15.75" customHeight="1" outlineLevel="2">
      <c r="A106" s="27">
        <v>2</v>
      </c>
      <c r="B106" s="30">
        <v>45339</v>
      </c>
      <c r="C106" s="35" t="s">
        <v>122</v>
      </c>
      <c r="D106" s="42">
        <v>1</v>
      </c>
      <c r="E106" s="47" t="s">
        <v>26</v>
      </c>
      <c r="F106" s="47" t="s">
        <v>18</v>
      </c>
      <c r="G106" s="49">
        <v>65</v>
      </c>
      <c r="H106" s="10">
        <v>65</v>
      </c>
      <c r="I106" s="51">
        <v>96.35</v>
      </c>
      <c r="J106" s="10">
        <v>96.35</v>
      </c>
      <c r="K106" s="46" t="s">
        <v>71</v>
      </c>
      <c r="L106" s="57">
        <v>0.32537623248572906</v>
      </c>
      <c r="M106" s="50">
        <v>31.349999999999994</v>
      </c>
      <c r="N106" s="11"/>
      <c r="O106" s="50"/>
      <c r="P106" s="51" t="s">
        <v>20</v>
      </c>
    </row>
    <row r="107" spans="1:16" ht="15.75" customHeight="1" outlineLevel="2">
      <c r="A107" s="27">
        <v>2</v>
      </c>
      <c r="B107" s="30">
        <v>45339</v>
      </c>
      <c r="C107" s="35" t="s">
        <v>97</v>
      </c>
      <c r="D107" s="42">
        <v>1</v>
      </c>
      <c r="E107" s="47" t="s">
        <v>26</v>
      </c>
      <c r="F107" s="47" t="s">
        <v>18</v>
      </c>
      <c r="G107" s="49">
        <v>3</v>
      </c>
      <c r="H107" s="10">
        <v>3</v>
      </c>
      <c r="I107" s="51">
        <v>15</v>
      </c>
      <c r="J107" s="10">
        <v>15</v>
      </c>
      <c r="K107" s="46" t="s">
        <v>71</v>
      </c>
      <c r="L107" s="57">
        <v>0.8</v>
      </c>
      <c r="M107" s="50">
        <v>12</v>
      </c>
      <c r="N107" s="11"/>
      <c r="O107" s="50"/>
      <c r="P107" s="51" t="s">
        <v>20</v>
      </c>
    </row>
    <row r="108" spans="1:16" ht="15.75" customHeight="1" outlineLevel="2">
      <c r="A108" s="27">
        <v>2</v>
      </c>
      <c r="B108" s="30">
        <v>45341</v>
      </c>
      <c r="C108" s="35" t="s">
        <v>123</v>
      </c>
      <c r="D108" s="42">
        <v>1</v>
      </c>
      <c r="E108" s="47" t="s">
        <v>124</v>
      </c>
      <c r="F108" s="47" t="s">
        <v>18</v>
      </c>
      <c r="G108" s="49">
        <v>12</v>
      </c>
      <c r="H108" s="10">
        <v>12</v>
      </c>
      <c r="I108" s="51">
        <v>25</v>
      </c>
      <c r="J108" s="10">
        <v>25</v>
      </c>
      <c r="K108" s="46" t="s">
        <v>71</v>
      </c>
      <c r="L108" s="57">
        <v>0.52</v>
      </c>
      <c r="M108" s="50">
        <v>13</v>
      </c>
      <c r="N108" s="11"/>
      <c r="O108" s="50"/>
      <c r="P108" s="51" t="s">
        <v>20</v>
      </c>
    </row>
    <row r="109" spans="1:16" ht="15.75" customHeight="1" outlineLevel="2">
      <c r="A109" s="27">
        <v>2</v>
      </c>
      <c r="B109" s="30">
        <v>45342</v>
      </c>
      <c r="C109" s="35" t="s">
        <v>97</v>
      </c>
      <c r="D109" s="42">
        <v>1</v>
      </c>
      <c r="E109" s="47" t="s">
        <v>125</v>
      </c>
      <c r="F109" s="47" t="s">
        <v>23</v>
      </c>
      <c r="G109" s="49">
        <v>3</v>
      </c>
      <c r="H109" s="10">
        <v>3</v>
      </c>
      <c r="I109" s="51">
        <v>10</v>
      </c>
      <c r="J109" s="10">
        <v>10</v>
      </c>
      <c r="K109" s="46" t="s">
        <v>71</v>
      </c>
      <c r="L109" s="57">
        <v>0.7</v>
      </c>
      <c r="M109" s="50">
        <v>7</v>
      </c>
      <c r="N109" s="11"/>
      <c r="O109" s="50"/>
      <c r="P109" s="51" t="s">
        <v>20</v>
      </c>
    </row>
    <row r="110" spans="1:16" ht="15.75" customHeight="1" outlineLevel="2">
      <c r="A110" s="27">
        <v>2</v>
      </c>
      <c r="B110" s="30">
        <v>45342</v>
      </c>
      <c r="C110" s="35" t="s">
        <v>97</v>
      </c>
      <c r="D110" s="42">
        <v>1</v>
      </c>
      <c r="E110" s="47" t="s">
        <v>125</v>
      </c>
      <c r="F110" s="47" t="s">
        <v>23</v>
      </c>
      <c r="G110" s="49">
        <v>3</v>
      </c>
      <c r="H110" s="10">
        <v>3</v>
      </c>
      <c r="I110" s="51">
        <v>10</v>
      </c>
      <c r="J110" s="10">
        <v>10</v>
      </c>
      <c r="K110" s="46" t="s">
        <v>71</v>
      </c>
      <c r="L110" s="57">
        <v>0.7</v>
      </c>
      <c r="M110" s="50">
        <v>7</v>
      </c>
      <c r="N110" s="11"/>
      <c r="O110" s="50"/>
      <c r="P110" s="51" t="s">
        <v>20</v>
      </c>
    </row>
    <row r="111" spans="1:16" ht="15.75" customHeight="1" outlineLevel="2">
      <c r="A111" s="27">
        <v>2</v>
      </c>
      <c r="B111" s="30">
        <v>45342</v>
      </c>
      <c r="C111" s="35" t="s">
        <v>97</v>
      </c>
      <c r="D111" s="42">
        <v>1</v>
      </c>
      <c r="E111" s="47" t="s">
        <v>125</v>
      </c>
      <c r="F111" s="47" t="s">
        <v>23</v>
      </c>
      <c r="G111" s="49">
        <v>3</v>
      </c>
      <c r="H111" s="10">
        <v>3</v>
      </c>
      <c r="I111" s="51">
        <v>10</v>
      </c>
      <c r="J111" s="10">
        <v>10</v>
      </c>
      <c r="K111" s="46" t="s">
        <v>71</v>
      </c>
      <c r="L111" s="57">
        <v>0.7</v>
      </c>
      <c r="M111" s="50">
        <v>7</v>
      </c>
      <c r="N111" s="11"/>
      <c r="O111" s="50"/>
      <c r="P111" s="51" t="s">
        <v>20</v>
      </c>
    </row>
    <row r="112" spans="1:16" ht="15.75" customHeight="1" outlineLevel="2">
      <c r="A112" s="27">
        <v>2</v>
      </c>
      <c r="B112" s="30">
        <v>45342</v>
      </c>
      <c r="C112" s="35" t="s">
        <v>77</v>
      </c>
      <c r="D112" s="42">
        <v>1</v>
      </c>
      <c r="E112" s="47" t="s">
        <v>125</v>
      </c>
      <c r="F112" s="47" t="s">
        <v>23</v>
      </c>
      <c r="G112" s="49" t="s">
        <v>79</v>
      </c>
      <c r="H112" s="10">
        <v>0</v>
      </c>
      <c r="I112" s="51">
        <v>45</v>
      </c>
      <c r="J112" s="10">
        <v>45</v>
      </c>
      <c r="K112" s="46" t="s">
        <v>71</v>
      </c>
      <c r="L112" s="57">
        <v>1</v>
      </c>
      <c r="M112" s="50">
        <v>45</v>
      </c>
      <c r="N112" s="11"/>
      <c r="O112" s="50"/>
      <c r="P112" s="51" t="s">
        <v>20</v>
      </c>
    </row>
    <row r="113" spans="1:16" ht="15.75" customHeight="1" outlineLevel="2">
      <c r="A113" s="27">
        <v>2</v>
      </c>
      <c r="B113" s="30">
        <v>45342</v>
      </c>
      <c r="C113" s="35" t="s">
        <v>126</v>
      </c>
      <c r="D113" s="42">
        <v>1</v>
      </c>
      <c r="E113" s="47" t="s">
        <v>125</v>
      </c>
      <c r="F113" s="47" t="s">
        <v>23</v>
      </c>
      <c r="G113" s="49">
        <v>5</v>
      </c>
      <c r="H113" s="10">
        <v>5</v>
      </c>
      <c r="I113" s="51">
        <v>10</v>
      </c>
      <c r="J113" s="10">
        <v>10</v>
      </c>
      <c r="K113" s="46" t="s">
        <v>71</v>
      </c>
      <c r="L113" s="57">
        <v>0.5</v>
      </c>
      <c r="M113" s="50">
        <v>5</v>
      </c>
      <c r="N113" s="11"/>
      <c r="O113" s="50"/>
      <c r="P113" s="51" t="s">
        <v>20</v>
      </c>
    </row>
    <row r="114" spans="1:16" ht="15.75" customHeight="1" outlineLevel="2">
      <c r="A114" s="27">
        <v>2</v>
      </c>
      <c r="B114" s="30">
        <v>45342</v>
      </c>
      <c r="C114" s="35" t="s">
        <v>25</v>
      </c>
      <c r="D114" s="42">
        <v>1</v>
      </c>
      <c r="E114" s="47" t="s">
        <v>125</v>
      </c>
      <c r="F114" s="47" t="s">
        <v>23</v>
      </c>
      <c r="G114" s="49">
        <v>18</v>
      </c>
      <c r="H114" s="10">
        <v>18</v>
      </c>
      <c r="I114" s="51">
        <v>30</v>
      </c>
      <c r="J114" s="10">
        <v>30</v>
      </c>
      <c r="K114" s="46" t="s">
        <v>71</v>
      </c>
      <c r="L114" s="57">
        <v>0.4</v>
      </c>
      <c r="M114" s="50">
        <v>12</v>
      </c>
      <c r="N114" s="11"/>
      <c r="O114" s="50"/>
      <c r="P114" s="51" t="s">
        <v>20</v>
      </c>
    </row>
    <row r="115" spans="1:16" ht="15.75" customHeight="1" outlineLevel="2">
      <c r="A115" s="27">
        <v>2</v>
      </c>
      <c r="B115" s="30">
        <v>45342</v>
      </c>
      <c r="C115" s="35" t="s">
        <v>127</v>
      </c>
      <c r="D115" s="42">
        <v>1</v>
      </c>
      <c r="E115" s="47" t="s">
        <v>26</v>
      </c>
      <c r="F115" s="47" t="s">
        <v>23</v>
      </c>
      <c r="G115" s="49">
        <v>2.5</v>
      </c>
      <c r="H115" s="10">
        <v>2.5</v>
      </c>
      <c r="I115" s="51">
        <v>10</v>
      </c>
      <c r="J115" s="10">
        <v>10</v>
      </c>
      <c r="K115" s="46" t="s">
        <v>71</v>
      </c>
      <c r="L115" s="57">
        <v>0.75</v>
      </c>
      <c r="M115" s="50">
        <v>7.5</v>
      </c>
      <c r="N115" s="11"/>
      <c r="O115" s="50"/>
      <c r="P115" s="51" t="s">
        <v>20</v>
      </c>
    </row>
    <row r="116" spans="1:16" ht="15.75" customHeight="1" outlineLevel="2">
      <c r="A116" s="27">
        <v>2</v>
      </c>
      <c r="B116" s="30">
        <v>45342</v>
      </c>
      <c r="C116" s="35" t="s">
        <v>97</v>
      </c>
      <c r="D116" s="42">
        <v>1</v>
      </c>
      <c r="E116" s="47" t="s">
        <v>26</v>
      </c>
      <c r="F116" s="47" t="s">
        <v>23</v>
      </c>
      <c r="G116" s="49">
        <v>3</v>
      </c>
      <c r="H116" s="10">
        <v>3</v>
      </c>
      <c r="I116" s="51">
        <v>10</v>
      </c>
      <c r="J116" s="10">
        <v>10</v>
      </c>
      <c r="K116" s="46" t="s">
        <v>71</v>
      </c>
      <c r="L116" s="57">
        <v>0.7</v>
      </c>
      <c r="M116" s="50">
        <v>7</v>
      </c>
      <c r="N116" s="11"/>
      <c r="O116" s="50"/>
      <c r="P116" s="51" t="s">
        <v>20</v>
      </c>
    </row>
    <row r="117" spans="1:16" ht="15.75" customHeight="1" outlineLevel="2">
      <c r="A117" s="27">
        <v>2</v>
      </c>
      <c r="B117" s="31">
        <v>45344</v>
      </c>
      <c r="C117" s="35" t="s">
        <v>128</v>
      </c>
      <c r="D117" s="42">
        <v>1</v>
      </c>
      <c r="E117" s="47" t="s">
        <v>26</v>
      </c>
      <c r="F117" s="47" t="s">
        <v>23</v>
      </c>
      <c r="G117" s="49">
        <v>3.5</v>
      </c>
      <c r="H117" s="10">
        <v>3.5</v>
      </c>
      <c r="I117" s="51">
        <v>10</v>
      </c>
      <c r="J117" s="10">
        <v>10</v>
      </c>
      <c r="K117" s="46" t="s">
        <v>71</v>
      </c>
      <c r="L117" s="57">
        <v>0.65</v>
      </c>
      <c r="M117" s="50">
        <v>6.5</v>
      </c>
      <c r="N117" s="11"/>
      <c r="O117" s="50"/>
      <c r="P117" s="51" t="s">
        <v>20</v>
      </c>
    </row>
    <row r="118" spans="1:16" ht="15.75" customHeight="1" outlineLevel="2">
      <c r="A118" s="27">
        <v>2</v>
      </c>
      <c r="B118" s="31">
        <v>45344</v>
      </c>
      <c r="C118" s="35" t="s">
        <v>128</v>
      </c>
      <c r="D118" s="42">
        <v>1</v>
      </c>
      <c r="E118" s="47" t="s">
        <v>26</v>
      </c>
      <c r="F118" s="47" t="s">
        <v>23</v>
      </c>
      <c r="G118" s="49">
        <v>3.5</v>
      </c>
      <c r="H118" s="10">
        <v>3.5</v>
      </c>
      <c r="I118" s="51">
        <v>10</v>
      </c>
      <c r="J118" s="10">
        <v>10</v>
      </c>
      <c r="K118" s="46" t="s">
        <v>71</v>
      </c>
      <c r="L118" s="57">
        <v>0.65</v>
      </c>
      <c r="M118" s="50">
        <v>6.5</v>
      </c>
      <c r="N118" s="11"/>
      <c r="O118" s="50"/>
      <c r="P118" s="51" t="s">
        <v>20</v>
      </c>
    </row>
    <row r="119" spans="1:16" ht="15.75" customHeight="1" outlineLevel="2">
      <c r="A119" s="27">
        <v>2</v>
      </c>
      <c r="B119" s="31">
        <v>45345</v>
      </c>
      <c r="C119" s="35" t="s">
        <v>122</v>
      </c>
      <c r="D119" s="42">
        <v>1</v>
      </c>
      <c r="E119" s="13" t="s">
        <v>129</v>
      </c>
      <c r="F119" s="47" t="s">
        <v>23</v>
      </c>
      <c r="G119" s="49">
        <v>65</v>
      </c>
      <c r="H119" s="10">
        <v>65</v>
      </c>
      <c r="I119" s="51">
        <v>98</v>
      </c>
      <c r="J119" s="10">
        <v>98</v>
      </c>
      <c r="K119" s="46" t="s">
        <v>71</v>
      </c>
      <c r="L119" s="57">
        <v>0.33673469387755101</v>
      </c>
      <c r="M119" s="50">
        <v>33</v>
      </c>
      <c r="N119" s="11"/>
      <c r="O119" s="50"/>
      <c r="P119" s="51" t="s">
        <v>20</v>
      </c>
    </row>
    <row r="120" spans="1:16" ht="15.75" customHeight="1" outlineLevel="2">
      <c r="A120" s="27">
        <v>2</v>
      </c>
      <c r="B120" s="31">
        <v>45346</v>
      </c>
      <c r="C120" s="35" t="s">
        <v>130</v>
      </c>
      <c r="D120" s="42">
        <v>7</v>
      </c>
      <c r="E120" s="47" t="s">
        <v>26</v>
      </c>
      <c r="F120" s="47" t="s">
        <v>23</v>
      </c>
      <c r="G120" s="49">
        <v>0.05</v>
      </c>
      <c r="H120" s="10">
        <v>0.35000000000000003</v>
      </c>
      <c r="I120" s="51">
        <v>0.5</v>
      </c>
      <c r="J120" s="10">
        <v>3.5</v>
      </c>
      <c r="K120" s="46" t="s">
        <v>71</v>
      </c>
      <c r="L120" s="57">
        <v>0.9</v>
      </c>
      <c r="M120" s="50">
        <v>3.15</v>
      </c>
      <c r="N120" s="11"/>
      <c r="O120" s="50"/>
      <c r="P120" s="51" t="s">
        <v>20</v>
      </c>
    </row>
    <row r="121" spans="1:16" ht="15.75" customHeight="1" outlineLevel="2">
      <c r="A121" s="27">
        <v>2</v>
      </c>
      <c r="B121" s="31">
        <v>45346</v>
      </c>
      <c r="C121" s="35" t="s">
        <v>130</v>
      </c>
      <c r="D121" s="42">
        <v>25</v>
      </c>
      <c r="E121" s="47" t="s">
        <v>26</v>
      </c>
      <c r="F121" s="47" t="s">
        <v>23</v>
      </c>
      <c r="G121" s="49">
        <v>0.05</v>
      </c>
      <c r="H121" s="10">
        <v>1.25</v>
      </c>
      <c r="I121" s="51">
        <v>1</v>
      </c>
      <c r="J121" s="10">
        <v>25</v>
      </c>
      <c r="K121" s="46" t="s">
        <v>71</v>
      </c>
      <c r="L121" s="57">
        <v>0.95</v>
      </c>
      <c r="M121" s="50">
        <v>23.75</v>
      </c>
      <c r="N121" s="11"/>
      <c r="O121" s="50"/>
      <c r="P121" s="51" t="s">
        <v>20</v>
      </c>
    </row>
    <row r="122" spans="1:16" ht="15.75" customHeight="1" outlineLevel="2">
      <c r="A122" s="27">
        <v>2</v>
      </c>
      <c r="B122" s="31">
        <v>45346</v>
      </c>
      <c r="C122" s="35" t="s">
        <v>131</v>
      </c>
      <c r="D122" s="42">
        <v>1</v>
      </c>
      <c r="E122" s="47" t="s">
        <v>26</v>
      </c>
      <c r="F122" s="47" t="s">
        <v>23</v>
      </c>
      <c r="G122" s="49">
        <v>0</v>
      </c>
      <c r="H122" s="10">
        <v>0</v>
      </c>
      <c r="I122" s="51">
        <v>10</v>
      </c>
      <c r="J122" s="10">
        <v>10</v>
      </c>
      <c r="K122" s="46" t="s">
        <v>71</v>
      </c>
      <c r="L122" s="57">
        <v>1</v>
      </c>
      <c r="M122" s="50">
        <v>10</v>
      </c>
      <c r="N122" s="11"/>
      <c r="O122" s="50"/>
      <c r="P122" s="51" t="s">
        <v>20</v>
      </c>
    </row>
    <row r="123" spans="1:16" ht="15.75" customHeight="1" outlineLevel="2">
      <c r="A123" s="27">
        <v>2</v>
      </c>
      <c r="B123" s="31">
        <v>45346</v>
      </c>
      <c r="C123" s="35" t="s">
        <v>132</v>
      </c>
      <c r="D123" s="42">
        <v>1</v>
      </c>
      <c r="E123" s="47" t="s">
        <v>26</v>
      </c>
      <c r="F123" s="47" t="s">
        <v>18</v>
      </c>
      <c r="G123" s="49">
        <v>31.99</v>
      </c>
      <c r="H123" s="10">
        <v>31.99</v>
      </c>
      <c r="I123" s="51">
        <v>50</v>
      </c>
      <c r="J123" s="10">
        <v>50</v>
      </c>
      <c r="K123" s="46" t="s">
        <v>71</v>
      </c>
      <c r="L123" s="57">
        <v>0.36020000000000002</v>
      </c>
      <c r="M123" s="50">
        <v>18.010000000000002</v>
      </c>
      <c r="N123" s="11"/>
      <c r="O123" s="50"/>
      <c r="P123" s="51" t="s">
        <v>20</v>
      </c>
    </row>
    <row r="124" spans="1:16" ht="15.75" customHeight="1" outlineLevel="2">
      <c r="A124" s="27">
        <v>2</v>
      </c>
      <c r="B124" s="31">
        <v>45346</v>
      </c>
      <c r="C124" s="35" t="s">
        <v>132</v>
      </c>
      <c r="D124" s="42">
        <v>1</v>
      </c>
      <c r="E124" s="47" t="s">
        <v>26</v>
      </c>
      <c r="F124" s="47" t="s">
        <v>18</v>
      </c>
      <c r="G124" s="49">
        <v>31.99</v>
      </c>
      <c r="H124" s="10">
        <v>31.99</v>
      </c>
      <c r="I124" s="51">
        <v>50</v>
      </c>
      <c r="J124" s="10">
        <v>50</v>
      </c>
      <c r="K124" s="46" t="s">
        <v>71</v>
      </c>
      <c r="L124" s="57">
        <v>0.36020000000000002</v>
      </c>
      <c r="M124" s="50">
        <v>18.010000000000002</v>
      </c>
      <c r="N124" s="11"/>
      <c r="O124" s="50"/>
      <c r="P124" s="51" t="s">
        <v>20</v>
      </c>
    </row>
    <row r="125" spans="1:16" ht="15.75" customHeight="1" outlineLevel="2">
      <c r="A125" s="27">
        <v>2</v>
      </c>
      <c r="B125" s="31">
        <v>45346</v>
      </c>
      <c r="C125" s="35" t="s">
        <v>132</v>
      </c>
      <c r="D125" s="42">
        <v>1</v>
      </c>
      <c r="E125" s="47" t="s">
        <v>26</v>
      </c>
      <c r="F125" s="47" t="s">
        <v>18</v>
      </c>
      <c r="G125" s="49">
        <v>31.99</v>
      </c>
      <c r="H125" s="10">
        <v>31.99</v>
      </c>
      <c r="I125" s="51">
        <v>50</v>
      </c>
      <c r="J125" s="10">
        <v>50</v>
      </c>
      <c r="K125" s="46" t="s">
        <v>71</v>
      </c>
      <c r="L125" s="57">
        <v>0.36020000000000002</v>
      </c>
      <c r="M125" s="50">
        <v>18.010000000000002</v>
      </c>
      <c r="N125" s="11"/>
      <c r="O125" s="50"/>
      <c r="P125" s="51" t="s">
        <v>20</v>
      </c>
    </row>
    <row r="126" spans="1:16" ht="15.75" customHeight="1" outlineLevel="2">
      <c r="A126" s="27">
        <v>2</v>
      </c>
      <c r="B126" s="31">
        <v>45346</v>
      </c>
      <c r="C126" s="35" t="s">
        <v>132</v>
      </c>
      <c r="D126" s="42">
        <v>1</v>
      </c>
      <c r="E126" s="47" t="s">
        <v>26</v>
      </c>
      <c r="F126" s="47" t="s">
        <v>18</v>
      </c>
      <c r="G126" s="49">
        <v>31.99</v>
      </c>
      <c r="H126" s="10">
        <v>31.99</v>
      </c>
      <c r="I126" s="51">
        <v>50</v>
      </c>
      <c r="J126" s="10">
        <v>50</v>
      </c>
      <c r="K126" s="46" t="s">
        <v>71</v>
      </c>
      <c r="L126" s="57">
        <v>0.36020000000000002</v>
      </c>
      <c r="M126" s="50">
        <v>18.010000000000002</v>
      </c>
      <c r="N126" s="11"/>
      <c r="O126" s="50"/>
      <c r="P126" s="51" t="s">
        <v>20</v>
      </c>
    </row>
    <row r="127" spans="1:16" ht="15.75" customHeight="1" outlineLevel="2">
      <c r="A127" s="27">
        <v>2</v>
      </c>
      <c r="B127" s="31">
        <v>45346</v>
      </c>
      <c r="C127" s="35" t="s">
        <v>133</v>
      </c>
      <c r="D127" s="42">
        <v>1</v>
      </c>
      <c r="E127" s="47" t="s">
        <v>26</v>
      </c>
      <c r="F127" s="47" t="s">
        <v>18</v>
      </c>
      <c r="G127" s="49">
        <v>7</v>
      </c>
      <c r="H127" s="10">
        <v>7</v>
      </c>
      <c r="I127" s="51">
        <v>15</v>
      </c>
      <c r="J127" s="10">
        <v>15</v>
      </c>
      <c r="K127" s="46" t="s">
        <v>71</v>
      </c>
      <c r="L127" s="57">
        <v>0.53333333333333333</v>
      </c>
      <c r="M127" s="50">
        <v>8</v>
      </c>
      <c r="N127" s="11"/>
      <c r="O127" s="50"/>
      <c r="P127" s="51" t="s">
        <v>20</v>
      </c>
    </row>
    <row r="128" spans="1:16" ht="15.75" customHeight="1" outlineLevel="2">
      <c r="A128" s="27">
        <v>2</v>
      </c>
      <c r="B128" s="31">
        <v>45349</v>
      </c>
      <c r="C128" s="35" t="s">
        <v>59</v>
      </c>
      <c r="D128" s="42">
        <v>1</v>
      </c>
      <c r="E128" s="47" t="s">
        <v>26</v>
      </c>
      <c r="F128" s="47" t="s">
        <v>23</v>
      </c>
      <c r="G128" s="49">
        <v>8</v>
      </c>
      <c r="H128" s="10">
        <v>8</v>
      </c>
      <c r="I128" s="51">
        <v>20</v>
      </c>
      <c r="J128" s="10">
        <v>20</v>
      </c>
      <c r="K128" s="46" t="s">
        <v>71</v>
      </c>
      <c r="L128" s="57">
        <v>0.6</v>
      </c>
      <c r="M128" s="50">
        <v>12</v>
      </c>
      <c r="N128" s="11"/>
      <c r="O128" s="50"/>
      <c r="P128" s="51" t="s">
        <v>20</v>
      </c>
    </row>
    <row r="129" spans="1:16" ht="15.75" customHeight="1" outlineLevel="2">
      <c r="A129" s="27">
        <v>2</v>
      </c>
      <c r="B129" s="31">
        <v>45349</v>
      </c>
      <c r="C129" s="35" t="s">
        <v>70</v>
      </c>
      <c r="D129" s="42">
        <v>1</v>
      </c>
      <c r="E129" s="47" t="s">
        <v>26</v>
      </c>
      <c r="F129" s="47" t="s">
        <v>23</v>
      </c>
      <c r="G129" s="49">
        <v>7</v>
      </c>
      <c r="H129" s="10">
        <v>7</v>
      </c>
      <c r="I129" s="51">
        <v>20</v>
      </c>
      <c r="J129" s="10">
        <v>20</v>
      </c>
      <c r="K129" s="46" t="s">
        <v>71</v>
      </c>
      <c r="L129" s="57">
        <v>0.65</v>
      </c>
      <c r="M129" s="50">
        <v>13</v>
      </c>
      <c r="N129" s="11"/>
      <c r="O129" s="50"/>
      <c r="P129" s="51" t="s">
        <v>20</v>
      </c>
    </row>
    <row r="130" spans="1:16" ht="15.75" customHeight="1" outlineLevel="2">
      <c r="A130" s="27">
        <v>2</v>
      </c>
      <c r="B130" s="31">
        <v>45349</v>
      </c>
      <c r="C130" s="35" t="s">
        <v>134</v>
      </c>
      <c r="D130" s="42">
        <v>1</v>
      </c>
      <c r="E130" s="47" t="s">
        <v>26</v>
      </c>
      <c r="F130" s="47" t="s">
        <v>18</v>
      </c>
      <c r="G130" s="49">
        <v>26</v>
      </c>
      <c r="H130" s="10">
        <v>26</v>
      </c>
      <c r="I130" s="51">
        <v>50</v>
      </c>
      <c r="J130" s="10">
        <v>50</v>
      </c>
      <c r="K130" s="46" t="s">
        <v>71</v>
      </c>
      <c r="L130" s="57">
        <v>0.48</v>
      </c>
      <c r="M130" s="50">
        <v>24</v>
      </c>
      <c r="N130" s="59"/>
      <c r="O130" s="50">
        <v>50</v>
      </c>
      <c r="P130" s="51" t="s">
        <v>135</v>
      </c>
    </row>
    <row r="131" spans="1:16" ht="15.75" customHeight="1" outlineLevel="2">
      <c r="A131" s="27">
        <v>2</v>
      </c>
      <c r="B131" s="31">
        <v>45350</v>
      </c>
      <c r="C131" s="35" t="s">
        <v>136</v>
      </c>
      <c r="D131" s="42">
        <v>1</v>
      </c>
      <c r="E131" s="47" t="s">
        <v>137</v>
      </c>
      <c r="F131" s="47" t="s">
        <v>23</v>
      </c>
      <c r="G131" s="49" t="s">
        <v>79</v>
      </c>
      <c r="H131" s="10">
        <v>0</v>
      </c>
      <c r="I131" s="51">
        <v>70</v>
      </c>
      <c r="J131" s="10">
        <v>70</v>
      </c>
      <c r="K131" s="46" t="s">
        <v>71</v>
      </c>
      <c r="L131" s="57">
        <v>1</v>
      </c>
      <c r="M131" s="50">
        <v>70</v>
      </c>
      <c r="N131" s="11"/>
      <c r="O131" s="50"/>
      <c r="P131" s="51" t="s">
        <v>20</v>
      </c>
    </row>
    <row r="132" spans="1:16" ht="15.75" customHeight="1" outlineLevel="2">
      <c r="A132" s="27">
        <v>2</v>
      </c>
      <c r="B132" s="31">
        <v>45350</v>
      </c>
      <c r="C132" s="35" t="s">
        <v>97</v>
      </c>
      <c r="D132" s="42">
        <v>1</v>
      </c>
      <c r="E132" s="47" t="s">
        <v>138</v>
      </c>
      <c r="F132" s="47" t="s">
        <v>23</v>
      </c>
      <c r="G132" s="49">
        <v>3</v>
      </c>
      <c r="H132" s="10">
        <v>3</v>
      </c>
      <c r="I132" s="51">
        <v>10</v>
      </c>
      <c r="J132" s="10">
        <v>10</v>
      </c>
      <c r="K132" s="46" t="s">
        <v>71</v>
      </c>
      <c r="L132" s="57">
        <v>0.7</v>
      </c>
      <c r="M132" s="50">
        <v>7</v>
      </c>
      <c r="N132" s="59"/>
      <c r="O132" s="50">
        <v>10</v>
      </c>
      <c r="P132" s="51" t="s">
        <v>135</v>
      </c>
    </row>
    <row r="133" spans="1:16" ht="15.75" customHeight="1" outlineLevel="2">
      <c r="A133" s="27">
        <v>2</v>
      </c>
      <c r="B133" s="31">
        <v>45350</v>
      </c>
      <c r="C133" s="35" t="s">
        <v>28</v>
      </c>
      <c r="D133" s="42">
        <v>1</v>
      </c>
      <c r="E133" s="47" t="s">
        <v>139</v>
      </c>
      <c r="F133" s="47" t="s">
        <v>23</v>
      </c>
      <c r="G133" s="49">
        <v>14</v>
      </c>
      <c r="H133" s="10">
        <v>14</v>
      </c>
      <c r="I133" s="51">
        <v>30</v>
      </c>
      <c r="J133" s="10">
        <v>30</v>
      </c>
      <c r="K133" s="46" t="s">
        <v>71</v>
      </c>
      <c r="L133" s="57">
        <v>0.53333333333333333</v>
      </c>
      <c r="M133" s="50">
        <v>16</v>
      </c>
      <c r="N133" s="11"/>
      <c r="O133" s="50"/>
      <c r="P133" s="51" t="s">
        <v>20</v>
      </c>
    </row>
    <row r="134" spans="1:16" ht="15.75" customHeight="1">
      <c r="A134" s="27">
        <v>2</v>
      </c>
      <c r="B134" s="31">
        <v>45350</v>
      </c>
      <c r="C134" s="35" t="s">
        <v>130</v>
      </c>
      <c r="D134" s="42">
        <v>6</v>
      </c>
      <c r="E134" s="47" t="s">
        <v>26</v>
      </c>
      <c r="F134" s="47" t="s">
        <v>23</v>
      </c>
      <c r="G134" s="49">
        <v>0.05</v>
      </c>
      <c r="H134" s="10">
        <v>0.30000000000000004</v>
      </c>
      <c r="I134" s="51">
        <v>1</v>
      </c>
      <c r="J134" s="10">
        <v>6</v>
      </c>
      <c r="K134" s="46" t="s">
        <v>71</v>
      </c>
      <c r="L134" s="57">
        <v>0.95000000000000007</v>
      </c>
      <c r="M134" s="50">
        <v>5.7</v>
      </c>
      <c r="N134" s="60"/>
      <c r="O134" s="50"/>
      <c r="P134" s="51" t="s">
        <v>20</v>
      </c>
    </row>
    <row r="135" spans="1:16" ht="15.75" customHeight="1" outlineLevel="2">
      <c r="A135" s="28">
        <v>3</v>
      </c>
      <c r="B135" s="32">
        <v>45352</v>
      </c>
      <c r="C135" s="36" t="s">
        <v>140</v>
      </c>
      <c r="D135" s="43">
        <v>1</v>
      </c>
      <c r="E135" s="48" t="s">
        <v>26</v>
      </c>
      <c r="F135" s="48" t="s">
        <v>18</v>
      </c>
      <c r="G135" s="49">
        <v>20</v>
      </c>
      <c r="H135" s="10">
        <v>20</v>
      </c>
      <c r="I135" s="52">
        <v>35</v>
      </c>
      <c r="J135" s="10">
        <v>35</v>
      </c>
      <c r="K135" s="55" t="s">
        <v>71</v>
      </c>
      <c r="L135" s="57">
        <v>0.42857142857142855</v>
      </c>
      <c r="M135" s="50">
        <v>15</v>
      </c>
      <c r="N135" s="61"/>
      <c r="O135" s="50"/>
      <c r="P135" s="52" t="s">
        <v>20</v>
      </c>
    </row>
    <row r="136" spans="1:16" ht="15.75" customHeight="1" outlineLevel="2">
      <c r="A136" s="28">
        <v>3</v>
      </c>
      <c r="B136" s="32">
        <v>45352</v>
      </c>
      <c r="C136" s="36" t="s">
        <v>141</v>
      </c>
      <c r="D136" s="43">
        <v>1</v>
      </c>
      <c r="E136" s="48" t="s">
        <v>26</v>
      </c>
      <c r="F136" s="48" t="s">
        <v>18</v>
      </c>
      <c r="G136" s="49">
        <v>6</v>
      </c>
      <c r="H136" s="10">
        <v>6</v>
      </c>
      <c r="I136" s="52">
        <v>15</v>
      </c>
      <c r="J136" s="10">
        <v>15</v>
      </c>
      <c r="K136" s="55" t="s">
        <v>71</v>
      </c>
      <c r="L136" s="57">
        <v>0.6</v>
      </c>
      <c r="M136" s="50">
        <v>9</v>
      </c>
      <c r="N136" s="62"/>
      <c r="O136" s="50">
        <v>15</v>
      </c>
      <c r="P136" s="52" t="s">
        <v>135</v>
      </c>
    </row>
    <row r="137" spans="1:16" ht="15.75" customHeight="1" outlineLevel="2">
      <c r="A137" s="28">
        <v>3</v>
      </c>
      <c r="B137" s="32">
        <v>45352</v>
      </c>
      <c r="C137" s="36" t="s">
        <v>36</v>
      </c>
      <c r="D137" s="43">
        <v>1</v>
      </c>
      <c r="E137" s="48" t="s">
        <v>26</v>
      </c>
      <c r="F137" s="48" t="s">
        <v>18</v>
      </c>
      <c r="G137" s="49">
        <v>22</v>
      </c>
      <c r="H137" s="10">
        <v>22</v>
      </c>
      <c r="I137" s="52">
        <v>40</v>
      </c>
      <c r="J137" s="10">
        <v>40</v>
      </c>
      <c r="K137" s="55" t="s">
        <v>71</v>
      </c>
      <c r="L137" s="57">
        <v>0.45</v>
      </c>
      <c r="M137" s="50">
        <v>18</v>
      </c>
      <c r="N137" s="62"/>
      <c r="O137" s="50">
        <v>40</v>
      </c>
      <c r="P137" s="52" t="s">
        <v>135</v>
      </c>
    </row>
    <row r="138" spans="1:16" ht="15.75" customHeight="1" outlineLevel="2">
      <c r="A138" s="28">
        <v>3</v>
      </c>
      <c r="B138" s="32">
        <v>45352</v>
      </c>
      <c r="C138" s="36" t="s">
        <v>127</v>
      </c>
      <c r="D138" s="43">
        <v>1</v>
      </c>
      <c r="E138" s="48" t="s">
        <v>26</v>
      </c>
      <c r="F138" s="48" t="s">
        <v>18</v>
      </c>
      <c r="G138" s="49">
        <v>2.5</v>
      </c>
      <c r="H138" s="10">
        <v>2.5</v>
      </c>
      <c r="I138" s="52">
        <v>10</v>
      </c>
      <c r="J138" s="10">
        <v>10</v>
      </c>
      <c r="K138" s="55" t="s">
        <v>71</v>
      </c>
      <c r="L138" s="57">
        <v>0.75</v>
      </c>
      <c r="M138" s="50">
        <v>7.5</v>
      </c>
      <c r="N138" s="62"/>
      <c r="O138" s="50">
        <v>10</v>
      </c>
      <c r="P138" s="52" t="s">
        <v>135</v>
      </c>
    </row>
    <row r="139" spans="1:16" ht="15.75" customHeight="1" outlineLevel="2">
      <c r="A139" s="28">
        <v>3</v>
      </c>
      <c r="B139" s="32">
        <v>45352</v>
      </c>
      <c r="C139" s="36" t="s">
        <v>55</v>
      </c>
      <c r="D139" s="43">
        <v>1</v>
      </c>
      <c r="E139" s="48" t="s">
        <v>26</v>
      </c>
      <c r="F139" s="48" t="s">
        <v>18</v>
      </c>
      <c r="G139" s="49">
        <v>3</v>
      </c>
      <c r="H139" s="10">
        <v>3</v>
      </c>
      <c r="I139" s="52">
        <v>10</v>
      </c>
      <c r="J139" s="10">
        <v>10</v>
      </c>
      <c r="K139" s="55" t="s">
        <v>71</v>
      </c>
      <c r="L139" s="57">
        <v>0.7</v>
      </c>
      <c r="M139" s="50">
        <v>7</v>
      </c>
      <c r="N139" s="61"/>
      <c r="O139" s="50"/>
      <c r="P139" s="52" t="s">
        <v>20</v>
      </c>
    </row>
    <row r="140" spans="1:16" ht="15.75" customHeight="1" outlineLevel="2">
      <c r="A140" s="28">
        <v>3</v>
      </c>
      <c r="B140" s="32">
        <v>45352</v>
      </c>
      <c r="C140" s="36" t="s">
        <v>130</v>
      </c>
      <c r="D140" s="43">
        <v>3</v>
      </c>
      <c r="E140" s="48" t="s">
        <v>26</v>
      </c>
      <c r="F140" s="48" t="s">
        <v>33</v>
      </c>
      <c r="G140" s="49">
        <v>0.05</v>
      </c>
      <c r="H140" s="10">
        <v>0.15000000000000002</v>
      </c>
      <c r="I140" s="52">
        <v>1</v>
      </c>
      <c r="J140" s="10">
        <v>3</v>
      </c>
      <c r="K140" s="55" t="s">
        <v>71</v>
      </c>
      <c r="L140" s="57">
        <v>0.95000000000000007</v>
      </c>
      <c r="M140" s="50">
        <v>2.85</v>
      </c>
      <c r="N140" s="61"/>
      <c r="O140" s="50"/>
      <c r="P140" s="52" t="s">
        <v>20</v>
      </c>
    </row>
    <row r="141" spans="1:16" ht="15.75" customHeight="1" outlineLevel="2">
      <c r="A141" s="28">
        <v>3</v>
      </c>
      <c r="B141" s="32">
        <v>45352</v>
      </c>
      <c r="C141" s="36" t="s">
        <v>142</v>
      </c>
      <c r="D141" s="43">
        <v>1</v>
      </c>
      <c r="E141" s="48" t="s">
        <v>26</v>
      </c>
      <c r="F141" s="48" t="s">
        <v>18</v>
      </c>
      <c r="G141" s="49">
        <v>35</v>
      </c>
      <c r="H141" s="10">
        <v>35</v>
      </c>
      <c r="I141" s="52">
        <v>50</v>
      </c>
      <c r="J141" s="10">
        <v>50</v>
      </c>
      <c r="K141" s="55" t="s">
        <v>71</v>
      </c>
      <c r="L141" s="57">
        <v>0.3</v>
      </c>
      <c r="M141" s="50">
        <v>15</v>
      </c>
      <c r="N141" s="62"/>
      <c r="O141" s="50">
        <v>50</v>
      </c>
      <c r="P141" s="52" t="s">
        <v>135</v>
      </c>
    </row>
    <row r="142" spans="1:16" ht="15.75" customHeight="1" outlineLevel="2">
      <c r="A142" s="28">
        <v>3</v>
      </c>
      <c r="B142" s="32">
        <v>45355</v>
      </c>
      <c r="C142" s="36" t="s">
        <v>130</v>
      </c>
      <c r="D142" s="43">
        <v>1</v>
      </c>
      <c r="E142" s="48" t="s">
        <v>26</v>
      </c>
      <c r="F142" s="48" t="s">
        <v>23</v>
      </c>
      <c r="G142" s="49">
        <v>0.05</v>
      </c>
      <c r="H142" s="10">
        <v>0.05</v>
      </c>
      <c r="I142" s="52">
        <v>1</v>
      </c>
      <c r="J142" s="10">
        <v>1</v>
      </c>
      <c r="K142" s="55" t="s">
        <v>71</v>
      </c>
      <c r="L142" s="57">
        <v>0.95</v>
      </c>
      <c r="M142" s="50">
        <v>0.95</v>
      </c>
      <c r="N142" s="61"/>
      <c r="O142" s="50"/>
      <c r="P142" s="52" t="s">
        <v>20</v>
      </c>
    </row>
    <row r="143" spans="1:16" ht="15.75" customHeight="1" outlineLevel="2">
      <c r="A143" s="28">
        <v>3</v>
      </c>
      <c r="B143" s="32">
        <v>45355</v>
      </c>
      <c r="C143" s="36" t="s">
        <v>143</v>
      </c>
      <c r="D143" s="43">
        <v>1</v>
      </c>
      <c r="E143" s="48" t="s">
        <v>144</v>
      </c>
      <c r="F143" s="48" t="s">
        <v>23</v>
      </c>
      <c r="G143" s="49">
        <v>27.9</v>
      </c>
      <c r="H143" s="10">
        <v>27.9</v>
      </c>
      <c r="I143" s="52">
        <v>50</v>
      </c>
      <c r="J143" s="10">
        <v>50</v>
      </c>
      <c r="K143" s="55" t="s">
        <v>71</v>
      </c>
      <c r="L143" s="57">
        <v>0.442</v>
      </c>
      <c r="M143" s="50">
        <v>22.1</v>
      </c>
      <c r="N143" s="61"/>
      <c r="O143" s="50"/>
      <c r="P143" s="52" t="s">
        <v>20</v>
      </c>
    </row>
    <row r="144" spans="1:16" ht="15.75" customHeight="1" outlineLevel="2">
      <c r="A144" s="28">
        <v>3</v>
      </c>
      <c r="B144" s="32">
        <v>45356</v>
      </c>
      <c r="C144" s="36" t="s">
        <v>112</v>
      </c>
      <c r="D144" s="43">
        <v>1</v>
      </c>
      <c r="E144" s="48" t="s">
        <v>145</v>
      </c>
      <c r="F144" s="48" t="s">
        <v>23</v>
      </c>
      <c r="G144" s="49">
        <v>12</v>
      </c>
      <c r="H144" s="10">
        <v>12</v>
      </c>
      <c r="I144" s="52">
        <v>25</v>
      </c>
      <c r="J144" s="10">
        <v>25</v>
      </c>
      <c r="K144" s="55" t="s">
        <v>71</v>
      </c>
      <c r="L144" s="57">
        <v>0.52</v>
      </c>
      <c r="M144" s="50">
        <v>13</v>
      </c>
      <c r="N144" s="62"/>
      <c r="O144" s="50">
        <v>25</v>
      </c>
      <c r="P144" s="52" t="s">
        <v>135</v>
      </c>
    </row>
    <row r="145" spans="1:16" ht="15.75" customHeight="1" outlineLevel="2">
      <c r="A145" s="28">
        <v>3</v>
      </c>
      <c r="B145" s="32">
        <v>45357</v>
      </c>
      <c r="C145" s="36" t="s">
        <v>146</v>
      </c>
      <c r="D145" s="43">
        <v>2</v>
      </c>
      <c r="E145" s="48" t="s">
        <v>147</v>
      </c>
      <c r="F145" s="48" t="s">
        <v>23</v>
      </c>
      <c r="G145" s="49">
        <v>7.0000000000000007E-2</v>
      </c>
      <c r="H145" s="10">
        <v>0.14000000000000001</v>
      </c>
      <c r="I145" s="52">
        <v>1</v>
      </c>
      <c r="J145" s="10">
        <v>2</v>
      </c>
      <c r="K145" s="55" t="s">
        <v>71</v>
      </c>
      <c r="L145" s="57">
        <v>0.92999999999999994</v>
      </c>
      <c r="M145" s="50">
        <v>1.8599999999999999</v>
      </c>
      <c r="N145" s="61"/>
      <c r="O145" s="50"/>
      <c r="P145" s="52" t="s">
        <v>20</v>
      </c>
    </row>
    <row r="146" spans="1:16" ht="15.75" customHeight="1" outlineLevel="2">
      <c r="A146" s="28">
        <v>3</v>
      </c>
      <c r="B146" s="32">
        <v>45358</v>
      </c>
      <c r="C146" s="36" t="s">
        <v>97</v>
      </c>
      <c r="D146" s="43">
        <v>1</v>
      </c>
      <c r="E146" s="48" t="s">
        <v>26</v>
      </c>
      <c r="F146" s="48" t="s">
        <v>23</v>
      </c>
      <c r="G146" s="49">
        <v>3</v>
      </c>
      <c r="H146" s="10">
        <v>3</v>
      </c>
      <c r="I146" s="52">
        <v>15</v>
      </c>
      <c r="J146" s="10">
        <v>15</v>
      </c>
      <c r="K146" s="55" t="s">
        <v>71</v>
      </c>
      <c r="L146" s="57">
        <v>0.8</v>
      </c>
      <c r="M146" s="50">
        <v>12</v>
      </c>
      <c r="N146" s="61"/>
      <c r="O146" s="50"/>
      <c r="P146" s="52" t="s">
        <v>20</v>
      </c>
    </row>
    <row r="147" spans="1:16" ht="15.75" customHeight="1" outlineLevel="2">
      <c r="A147" s="28">
        <v>3</v>
      </c>
      <c r="B147" s="32">
        <v>45358</v>
      </c>
      <c r="C147" s="36" t="s">
        <v>55</v>
      </c>
      <c r="D147" s="43">
        <v>1</v>
      </c>
      <c r="E147" s="48" t="s">
        <v>148</v>
      </c>
      <c r="F147" s="48" t="s">
        <v>18</v>
      </c>
      <c r="G147" s="49">
        <v>3</v>
      </c>
      <c r="H147" s="10">
        <v>3</v>
      </c>
      <c r="I147" s="52">
        <v>10</v>
      </c>
      <c r="J147" s="10">
        <v>10</v>
      </c>
      <c r="K147" s="55" t="s">
        <v>71</v>
      </c>
      <c r="L147" s="57">
        <v>0.7</v>
      </c>
      <c r="M147" s="50">
        <v>7</v>
      </c>
      <c r="N147" s="61"/>
      <c r="O147" s="50"/>
      <c r="P147" s="52" t="s">
        <v>20</v>
      </c>
    </row>
    <row r="148" spans="1:16" ht="15.75" customHeight="1" outlineLevel="2">
      <c r="A148" s="28">
        <v>3</v>
      </c>
      <c r="B148" s="32">
        <v>45358</v>
      </c>
      <c r="C148" s="36" t="s">
        <v>149</v>
      </c>
      <c r="D148" s="43">
        <v>1</v>
      </c>
      <c r="E148" s="48" t="s">
        <v>148</v>
      </c>
      <c r="F148" s="48" t="s">
        <v>18</v>
      </c>
      <c r="G148" s="49">
        <v>18.739999999999998</v>
      </c>
      <c r="H148" s="10">
        <v>18.739999999999998</v>
      </c>
      <c r="I148" s="52">
        <v>50</v>
      </c>
      <c r="J148" s="10">
        <v>50</v>
      </c>
      <c r="K148" s="55" t="s">
        <v>71</v>
      </c>
      <c r="L148" s="57">
        <v>0.62519999999999998</v>
      </c>
      <c r="M148" s="50">
        <v>31.26</v>
      </c>
      <c r="N148" s="61"/>
      <c r="O148" s="50"/>
      <c r="P148" s="52" t="s">
        <v>20</v>
      </c>
    </row>
    <row r="149" spans="1:16" ht="15.75" customHeight="1" outlineLevel="2">
      <c r="A149" s="28">
        <v>3</v>
      </c>
      <c r="B149" s="32">
        <v>45358</v>
      </c>
      <c r="C149" s="36" t="s">
        <v>150</v>
      </c>
      <c r="D149" s="43">
        <v>1</v>
      </c>
      <c r="E149" s="48" t="s">
        <v>26</v>
      </c>
      <c r="F149" s="48" t="s">
        <v>23</v>
      </c>
      <c r="G149" s="49">
        <v>25</v>
      </c>
      <c r="H149" s="10">
        <v>25</v>
      </c>
      <c r="I149" s="52">
        <v>49.31</v>
      </c>
      <c r="J149" s="10">
        <v>49.31</v>
      </c>
      <c r="K149" s="55" t="s">
        <v>30</v>
      </c>
      <c r="L149" s="57">
        <v>0.49300344757655651</v>
      </c>
      <c r="M149" s="50">
        <v>24.310000000000002</v>
      </c>
      <c r="N149" s="61"/>
      <c r="O149" s="50"/>
      <c r="P149" s="52" t="s">
        <v>20</v>
      </c>
    </row>
    <row r="150" spans="1:16" ht="15.75" customHeight="1" outlineLevel="2">
      <c r="A150" s="28">
        <v>3</v>
      </c>
      <c r="B150" s="32">
        <v>45358</v>
      </c>
      <c r="C150" s="36" t="s">
        <v>151</v>
      </c>
      <c r="D150" s="43">
        <v>1</v>
      </c>
      <c r="E150" s="48" t="s">
        <v>152</v>
      </c>
      <c r="F150" s="48" t="s">
        <v>23</v>
      </c>
      <c r="G150" s="49">
        <v>0</v>
      </c>
      <c r="H150" s="10">
        <v>0</v>
      </c>
      <c r="I150" s="52">
        <v>30</v>
      </c>
      <c r="J150" s="10">
        <v>30</v>
      </c>
      <c r="K150" s="55" t="s">
        <v>71</v>
      </c>
      <c r="L150" s="57">
        <v>1</v>
      </c>
      <c r="M150" s="50">
        <v>30</v>
      </c>
      <c r="N150" s="61"/>
      <c r="O150" s="50"/>
      <c r="P150" s="52" t="s">
        <v>20</v>
      </c>
    </row>
    <row r="151" spans="1:16" ht="15.75" customHeight="1" outlineLevel="2">
      <c r="A151" s="28">
        <v>3</v>
      </c>
      <c r="B151" s="32">
        <v>45358</v>
      </c>
      <c r="C151" s="36" t="s">
        <v>153</v>
      </c>
      <c r="D151" s="43">
        <v>1</v>
      </c>
      <c r="E151" s="48" t="s">
        <v>43</v>
      </c>
      <c r="F151" s="48" t="s">
        <v>23</v>
      </c>
      <c r="G151" s="49">
        <v>27</v>
      </c>
      <c r="H151" s="10">
        <v>27</v>
      </c>
      <c r="I151" s="52">
        <v>40</v>
      </c>
      <c r="J151" s="10">
        <v>40</v>
      </c>
      <c r="K151" s="55" t="s">
        <v>71</v>
      </c>
      <c r="L151" s="57">
        <v>0.32500000000000001</v>
      </c>
      <c r="M151" s="50">
        <v>13</v>
      </c>
      <c r="N151" s="61"/>
      <c r="O151" s="50"/>
      <c r="P151" s="52" t="s">
        <v>20</v>
      </c>
    </row>
    <row r="152" spans="1:16" ht="15.75" customHeight="1" outlineLevel="2">
      <c r="A152" s="28">
        <v>3</v>
      </c>
      <c r="B152" s="32">
        <v>45359</v>
      </c>
      <c r="C152" s="36" t="s">
        <v>154</v>
      </c>
      <c r="D152" s="43">
        <v>1</v>
      </c>
      <c r="E152" s="48" t="s">
        <v>26</v>
      </c>
      <c r="F152" s="48" t="s">
        <v>18</v>
      </c>
      <c r="G152" s="49">
        <v>2.5</v>
      </c>
      <c r="H152" s="10">
        <v>2.5</v>
      </c>
      <c r="I152" s="52">
        <v>10</v>
      </c>
      <c r="J152" s="10">
        <v>10</v>
      </c>
      <c r="K152" s="55" t="s">
        <v>71</v>
      </c>
      <c r="L152" s="57">
        <v>0.75</v>
      </c>
      <c r="M152" s="50">
        <v>7.5</v>
      </c>
      <c r="N152" s="61"/>
      <c r="O152" s="50"/>
      <c r="P152" s="52" t="s">
        <v>20</v>
      </c>
    </row>
    <row r="153" spans="1:16" ht="15.75" customHeight="1" outlineLevel="2">
      <c r="A153" s="28">
        <v>3</v>
      </c>
      <c r="B153" s="32">
        <v>45359</v>
      </c>
      <c r="C153" s="36" t="s">
        <v>155</v>
      </c>
      <c r="D153" s="43">
        <v>1</v>
      </c>
      <c r="E153" s="48" t="s">
        <v>26</v>
      </c>
      <c r="F153" s="48" t="s">
        <v>18</v>
      </c>
      <c r="G153" s="49">
        <v>55</v>
      </c>
      <c r="H153" s="10">
        <v>55</v>
      </c>
      <c r="I153" s="52">
        <v>80</v>
      </c>
      <c r="J153" s="10">
        <v>80</v>
      </c>
      <c r="K153" s="55" t="s">
        <v>71</v>
      </c>
      <c r="L153" s="57">
        <v>0.3125</v>
      </c>
      <c r="M153" s="50">
        <v>25</v>
      </c>
      <c r="N153" s="62"/>
      <c r="O153" s="50">
        <v>80</v>
      </c>
      <c r="P153" s="52" t="s">
        <v>135</v>
      </c>
    </row>
    <row r="154" spans="1:16" ht="15.75" customHeight="1" outlineLevel="2">
      <c r="A154" s="28">
        <v>3</v>
      </c>
      <c r="B154" s="32">
        <v>45360</v>
      </c>
      <c r="C154" s="36" t="s">
        <v>156</v>
      </c>
      <c r="D154" s="43">
        <v>1</v>
      </c>
      <c r="E154" s="48" t="s">
        <v>26</v>
      </c>
      <c r="F154" s="48" t="s">
        <v>18</v>
      </c>
      <c r="G154" s="49">
        <v>37</v>
      </c>
      <c r="H154" s="10">
        <v>37</v>
      </c>
      <c r="I154" s="52">
        <v>60</v>
      </c>
      <c r="J154" s="10">
        <v>60</v>
      </c>
      <c r="K154" s="55" t="s">
        <v>71</v>
      </c>
      <c r="L154" s="57">
        <v>0.38333333333333336</v>
      </c>
      <c r="M154" s="50">
        <v>23</v>
      </c>
      <c r="N154" s="61"/>
      <c r="O154" s="50"/>
      <c r="P154" s="52" t="s">
        <v>20</v>
      </c>
    </row>
    <row r="155" spans="1:16" ht="15.75" customHeight="1" outlineLevel="2">
      <c r="A155" s="28">
        <v>3</v>
      </c>
      <c r="B155" s="32">
        <v>45360</v>
      </c>
      <c r="C155" s="36" t="s">
        <v>157</v>
      </c>
      <c r="D155" s="43">
        <v>1</v>
      </c>
      <c r="E155" s="48" t="s">
        <v>26</v>
      </c>
      <c r="F155" s="48" t="s">
        <v>18</v>
      </c>
      <c r="G155" s="49">
        <v>28</v>
      </c>
      <c r="H155" s="10">
        <v>28</v>
      </c>
      <c r="I155" s="52">
        <v>50</v>
      </c>
      <c r="J155" s="10">
        <v>50</v>
      </c>
      <c r="K155" s="55" t="s">
        <v>71</v>
      </c>
      <c r="L155" s="57">
        <v>0.44</v>
      </c>
      <c r="M155" s="50">
        <v>22</v>
      </c>
      <c r="N155" s="61"/>
      <c r="O155" s="50"/>
      <c r="P155" s="52" t="s">
        <v>20</v>
      </c>
    </row>
    <row r="156" spans="1:16" ht="15.75" customHeight="1" outlineLevel="2">
      <c r="A156" s="28">
        <v>3</v>
      </c>
      <c r="B156" s="32">
        <v>45360</v>
      </c>
      <c r="C156" s="36" t="s">
        <v>16</v>
      </c>
      <c r="D156" s="43">
        <v>1</v>
      </c>
      <c r="E156" s="48" t="s">
        <v>26</v>
      </c>
      <c r="F156" s="48" t="s">
        <v>18</v>
      </c>
      <c r="G156" s="49">
        <v>7</v>
      </c>
      <c r="H156" s="10">
        <v>7</v>
      </c>
      <c r="I156" s="52">
        <v>20</v>
      </c>
      <c r="J156" s="10">
        <v>20</v>
      </c>
      <c r="K156" s="55" t="s">
        <v>71</v>
      </c>
      <c r="L156" s="57">
        <v>0.65</v>
      </c>
      <c r="M156" s="50">
        <v>13</v>
      </c>
      <c r="N156" s="61"/>
      <c r="O156" s="50"/>
      <c r="P156" s="52" t="s">
        <v>20</v>
      </c>
    </row>
    <row r="157" spans="1:16" ht="15.75" customHeight="1" outlineLevel="2">
      <c r="A157" s="28">
        <v>3</v>
      </c>
      <c r="B157" s="32">
        <v>45360</v>
      </c>
      <c r="C157" s="36" t="s">
        <v>158</v>
      </c>
      <c r="D157" s="43">
        <v>1</v>
      </c>
      <c r="E157" s="48" t="s">
        <v>26</v>
      </c>
      <c r="F157" s="48" t="s">
        <v>18</v>
      </c>
      <c r="G157" s="49">
        <v>20</v>
      </c>
      <c r="H157" s="10">
        <v>20</v>
      </c>
      <c r="I157" s="52">
        <v>40</v>
      </c>
      <c r="J157" s="10">
        <v>40</v>
      </c>
      <c r="K157" s="55" t="s">
        <v>71</v>
      </c>
      <c r="L157" s="57">
        <v>0.5</v>
      </c>
      <c r="M157" s="50">
        <v>20</v>
      </c>
      <c r="N157" s="61"/>
      <c r="O157" s="50"/>
      <c r="P157" s="52" t="s">
        <v>20</v>
      </c>
    </row>
    <row r="158" spans="1:16" ht="15.75" customHeight="1" outlineLevel="2">
      <c r="A158" s="28">
        <v>3</v>
      </c>
      <c r="B158" s="32">
        <v>45362</v>
      </c>
      <c r="C158" s="36" t="s">
        <v>159</v>
      </c>
      <c r="D158" s="43">
        <v>1</v>
      </c>
      <c r="E158" s="48" t="s">
        <v>160</v>
      </c>
      <c r="F158" s="48" t="s">
        <v>23</v>
      </c>
      <c r="G158" s="49">
        <v>22</v>
      </c>
      <c r="H158" s="10">
        <v>22</v>
      </c>
      <c r="I158" s="52">
        <v>35</v>
      </c>
      <c r="J158" s="10">
        <v>35</v>
      </c>
      <c r="K158" s="55" t="s">
        <v>71</v>
      </c>
      <c r="L158" s="57">
        <v>0.37142857142857144</v>
      </c>
      <c r="M158" s="50">
        <v>13</v>
      </c>
      <c r="N158" s="61"/>
      <c r="O158" s="50"/>
      <c r="P158" s="52" t="s">
        <v>20</v>
      </c>
    </row>
    <row r="159" spans="1:16" ht="15.75" customHeight="1" outlineLevel="2">
      <c r="A159" s="28">
        <v>3</v>
      </c>
      <c r="B159" s="32">
        <v>45362</v>
      </c>
      <c r="C159" s="36" t="s">
        <v>150</v>
      </c>
      <c r="D159" s="43">
        <v>1</v>
      </c>
      <c r="E159" s="48" t="s">
        <v>161</v>
      </c>
      <c r="F159" s="48" t="s">
        <v>23</v>
      </c>
      <c r="G159" s="49">
        <v>25</v>
      </c>
      <c r="H159" s="10">
        <v>25</v>
      </c>
      <c r="I159" s="52">
        <v>50</v>
      </c>
      <c r="J159" s="10">
        <v>50</v>
      </c>
      <c r="K159" s="55" t="s">
        <v>71</v>
      </c>
      <c r="L159" s="57">
        <v>0.5</v>
      </c>
      <c r="M159" s="50">
        <v>25</v>
      </c>
      <c r="N159" s="61"/>
      <c r="O159" s="50"/>
      <c r="P159" s="52" t="s">
        <v>20</v>
      </c>
    </row>
    <row r="160" spans="1:16" ht="15.75" customHeight="1" outlineLevel="2">
      <c r="A160" s="28">
        <v>3</v>
      </c>
      <c r="B160" s="32">
        <v>45362</v>
      </c>
      <c r="C160" s="36" t="s">
        <v>130</v>
      </c>
      <c r="D160" s="43">
        <v>1</v>
      </c>
      <c r="E160" s="48" t="s">
        <v>26</v>
      </c>
      <c r="F160" s="48" t="s">
        <v>23</v>
      </c>
      <c r="G160" s="49">
        <v>0.05</v>
      </c>
      <c r="H160" s="10">
        <v>0.05</v>
      </c>
      <c r="I160" s="52">
        <v>1</v>
      </c>
      <c r="J160" s="10">
        <v>1</v>
      </c>
      <c r="K160" s="55" t="s">
        <v>71</v>
      </c>
      <c r="L160" s="57">
        <v>0.95</v>
      </c>
      <c r="M160" s="50">
        <v>0.95</v>
      </c>
      <c r="N160" s="61"/>
      <c r="O160" s="50"/>
      <c r="P160" s="52" t="s">
        <v>20</v>
      </c>
    </row>
    <row r="161" spans="1:16" ht="15.75" customHeight="1" outlineLevel="2">
      <c r="A161" s="28">
        <v>3</v>
      </c>
      <c r="B161" s="32">
        <v>45363</v>
      </c>
      <c r="C161" s="36" t="s">
        <v>146</v>
      </c>
      <c r="D161" s="43">
        <v>1</v>
      </c>
      <c r="E161" s="48" t="s">
        <v>26</v>
      </c>
      <c r="F161" s="48" t="s">
        <v>23</v>
      </c>
      <c r="G161" s="49">
        <v>7.0000000000000007E-2</v>
      </c>
      <c r="H161" s="10">
        <v>7.0000000000000007E-2</v>
      </c>
      <c r="I161" s="52">
        <v>1</v>
      </c>
      <c r="J161" s="10">
        <v>1</v>
      </c>
      <c r="K161" s="55" t="s">
        <v>71</v>
      </c>
      <c r="L161" s="57">
        <v>0.92999999999999994</v>
      </c>
      <c r="M161" s="50">
        <v>0.92999999999999994</v>
      </c>
      <c r="N161" s="61"/>
      <c r="O161" s="50"/>
      <c r="P161" s="52" t="s">
        <v>20</v>
      </c>
    </row>
    <row r="162" spans="1:16" ht="15.75" customHeight="1" outlineLevel="2">
      <c r="A162" s="28">
        <v>3</v>
      </c>
      <c r="B162" s="32">
        <v>45364</v>
      </c>
      <c r="C162" s="36" t="s">
        <v>16</v>
      </c>
      <c r="D162" s="43">
        <v>1</v>
      </c>
      <c r="E162" s="48" t="s">
        <v>26</v>
      </c>
      <c r="F162" s="48" t="s">
        <v>23</v>
      </c>
      <c r="G162" s="49">
        <v>7</v>
      </c>
      <c r="H162" s="10">
        <v>7</v>
      </c>
      <c r="I162" s="52">
        <v>15</v>
      </c>
      <c r="J162" s="10">
        <v>15</v>
      </c>
      <c r="K162" s="55" t="s">
        <v>71</v>
      </c>
      <c r="L162" s="57">
        <v>0.53333333333333333</v>
      </c>
      <c r="M162" s="50">
        <v>8</v>
      </c>
      <c r="N162" s="61"/>
      <c r="O162" s="50"/>
      <c r="P162" s="52" t="s">
        <v>20</v>
      </c>
    </row>
    <row r="163" spans="1:16" ht="15.75" customHeight="1" outlineLevel="2">
      <c r="A163" s="28">
        <v>3</v>
      </c>
      <c r="B163" s="32">
        <v>45364</v>
      </c>
      <c r="C163" s="36" t="s">
        <v>97</v>
      </c>
      <c r="D163" s="43">
        <v>1</v>
      </c>
      <c r="E163" s="48" t="s">
        <v>26</v>
      </c>
      <c r="F163" s="48" t="s">
        <v>23</v>
      </c>
      <c r="G163" s="49">
        <v>3</v>
      </c>
      <c r="H163" s="10">
        <v>3</v>
      </c>
      <c r="I163" s="52">
        <v>15</v>
      </c>
      <c r="J163" s="10">
        <v>15</v>
      </c>
      <c r="K163" s="55" t="s">
        <v>71</v>
      </c>
      <c r="L163" s="57">
        <v>0.8</v>
      </c>
      <c r="M163" s="50">
        <v>12</v>
      </c>
      <c r="N163" s="61"/>
      <c r="O163" s="50"/>
      <c r="P163" s="52" t="s">
        <v>20</v>
      </c>
    </row>
    <row r="164" spans="1:16" ht="15.75" customHeight="1" outlineLevel="2">
      <c r="A164" s="28">
        <v>3</v>
      </c>
      <c r="B164" s="32">
        <v>45364</v>
      </c>
      <c r="C164" s="36" t="s">
        <v>162</v>
      </c>
      <c r="D164" s="43">
        <v>1</v>
      </c>
      <c r="E164" s="48" t="s">
        <v>26</v>
      </c>
      <c r="F164" s="48" t="s">
        <v>23</v>
      </c>
      <c r="G164" s="49">
        <v>13</v>
      </c>
      <c r="H164" s="10">
        <v>13</v>
      </c>
      <c r="I164" s="52">
        <v>25</v>
      </c>
      <c r="J164" s="10">
        <v>25</v>
      </c>
      <c r="K164" s="55" t="s">
        <v>71</v>
      </c>
      <c r="L164" s="57">
        <v>0.48</v>
      </c>
      <c r="M164" s="50">
        <v>12</v>
      </c>
      <c r="N164" s="61"/>
      <c r="O164" s="50"/>
      <c r="P164" s="52" t="s">
        <v>20</v>
      </c>
    </row>
    <row r="165" spans="1:16" ht="15.75" customHeight="1" outlineLevel="2">
      <c r="A165" s="28">
        <v>3</v>
      </c>
      <c r="B165" s="32">
        <v>45364</v>
      </c>
      <c r="C165" s="36" t="s">
        <v>163</v>
      </c>
      <c r="D165" s="43">
        <v>1</v>
      </c>
      <c r="E165" s="48" t="s">
        <v>164</v>
      </c>
      <c r="F165" s="48" t="s">
        <v>23</v>
      </c>
      <c r="G165" s="49">
        <v>50</v>
      </c>
      <c r="H165" s="10">
        <v>50</v>
      </c>
      <c r="I165" s="52">
        <v>75</v>
      </c>
      <c r="J165" s="10">
        <v>75</v>
      </c>
      <c r="K165" s="55" t="s">
        <v>71</v>
      </c>
      <c r="L165" s="57">
        <v>0.33333333333333331</v>
      </c>
      <c r="M165" s="50">
        <v>25</v>
      </c>
      <c r="N165" s="61"/>
      <c r="O165" s="50"/>
      <c r="P165" s="52" t="s">
        <v>20</v>
      </c>
    </row>
    <row r="166" spans="1:16" ht="15.75" customHeight="1" outlineLevel="2">
      <c r="A166" s="28">
        <v>3</v>
      </c>
      <c r="B166" s="32">
        <v>45366</v>
      </c>
      <c r="C166" s="36" t="s">
        <v>97</v>
      </c>
      <c r="D166" s="43">
        <v>1</v>
      </c>
      <c r="E166" s="48" t="s">
        <v>26</v>
      </c>
      <c r="F166" s="48" t="s">
        <v>23</v>
      </c>
      <c r="G166" s="49">
        <v>3</v>
      </c>
      <c r="H166" s="10">
        <v>3</v>
      </c>
      <c r="I166" s="52">
        <v>15</v>
      </c>
      <c r="J166" s="10">
        <v>15</v>
      </c>
      <c r="K166" s="55" t="s">
        <v>71</v>
      </c>
      <c r="L166" s="57">
        <v>0.8</v>
      </c>
      <c r="M166" s="50">
        <v>12</v>
      </c>
      <c r="N166" s="61"/>
      <c r="O166" s="50"/>
      <c r="P166" s="52" t="s">
        <v>20</v>
      </c>
    </row>
    <row r="167" spans="1:16" ht="15.75" customHeight="1" outlineLevel="2">
      <c r="A167" s="28">
        <v>3</v>
      </c>
      <c r="B167" s="32">
        <v>45366</v>
      </c>
      <c r="C167" s="36" t="s">
        <v>165</v>
      </c>
      <c r="D167" s="43">
        <v>1</v>
      </c>
      <c r="E167" s="48" t="s">
        <v>26</v>
      </c>
      <c r="F167" s="48" t="s">
        <v>23</v>
      </c>
      <c r="G167" s="49">
        <v>1.2</v>
      </c>
      <c r="H167" s="10">
        <v>1.2</v>
      </c>
      <c r="I167" s="52">
        <v>5</v>
      </c>
      <c r="J167" s="10">
        <v>5</v>
      </c>
      <c r="K167" s="55" t="s">
        <v>71</v>
      </c>
      <c r="L167" s="57">
        <v>0.76</v>
      </c>
      <c r="M167" s="50">
        <v>3.8</v>
      </c>
      <c r="N167" s="61"/>
      <c r="O167" s="50"/>
      <c r="P167" s="52" t="s">
        <v>20</v>
      </c>
    </row>
    <row r="168" spans="1:16" ht="15.75" customHeight="1" outlineLevel="2">
      <c r="A168" s="28">
        <v>3</v>
      </c>
      <c r="B168" s="32">
        <v>45367</v>
      </c>
      <c r="C168" s="36" t="s">
        <v>166</v>
      </c>
      <c r="D168" s="43">
        <v>1</v>
      </c>
      <c r="E168" s="48" t="s">
        <v>26</v>
      </c>
      <c r="F168" s="48" t="s">
        <v>23</v>
      </c>
      <c r="G168" s="49">
        <v>19</v>
      </c>
      <c r="H168" s="10">
        <v>19</v>
      </c>
      <c r="I168" s="52">
        <v>40</v>
      </c>
      <c r="J168" s="10">
        <v>40</v>
      </c>
      <c r="K168" s="55" t="s">
        <v>71</v>
      </c>
      <c r="L168" s="57">
        <v>0.52500000000000002</v>
      </c>
      <c r="M168" s="50">
        <v>21</v>
      </c>
      <c r="N168" s="61"/>
      <c r="O168" s="50"/>
      <c r="P168" s="52" t="s">
        <v>20</v>
      </c>
    </row>
    <row r="169" spans="1:16" ht="15.75" customHeight="1" outlineLevel="2">
      <c r="A169" s="28">
        <v>3</v>
      </c>
      <c r="B169" s="32">
        <v>45367</v>
      </c>
      <c r="C169" s="36" t="s">
        <v>167</v>
      </c>
      <c r="D169" s="43">
        <v>1</v>
      </c>
      <c r="E169" s="48" t="s">
        <v>168</v>
      </c>
      <c r="F169" s="48" t="s">
        <v>23</v>
      </c>
      <c r="G169" s="49">
        <v>21.99</v>
      </c>
      <c r="H169" s="10">
        <v>21.99</v>
      </c>
      <c r="I169" s="52">
        <v>50</v>
      </c>
      <c r="J169" s="10">
        <v>50</v>
      </c>
      <c r="K169" s="55" t="s">
        <v>71</v>
      </c>
      <c r="L169" s="57">
        <v>0.56020000000000003</v>
      </c>
      <c r="M169" s="50">
        <v>28.01</v>
      </c>
      <c r="N169" s="61"/>
      <c r="O169" s="50"/>
      <c r="P169" s="52" t="s">
        <v>20</v>
      </c>
    </row>
    <row r="170" spans="1:16" ht="15.75" customHeight="1" outlineLevel="2">
      <c r="A170" s="28">
        <v>3</v>
      </c>
      <c r="B170" s="32">
        <v>45369</v>
      </c>
      <c r="C170" s="36" t="s">
        <v>169</v>
      </c>
      <c r="D170" s="43">
        <v>1</v>
      </c>
      <c r="E170" s="48" t="s">
        <v>170</v>
      </c>
      <c r="F170" s="48" t="s">
        <v>23</v>
      </c>
      <c r="G170" s="49">
        <v>27.5</v>
      </c>
      <c r="H170" s="10">
        <v>27.5</v>
      </c>
      <c r="I170" s="52">
        <v>60</v>
      </c>
      <c r="J170" s="10">
        <v>60</v>
      </c>
      <c r="K170" s="55" t="s">
        <v>71</v>
      </c>
      <c r="L170" s="57">
        <v>0.54166666666666663</v>
      </c>
      <c r="M170" s="50">
        <v>32.5</v>
      </c>
      <c r="N170" s="61"/>
      <c r="O170" s="50"/>
      <c r="P170" s="52" t="s">
        <v>20</v>
      </c>
    </row>
    <row r="171" spans="1:16" ht="15.75" customHeight="1" outlineLevel="2">
      <c r="A171" s="28">
        <v>3</v>
      </c>
      <c r="B171" s="32">
        <v>45369</v>
      </c>
      <c r="C171" s="36" t="s">
        <v>171</v>
      </c>
      <c r="D171" s="43">
        <v>1</v>
      </c>
      <c r="E171" s="48" t="s">
        <v>170</v>
      </c>
      <c r="F171" s="48" t="s">
        <v>23</v>
      </c>
      <c r="G171" s="49" t="s">
        <v>79</v>
      </c>
      <c r="H171" s="10">
        <v>0</v>
      </c>
      <c r="I171" s="52">
        <v>40</v>
      </c>
      <c r="J171" s="10">
        <v>40</v>
      </c>
      <c r="K171" s="55" t="s">
        <v>71</v>
      </c>
      <c r="L171" s="57">
        <v>1</v>
      </c>
      <c r="M171" s="50">
        <v>40</v>
      </c>
      <c r="N171" s="61"/>
      <c r="O171" s="50"/>
      <c r="P171" s="52" t="s">
        <v>20</v>
      </c>
    </row>
    <row r="172" spans="1:16" ht="15.75" customHeight="1" outlineLevel="2">
      <c r="A172" s="28">
        <v>3</v>
      </c>
      <c r="B172" s="32">
        <v>45370</v>
      </c>
      <c r="C172" s="36" t="s">
        <v>146</v>
      </c>
      <c r="D172" s="43">
        <v>1</v>
      </c>
      <c r="E172" s="48" t="s">
        <v>58</v>
      </c>
      <c r="F172" s="48" t="s">
        <v>23</v>
      </c>
      <c r="G172" s="49">
        <v>7.0000000000000007E-2</v>
      </c>
      <c r="H172" s="10">
        <v>7.0000000000000007E-2</v>
      </c>
      <c r="I172" s="52">
        <v>1</v>
      </c>
      <c r="J172" s="10">
        <v>1</v>
      </c>
      <c r="K172" s="55" t="s">
        <v>71</v>
      </c>
      <c r="L172" s="57">
        <v>0.92999999999999994</v>
      </c>
      <c r="M172" s="50">
        <v>0.92999999999999994</v>
      </c>
      <c r="N172" s="61"/>
      <c r="O172" s="50"/>
      <c r="P172" s="52" t="s">
        <v>20</v>
      </c>
    </row>
    <row r="173" spans="1:16" ht="15.75" customHeight="1" outlineLevel="2">
      <c r="A173" s="28">
        <v>3</v>
      </c>
      <c r="B173" s="32">
        <v>45370</v>
      </c>
      <c r="C173" s="36" t="s">
        <v>172</v>
      </c>
      <c r="D173" s="43">
        <v>1</v>
      </c>
      <c r="E173" s="48" t="s">
        <v>173</v>
      </c>
      <c r="F173" s="48" t="s">
        <v>23</v>
      </c>
      <c r="G173" s="49">
        <v>20.5</v>
      </c>
      <c r="H173" s="10">
        <v>20.5</v>
      </c>
      <c r="I173" s="52">
        <v>60</v>
      </c>
      <c r="J173" s="10">
        <v>60</v>
      </c>
      <c r="K173" s="55" t="s">
        <v>71</v>
      </c>
      <c r="L173" s="57">
        <v>0.65833333333333333</v>
      </c>
      <c r="M173" s="50">
        <v>39.5</v>
      </c>
      <c r="N173" s="61"/>
      <c r="O173" s="50"/>
      <c r="P173" s="52" t="s">
        <v>20</v>
      </c>
    </row>
    <row r="174" spans="1:16" ht="15.75" customHeight="1" outlineLevel="2">
      <c r="A174" s="28">
        <v>3</v>
      </c>
      <c r="B174" s="32">
        <v>45370</v>
      </c>
      <c r="C174" s="36" t="s">
        <v>174</v>
      </c>
      <c r="D174" s="43">
        <v>1</v>
      </c>
      <c r="E174" s="48" t="s">
        <v>173</v>
      </c>
      <c r="F174" s="48" t="s">
        <v>23</v>
      </c>
      <c r="G174" s="49">
        <v>1.7</v>
      </c>
      <c r="H174" s="10">
        <v>1.7</v>
      </c>
      <c r="I174" s="52">
        <v>70</v>
      </c>
      <c r="J174" s="10">
        <v>70</v>
      </c>
      <c r="K174" s="55" t="s">
        <v>71</v>
      </c>
      <c r="L174" s="57">
        <v>0.97571428571428565</v>
      </c>
      <c r="M174" s="50">
        <v>68.3</v>
      </c>
      <c r="N174" s="61"/>
      <c r="O174" s="50"/>
      <c r="P174" s="52" t="s">
        <v>20</v>
      </c>
    </row>
    <row r="175" spans="1:16" ht="15.75" customHeight="1" outlineLevel="2">
      <c r="A175" s="28">
        <v>3</v>
      </c>
      <c r="B175" s="32">
        <v>45370</v>
      </c>
      <c r="C175" s="36" t="s">
        <v>175</v>
      </c>
      <c r="D175" s="43">
        <v>1</v>
      </c>
      <c r="E175" s="48" t="s">
        <v>173</v>
      </c>
      <c r="F175" s="48" t="s">
        <v>23</v>
      </c>
      <c r="G175" s="49" t="s">
        <v>79</v>
      </c>
      <c r="H175" s="10">
        <v>0</v>
      </c>
      <c r="I175" s="52">
        <v>15</v>
      </c>
      <c r="J175" s="10">
        <v>15</v>
      </c>
      <c r="K175" s="55" t="s">
        <v>71</v>
      </c>
      <c r="L175" s="57">
        <v>1</v>
      </c>
      <c r="M175" s="50">
        <v>15</v>
      </c>
      <c r="N175" s="61"/>
      <c r="O175" s="50"/>
      <c r="P175" s="52" t="s">
        <v>20</v>
      </c>
    </row>
    <row r="176" spans="1:16" ht="15.75" customHeight="1" outlineLevel="2">
      <c r="A176" s="28">
        <v>3</v>
      </c>
      <c r="B176" s="32">
        <v>45370</v>
      </c>
      <c r="C176" s="36" t="s">
        <v>176</v>
      </c>
      <c r="D176" s="43">
        <v>1</v>
      </c>
      <c r="E176" s="48" t="s">
        <v>26</v>
      </c>
      <c r="F176" s="48" t="s">
        <v>23</v>
      </c>
      <c r="G176" s="49">
        <v>13.5</v>
      </c>
      <c r="H176" s="10">
        <v>13.5</v>
      </c>
      <c r="I176" s="52">
        <v>25</v>
      </c>
      <c r="J176" s="10">
        <v>25</v>
      </c>
      <c r="K176" s="55" t="s">
        <v>71</v>
      </c>
      <c r="L176" s="57">
        <v>0.46</v>
      </c>
      <c r="M176" s="50">
        <v>11.5</v>
      </c>
      <c r="N176" s="61"/>
      <c r="O176" s="50"/>
      <c r="P176" s="52" t="s">
        <v>20</v>
      </c>
    </row>
    <row r="177" spans="1:16" ht="15.75" customHeight="1" outlineLevel="2">
      <c r="A177" s="28">
        <v>3</v>
      </c>
      <c r="B177" s="32">
        <v>45370</v>
      </c>
      <c r="C177" s="36" t="s">
        <v>177</v>
      </c>
      <c r="D177" s="43">
        <v>1</v>
      </c>
      <c r="E177" s="48" t="s">
        <v>26</v>
      </c>
      <c r="F177" s="48" t="s">
        <v>23</v>
      </c>
      <c r="G177" s="49">
        <v>8</v>
      </c>
      <c r="H177" s="10">
        <v>8</v>
      </c>
      <c r="I177" s="52">
        <v>15</v>
      </c>
      <c r="J177" s="10">
        <v>15</v>
      </c>
      <c r="K177" s="55" t="s">
        <v>71</v>
      </c>
      <c r="L177" s="57">
        <v>0.46666666666666667</v>
      </c>
      <c r="M177" s="50">
        <v>7</v>
      </c>
      <c r="N177" s="61"/>
      <c r="O177" s="50"/>
      <c r="P177" s="52" t="s">
        <v>20</v>
      </c>
    </row>
    <row r="178" spans="1:16" ht="15.75" customHeight="1" outlineLevel="2">
      <c r="A178" s="28">
        <v>3</v>
      </c>
      <c r="B178" s="32">
        <v>45371</v>
      </c>
      <c r="C178" s="36" t="s">
        <v>146</v>
      </c>
      <c r="D178" s="43">
        <v>1</v>
      </c>
      <c r="E178" s="48" t="s">
        <v>26</v>
      </c>
      <c r="F178" s="48" t="s">
        <v>23</v>
      </c>
      <c r="G178" s="49">
        <v>7.0000000000000007E-2</v>
      </c>
      <c r="H178" s="10">
        <v>7.0000000000000007E-2</v>
      </c>
      <c r="I178" s="52">
        <v>1</v>
      </c>
      <c r="J178" s="10">
        <v>1</v>
      </c>
      <c r="K178" s="55" t="s">
        <v>71</v>
      </c>
      <c r="L178" s="57">
        <v>0.92999999999999994</v>
      </c>
      <c r="M178" s="50">
        <v>0.92999999999999994</v>
      </c>
      <c r="N178" s="61"/>
      <c r="O178" s="50"/>
      <c r="P178" s="52" t="s">
        <v>20</v>
      </c>
    </row>
    <row r="179" spans="1:16" ht="15.75" customHeight="1" outlineLevel="2">
      <c r="A179" s="28">
        <v>3</v>
      </c>
      <c r="B179" s="32">
        <v>45371</v>
      </c>
      <c r="C179" s="36" t="s">
        <v>153</v>
      </c>
      <c r="D179" s="43">
        <v>1</v>
      </c>
      <c r="E179" s="48" t="s">
        <v>26</v>
      </c>
      <c r="F179" s="48" t="s">
        <v>23</v>
      </c>
      <c r="G179" s="49">
        <v>27</v>
      </c>
      <c r="H179" s="10">
        <v>27</v>
      </c>
      <c r="I179" s="52">
        <v>40</v>
      </c>
      <c r="J179" s="10">
        <v>40</v>
      </c>
      <c r="K179" s="55" t="s">
        <v>71</v>
      </c>
      <c r="L179" s="57">
        <v>0.32500000000000001</v>
      </c>
      <c r="M179" s="50">
        <v>13</v>
      </c>
      <c r="N179" s="61"/>
      <c r="O179" s="50"/>
      <c r="P179" s="52" t="s">
        <v>20</v>
      </c>
    </row>
    <row r="180" spans="1:16" ht="15.75" customHeight="1" outlineLevel="2">
      <c r="A180" s="28">
        <v>3</v>
      </c>
      <c r="B180" s="32">
        <v>45371</v>
      </c>
      <c r="C180" s="36" t="s">
        <v>178</v>
      </c>
      <c r="D180" s="43">
        <v>1</v>
      </c>
      <c r="E180" s="48" t="s">
        <v>26</v>
      </c>
      <c r="F180" s="48" t="s">
        <v>23</v>
      </c>
      <c r="G180" s="49" t="s">
        <v>79</v>
      </c>
      <c r="H180" s="10">
        <v>0</v>
      </c>
      <c r="I180" s="52">
        <v>65</v>
      </c>
      <c r="J180" s="10">
        <v>65</v>
      </c>
      <c r="K180" s="55" t="s">
        <v>71</v>
      </c>
      <c r="L180" s="57">
        <v>1</v>
      </c>
      <c r="M180" s="50">
        <v>65</v>
      </c>
      <c r="N180" s="61"/>
      <c r="O180" s="50"/>
      <c r="P180" s="52" t="s">
        <v>20</v>
      </c>
    </row>
    <row r="181" spans="1:16" ht="15.75" customHeight="1" outlineLevel="2">
      <c r="A181" s="28">
        <v>3</v>
      </c>
      <c r="B181" s="32">
        <v>45371</v>
      </c>
      <c r="C181" s="36" t="s">
        <v>179</v>
      </c>
      <c r="D181" s="43">
        <v>1</v>
      </c>
      <c r="E181" s="48" t="s">
        <v>180</v>
      </c>
      <c r="F181" s="48" t="s">
        <v>23</v>
      </c>
      <c r="G181" s="49">
        <v>5</v>
      </c>
      <c r="H181" s="10">
        <v>5</v>
      </c>
      <c r="I181" s="52">
        <v>15</v>
      </c>
      <c r="J181" s="10">
        <v>15</v>
      </c>
      <c r="K181" s="55" t="s">
        <v>71</v>
      </c>
      <c r="L181" s="57">
        <v>0.66666666666666663</v>
      </c>
      <c r="M181" s="50">
        <v>10</v>
      </c>
      <c r="N181" s="61"/>
      <c r="O181" s="50"/>
      <c r="P181" s="52" t="s">
        <v>20</v>
      </c>
    </row>
    <row r="182" spans="1:16" ht="15.75" customHeight="1" outlineLevel="2">
      <c r="A182" s="28">
        <v>3</v>
      </c>
      <c r="B182" s="32">
        <v>45371</v>
      </c>
      <c r="C182" s="36" t="s">
        <v>181</v>
      </c>
      <c r="D182" s="43">
        <v>1</v>
      </c>
      <c r="E182" s="48" t="s">
        <v>180</v>
      </c>
      <c r="F182" s="48" t="s">
        <v>23</v>
      </c>
      <c r="G182" s="49" t="s">
        <v>79</v>
      </c>
      <c r="H182" s="10">
        <v>0</v>
      </c>
      <c r="I182" s="52">
        <v>40</v>
      </c>
      <c r="J182" s="10">
        <v>40</v>
      </c>
      <c r="K182" s="55" t="s">
        <v>71</v>
      </c>
      <c r="L182" s="57">
        <v>1</v>
      </c>
      <c r="M182" s="50">
        <v>40</v>
      </c>
      <c r="N182" s="61"/>
      <c r="O182" s="50"/>
      <c r="P182" s="52" t="s">
        <v>20</v>
      </c>
    </row>
    <row r="183" spans="1:16" ht="15.75" customHeight="1" outlineLevel="2">
      <c r="A183" s="28">
        <v>3</v>
      </c>
      <c r="B183" s="32">
        <v>45372</v>
      </c>
      <c r="C183" s="36" t="s">
        <v>157</v>
      </c>
      <c r="D183" s="43">
        <v>1</v>
      </c>
      <c r="E183" s="48" t="s">
        <v>26</v>
      </c>
      <c r="F183" s="48" t="s">
        <v>23</v>
      </c>
      <c r="G183" s="49">
        <v>28</v>
      </c>
      <c r="H183" s="10">
        <v>28</v>
      </c>
      <c r="I183" s="52">
        <v>50</v>
      </c>
      <c r="J183" s="10">
        <v>50</v>
      </c>
      <c r="K183" s="55" t="s">
        <v>71</v>
      </c>
      <c r="L183" s="57">
        <v>0.44</v>
      </c>
      <c r="M183" s="50">
        <v>22</v>
      </c>
      <c r="N183" s="61"/>
      <c r="O183" s="50"/>
      <c r="P183" s="52" t="s">
        <v>20</v>
      </c>
    </row>
    <row r="184" spans="1:16" ht="15.75" customHeight="1" outlineLevel="2">
      <c r="A184" s="28">
        <v>3</v>
      </c>
      <c r="B184" s="32">
        <v>45373</v>
      </c>
      <c r="C184" s="36" t="s">
        <v>182</v>
      </c>
      <c r="D184" s="43">
        <v>1</v>
      </c>
      <c r="E184" s="48" t="s">
        <v>26</v>
      </c>
      <c r="F184" s="48" t="s">
        <v>18</v>
      </c>
      <c r="G184" s="49">
        <v>6</v>
      </c>
      <c r="H184" s="10">
        <v>6</v>
      </c>
      <c r="I184" s="52">
        <v>15</v>
      </c>
      <c r="J184" s="10">
        <v>15</v>
      </c>
      <c r="K184" s="55" t="s">
        <v>71</v>
      </c>
      <c r="L184" s="57">
        <v>0.6</v>
      </c>
      <c r="M184" s="50">
        <v>9</v>
      </c>
      <c r="N184" s="61"/>
      <c r="O184" s="50"/>
      <c r="P184" s="52" t="s">
        <v>20</v>
      </c>
    </row>
    <row r="185" spans="1:16" ht="15.75" customHeight="1" outlineLevel="2">
      <c r="A185" s="28">
        <v>3</v>
      </c>
      <c r="B185" s="32">
        <v>45373</v>
      </c>
      <c r="C185" s="36" t="s">
        <v>183</v>
      </c>
      <c r="D185" s="43">
        <v>1</v>
      </c>
      <c r="E185" s="48" t="s">
        <v>26</v>
      </c>
      <c r="F185" s="48" t="s">
        <v>18</v>
      </c>
      <c r="G185" s="49">
        <v>5</v>
      </c>
      <c r="H185" s="10">
        <v>5</v>
      </c>
      <c r="I185" s="52">
        <v>20</v>
      </c>
      <c r="J185" s="10">
        <v>20</v>
      </c>
      <c r="K185" s="55" t="s">
        <v>71</v>
      </c>
      <c r="L185" s="57">
        <v>0.75</v>
      </c>
      <c r="M185" s="50">
        <v>15</v>
      </c>
      <c r="N185" s="61"/>
      <c r="O185" s="50"/>
      <c r="P185" s="52" t="s">
        <v>20</v>
      </c>
    </row>
    <row r="186" spans="1:16" ht="15.75" customHeight="1" outlineLevel="2">
      <c r="A186" s="28">
        <v>3</v>
      </c>
      <c r="B186" s="32">
        <v>45373</v>
      </c>
      <c r="C186" s="36" t="s">
        <v>184</v>
      </c>
      <c r="D186" s="43">
        <v>1</v>
      </c>
      <c r="E186" s="48" t="s">
        <v>26</v>
      </c>
      <c r="F186" s="48" t="s">
        <v>18</v>
      </c>
      <c r="G186" s="49">
        <v>14</v>
      </c>
      <c r="H186" s="10">
        <v>14</v>
      </c>
      <c r="I186" s="52">
        <v>25</v>
      </c>
      <c r="J186" s="10">
        <v>25</v>
      </c>
      <c r="K186" s="55" t="s">
        <v>71</v>
      </c>
      <c r="L186" s="57">
        <v>0.44</v>
      </c>
      <c r="M186" s="50">
        <v>11</v>
      </c>
      <c r="N186" s="62"/>
      <c r="O186" s="50">
        <v>25</v>
      </c>
      <c r="P186" s="52" t="s">
        <v>135</v>
      </c>
    </row>
    <row r="187" spans="1:16" ht="15.75" customHeight="1" outlineLevel="2">
      <c r="A187" s="28">
        <v>3</v>
      </c>
      <c r="B187" s="32">
        <v>45373</v>
      </c>
      <c r="C187" s="36" t="s">
        <v>153</v>
      </c>
      <c r="D187" s="43">
        <v>1</v>
      </c>
      <c r="E187" s="48" t="s">
        <v>139</v>
      </c>
      <c r="F187" s="48" t="s">
        <v>23</v>
      </c>
      <c r="G187" s="49">
        <v>27</v>
      </c>
      <c r="H187" s="10">
        <v>27</v>
      </c>
      <c r="I187" s="52">
        <v>40</v>
      </c>
      <c r="J187" s="10">
        <v>40</v>
      </c>
      <c r="K187" s="55" t="s">
        <v>71</v>
      </c>
      <c r="L187" s="57">
        <v>0.32500000000000001</v>
      </c>
      <c r="M187" s="50">
        <v>13</v>
      </c>
      <c r="N187" s="61"/>
      <c r="O187" s="50"/>
      <c r="P187" s="52" t="s">
        <v>20</v>
      </c>
    </row>
    <row r="188" spans="1:16" ht="15.75" customHeight="1" outlineLevel="2">
      <c r="A188" s="28">
        <v>3</v>
      </c>
      <c r="B188" s="32">
        <v>45373</v>
      </c>
      <c r="C188" s="36" t="s">
        <v>146</v>
      </c>
      <c r="D188" s="43">
        <v>2</v>
      </c>
      <c r="E188" s="48" t="s">
        <v>147</v>
      </c>
      <c r="F188" s="48" t="s">
        <v>23</v>
      </c>
      <c r="G188" s="49">
        <v>7.0000000000000007E-2</v>
      </c>
      <c r="H188" s="10">
        <v>0.14000000000000001</v>
      </c>
      <c r="I188" s="52">
        <v>1</v>
      </c>
      <c r="J188" s="10">
        <v>2</v>
      </c>
      <c r="K188" s="55" t="s">
        <v>71</v>
      </c>
      <c r="L188" s="57">
        <v>0.92999999999999994</v>
      </c>
      <c r="M188" s="50">
        <v>1.8599999999999999</v>
      </c>
      <c r="N188" s="61"/>
      <c r="O188" s="50"/>
      <c r="P188" s="52" t="s">
        <v>20</v>
      </c>
    </row>
    <row r="189" spans="1:16" ht="15.75" customHeight="1" outlineLevel="2">
      <c r="A189" s="28">
        <v>3</v>
      </c>
      <c r="B189" s="32">
        <v>45373</v>
      </c>
      <c r="C189" s="36" t="s">
        <v>185</v>
      </c>
      <c r="D189" s="43">
        <v>1</v>
      </c>
      <c r="E189" s="48" t="s">
        <v>139</v>
      </c>
      <c r="F189" s="48" t="s">
        <v>23</v>
      </c>
      <c r="G189" s="49">
        <v>26</v>
      </c>
      <c r="H189" s="10">
        <v>26</v>
      </c>
      <c r="I189" s="52">
        <v>40</v>
      </c>
      <c r="J189" s="10">
        <v>40</v>
      </c>
      <c r="K189" s="55" t="s">
        <v>71</v>
      </c>
      <c r="L189" s="57">
        <v>0.35</v>
      </c>
      <c r="M189" s="50">
        <v>14</v>
      </c>
      <c r="N189" s="61"/>
      <c r="O189" s="50"/>
      <c r="P189" s="52" t="s">
        <v>20</v>
      </c>
    </row>
    <row r="190" spans="1:16" ht="15.75" customHeight="1" outlineLevel="2">
      <c r="A190" s="28">
        <v>3</v>
      </c>
      <c r="B190" s="32">
        <v>45373</v>
      </c>
      <c r="C190" s="36" t="s">
        <v>186</v>
      </c>
      <c r="D190" s="43">
        <v>1</v>
      </c>
      <c r="E190" s="48" t="s">
        <v>139</v>
      </c>
      <c r="F190" s="48" t="s">
        <v>23</v>
      </c>
      <c r="G190" s="49">
        <v>10</v>
      </c>
      <c r="H190" s="10">
        <v>10</v>
      </c>
      <c r="I190" s="52">
        <v>20</v>
      </c>
      <c r="J190" s="10">
        <v>20</v>
      </c>
      <c r="K190" s="55" t="s">
        <v>71</v>
      </c>
      <c r="L190" s="57">
        <v>0.5</v>
      </c>
      <c r="M190" s="50">
        <v>10</v>
      </c>
      <c r="N190" s="61"/>
      <c r="O190" s="50"/>
      <c r="P190" s="52" t="s">
        <v>20</v>
      </c>
    </row>
    <row r="191" spans="1:16" ht="15.75" customHeight="1" outlineLevel="2">
      <c r="A191" s="28">
        <v>3</v>
      </c>
      <c r="B191" s="32">
        <v>45373</v>
      </c>
      <c r="C191" s="36" t="s">
        <v>187</v>
      </c>
      <c r="D191" s="43">
        <v>1</v>
      </c>
      <c r="E191" s="48" t="s">
        <v>139</v>
      </c>
      <c r="F191" s="48" t="s">
        <v>23</v>
      </c>
      <c r="G191" s="49">
        <v>35</v>
      </c>
      <c r="H191" s="10">
        <v>35</v>
      </c>
      <c r="I191" s="52">
        <v>70</v>
      </c>
      <c r="J191" s="10">
        <v>70</v>
      </c>
      <c r="K191" s="55" t="s">
        <v>71</v>
      </c>
      <c r="L191" s="57">
        <v>0.5</v>
      </c>
      <c r="M191" s="50">
        <v>35</v>
      </c>
      <c r="N191" s="61"/>
      <c r="O191" s="50"/>
      <c r="P191" s="52" t="s">
        <v>20</v>
      </c>
    </row>
    <row r="192" spans="1:16" ht="15.75" customHeight="1" outlineLevel="2">
      <c r="A192" s="28">
        <v>3</v>
      </c>
      <c r="B192" s="32">
        <v>45373</v>
      </c>
      <c r="C192" s="36" t="s">
        <v>146</v>
      </c>
      <c r="D192" s="43">
        <v>2</v>
      </c>
      <c r="E192" s="48" t="s">
        <v>26</v>
      </c>
      <c r="F192" s="48" t="s">
        <v>23</v>
      </c>
      <c r="G192" s="49">
        <v>7.0000000000000007E-2</v>
      </c>
      <c r="H192" s="10">
        <v>0.14000000000000001</v>
      </c>
      <c r="I192" s="52">
        <v>1</v>
      </c>
      <c r="J192" s="10">
        <v>2</v>
      </c>
      <c r="K192" s="55" t="s">
        <v>71</v>
      </c>
      <c r="L192" s="57">
        <v>0.92999999999999994</v>
      </c>
      <c r="M192" s="50">
        <v>1.8599999999999999</v>
      </c>
      <c r="N192" s="61"/>
      <c r="O192" s="50"/>
      <c r="P192" s="52" t="s">
        <v>20</v>
      </c>
    </row>
    <row r="193" spans="1:16" ht="15.75" customHeight="1" outlineLevel="2">
      <c r="A193" s="28">
        <v>3</v>
      </c>
      <c r="B193" s="32">
        <v>45376</v>
      </c>
      <c r="C193" s="36" t="s">
        <v>188</v>
      </c>
      <c r="D193" s="43">
        <v>4</v>
      </c>
      <c r="E193" s="48" t="s">
        <v>189</v>
      </c>
      <c r="F193" s="48" t="s">
        <v>23</v>
      </c>
      <c r="G193" s="49">
        <v>5</v>
      </c>
      <c r="H193" s="10">
        <v>20</v>
      </c>
      <c r="I193" s="52">
        <v>15</v>
      </c>
      <c r="J193" s="10">
        <v>60</v>
      </c>
      <c r="K193" s="55" t="s">
        <v>71</v>
      </c>
      <c r="L193" s="57">
        <v>0.66666666666666663</v>
      </c>
      <c r="M193" s="50">
        <v>40</v>
      </c>
      <c r="N193" s="61"/>
      <c r="O193" s="50"/>
      <c r="P193" s="52" t="s">
        <v>20</v>
      </c>
    </row>
    <row r="194" spans="1:16" ht="15.75" customHeight="1" outlineLevel="2">
      <c r="A194" s="28">
        <v>3</v>
      </c>
      <c r="B194" s="32">
        <v>45376</v>
      </c>
      <c r="C194" s="36" t="s">
        <v>190</v>
      </c>
      <c r="D194" s="43">
        <v>1</v>
      </c>
      <c r="E194" s="48" t="s">
        <v>189</v>
      </c>
      <c r="F194" s="48" t="s">
        <v>23</v>
      </c>
      <c r="G194" s="49">
        <v>9</v>
      </c>
      <c r="H194" s="10">
        <v>9</v>
      </c>
      <c r="I194" s="53">
        <v>25</v>
      </c>
      <c r="J194" s="10">
        <v>25</v>
      </c>
      <c r="K194" s="55" t="s">
        <v>71</v>
      </c>
      <c r="L194" s="57">
        <v>0.64</v>
      </c>
      <c r="M194" s="50">
        <v>16</v>
      </c>
      <c r="N194" s="61"/>
      <c r="O194" s="50"/>
      <c r="P194" s="52" t="s">
        <v>20</v>
      </c>
    </row>
    <row r="195" spans="1:16" ht="15.75" customHeight="1" outlineLevel="2">
      <c r="A195" s="28">
        <v>3</v>
      </c>
      <c r="B195" s="32">
        <v>45377</v>
      </c>
      <c r="C195" s="36" t="s">
        <v>191</v>
      </c>
      <c r="D195" s="43">
        <v>1</v>
      </c>
      <c r="E195" s="48" t="s">
        <v>192</v>
      </c>
      <c r="F195" s="48" t="s">
        <v>23</v>
      </c>
      <c r="G195" s="49">
        <v>20</v>
      </c>
      <c r="H195" s="10">
        <v>20</v>
      </c>
      <c r="I195" s="53">
        <v>40</v>
      </c>
      <c r="J195" s="10">
        <v>40</v>
      </c>
      <c r="K195" s="55" t="s">
        <v>71</v>
      </c>
      <c r="L195" s="57">
        <v>0.5</v>
      </c>
      <c r="M195" s="50">
        <v>20</v>
      </c>
      <c r="N195" s="61"/>
      <c r="O195" s="50"/>
      <c r="P195" s="52" t="s">
        <v>20</v>
      </c>
    </row>
    <row r="196" spans="1:16" ht="15.75" customHeight="1" outlineLevel="2">
      <c r="A196" s="28">
        <v>3</v>
      </c>
      <c r="B196" s="33">
        <v>45378</v>
      </c>
      <c r="C196" s="37" t="s">
        <v>193</v>
      </c>
      <c r="D196" s="44">
        <v>1</v>
      </c>
      <c r="E196" s="44" t="s">
        <v>194</v>
      </c>
      <c r="F196" s="14" t="s">
        <v>33</v>
      </c>
      <c r="G196" s="49">
        <v>11</v>
      </c>
      <c r="H196" s="10">
        <v>11</v>
      </c>
      <c r="I196" s="54">
        <v>20</v>
      </c>
      <c r="J196" s="10">
        <v>20</v>
      </c>
      <c r="K196" s="56" t="s">
        <v>71</v>
      </c>
      <c r="L196" s="57">
        <v>0.45</v>
      </c>
      <c r="M196" s="50">
        <v>9</v>
      </c>
      <c r="N196" s="15"/>
      <c r="O196" s="50"/>
      <c r="P196" s="56" t="s">
        <v>20</v>
      </c>
    </row>
    <row r="197" spans="1:16" ht="15.75" customHeight="1" outlineLevel="2">
      <c r="A197" s="28">
        <v>3</v>
      </c>
      <c r="B197" s="33">
        <v>45378</v>
      </c>
      <c r="C197" s="37" t="s">
        <v>195</v>
      </c>
      <c r="D197" s="44">
        <v>1</v>
      </c>
      <c r="E197" s="44" t="s">
        <v>194</v>
      </c>
      <c r="F197" s="14" t="s">
        <v>33</v>
      </c>
      <c r="G197" s="49">
        <v>31.99</v>
      </c>
      <c r="H197" s="10">
        <v>31.99</v>
      </c>
      <c r="I197" s="54">
        <v>50</v>
      </c>
      <c r="J197" s="10">
        <v>50</v>
      </c>
      <c r="K197" s="56" t="s">
        <v>71</v>
      </c>
      <c r="L197" s="57">
        <v>0.36020000000000002</v>
      </c>
      <c r="M197" s="50">
        <v>18.010000000000002</v>
      </c>
      <c r="N197" s="15"/>
      <c r="O197" s="50"/>
      <c r="P197" s="56" t="s">
        <v>20</v>
      </c>
    </row>
    <row r="198" spans="1:16" ht="15.75" customHeight="1" outlineLevel="2">
      <c r="A198" s="28">
        <v>3</v>
      </c>
      <c r="B198" s="33">
        <v>45378</v>
      </c>
      <c r="C198" s="38" t="s">
        <v>196</v>
      </c>
      <c r="D198" s="44">
        <v>1</v>
      </c>
      <c r="E198" s="44" t="s">
        <v>194</v>
      </c>
      <c r="F198" s="14" t="s">
        <v>33</v>
      </c>
      <c r="G198" s="49">
        <v>65</v>
      </c>
      <c r="H198" s="10">
        <v>65</v>
      </c>
      <c r="I198" s="54">
        <v>100</v>
      </c>
      <c r="J198" s="10">
        <v>100</v>
      </c>
      <c r="K198" s="56" t="s">
        <v>71</v>
      </c>
      <c r="L198" s="57">
        <v>0.35</v>
      </c>
      <c r="M198" s="50">
        <v>35</v>
      </c>
      <c r="N198" s="15"/>
      <c r="O198" s="50"/>
      <c r="P198" s="56" t="s">
        <v>20</v>
      </c>
    </row>
    <row r="199" spans="1:16" ht="15.75" customHeight="1" outlineLevel="2">
      <c r="A199" s="28">
        <v>3</v>
      </c>
      <c r="B199" s="33">
        <v>45378</v>
      </c>
      <c r="C199" s="37" t="s">
        <v>197</v>
      </c>
      <c r="D199" s="44">
        <v>1</v>
      </c>
      <c r="E199" s="44" t="s">
        <v>194</v>
      </c>
      <c r="F199" s="14" t="s">
        <v>33</v>
      </c>
      <c r="G199" s="49" t="s">
        <v>79</v>
      </c>
      <c r="H199" s="10">
        <v>0</v>
      </c>
      <c r="I199" s="54">
        <v>40</v>
      </c>
      <c r="J199" s="10">
        <v>40</v>
      </c>
      <c r="K199" s="56" t="s">
        <v>71</v>
      </c>
      <c r="L199" s="57">
        <v>1</v>
      </c>
      <c r="M199" s="50">
        <v>40</v>
      </c>
      <c r="N199" s="15"/>
      <c r="O199" s="50"/>
      <c r="P199" s="56" t="s">
        <v>20</v>
      </c>
    </row>
    <row r="200" spans="1:16" ht="15.75" customHeight="1" outlineLevel="2">
      <c r="A200" s="28">
        <v>3</v>
      </c>
      <c r="B200" s="33">
        <v>45378</v>
      </c>
      <c r="C200" s="37" t="s">
        <v>97</v>
      </c>
      <c r="D200" s="44">
        <v>1</v>
      </c>
      <c r="E200" s="44" t="s">
        <v>194</v>
      </c>
      <c r="F200" s="16" t="s">
        <v>23</v>
      </c>
      <c r="G200" s="49">
        <v>3</v>
      </c>
      <c r="H200" s="10">
        <v>3</v>
      </c>
      <c r="I200" s="54">
        <v>15</v>
      </c>
      <c r="J200" s="10">
        <v>15</v>
      </c>
      <c r="K200" s="56" t="s">
        <v>71</v>
      </c>
      <c r="L200" s="57">
        <v>0.8</v>
      </c>
      <c r="M200" s="50">
        <v>12</v>
      </c>
      <c r="N200" s="15"/>
      <c r="O200" s="50"/>
      <c r="P200" s="56" t="s">
        <v>20</v>
      </c>
    </row>
    <row r="201" spans="1:16" ht="15.75" customHeight="1" outlineLevel="2">
      <c r="A201" s="28">
        <v>3</v>
      </c>
      <c r="B201" s="33">
        <v>45378</v>
      </c>
      <c r="C201" s="37" t="s">
        <v>198</v>
      </c>
      <c r="D201" s="44">
        <v>1</v>
      </c>
      <c r="E201" s="44" t="s">
        <v>194</v>
      </c>
      <c r="F201" s="16" t="s">
        <v>23</v>
      </c>
      <c r="G201" s="49">
        <v>40</v>
      </c>
      <c r="H201" s="10">
        <v>40</v>
      </c>
      <c r="I201" s="54">
        <v>80</v>
      </c>
      <c r="J201" s="10">
        <v>80</v>
      </c>
      <c r="K201" s="56" t="s">
        <v>71</v>
      </c>
      <c r="L201" s="57">
        <v>0.5</v>
      </c>
      <c r="M201" s="50">
        <v>40</v>
      </c>
      <c r="N201" s="15"/>
      <c r="O201" s="50"/>
      <c r="P201" s="56" t="s">
        <v>20</v>
      </c>
    </row>
    <row r="202" spans="1:16" ht="15.75" customHeight="1" outlineLevel="2">
      <c r="A202" s="28">
        <v>3</v>
      </c>
      <c r="B202" s="33">
        <v>45378</v>
      </c>
      <c r="C202" s="38" t="s">
        <v>199</v>
      </c>
      <c r="D202" s="44">
        <v>1</v>
      </c>
      <c r="E202" s="44" t="s">
        <v>194</v>
      </c>
      <c r="F202" s="16" t="s">
        <v>23</v>
      </c>
      <c r="G202" s="49">
        <v>99.9</v>
      </c>
      <c r="H202" s="10">
        <v>99.9</v>
      </c>
      <c r="I202" s="54">
        <v>200</v>
      </c>
      <c r="J202" s="10">
        <v>200</v>
      </c>
      <c r="K202" s="56" t="s">
        <v>71</v>
      </c>
      <c r="L202" s="57">
        <v>0.50049999999999994</v>
      </c>
      <c r="M202" s="50">
        <v>100.1</v>
      </c>
      <c r="N202" s="63"/>
      <c r="O202" s="50"/>
      <c r="P202" s="56" t="s">
        <v>20</v>
      </c>
    </row>
    <row r="203" spans="1:16" ht="15.75" customHeight="1" outlineLevel="2">
      <c r="A203" s="28">
        <v>3</v>
      </c>
      <c r="B203" s="33">
        <v>45378</v>
      </c>
      <c r="C203" s="38" t="s">
        <v>200</v>
      </c>
      <c r="D203" s="44">
        <v>1</v>
      </c>
      <c r="E203" s="44" t="s">
        <v>194</v>
      </c>
      <c r="F203" s="16" t="s">
        <v>23</v>
      </c>
      <c r="G203" s="49">
        <v>0</v>
      </c>
      <c r="H203" s="10">
        <v>0</v>
      </c>
      <c r="I203" s="54">
        <v>30</v>
      </c>
      <c r="J203" s="10">
        <v>30</v>
      </c>
      <c r="K203" s="56" t="s">
        <v>71</v>
      </c>
      <c r="L203" s="57">
        <v>1</v>
      </c>
      <c r="M203" s="50">
        <v>30</v>
      </c>
      <c r="N203" s="63"/>
      <c r="O203" s="50"/>
      <c r="P203" s="56" t="s">
        <v>20</v>
      </c>
    </row>
    <row r="204" spans="1:16" ht="15.75" customHeight="1" outlineLevel="2">
      <c r="A204" s="28">
        <v>3</v>
      </c>
      <c r="B204" s="33">
        <v>45378</v>
      </c>
      <c r="C204" s="37" t="s">
        <v>201</v>
      </c>
      <c r="D204" s="44">
        <v>1</v>
      </c>
      <c r="E204" s="44" t="s">
        <v>194</v>
      </c>
      <c r="F204" s="14" t="s">
        <v>33</v>
      </c>
      <c r="G204" s="49" t="s">
        <v>79</v>
      </c>
      <c r="H204" s="10">
        <v>0</v>
      </c>
      <c r="I204" s="54">
        <v>25</v>
      </c>
      <c r="J204" s="10">
        <v>25</v>
      </c>
      <c r="K204" s="56" t="s">
        <v>71</v>
      </c>
      <c r="L204" s="57">
        <v>1</v>
      </c>
      <c r="M204" s="50">
        <v>25</v>
      </c>
      <c r="N204" s="15"/>
      <c r="O204" s="50"/>
      <c r="P204" s="56" t="s">
        <v>20</v>
      </c>
    </row>
    <row r="205" spans="1:16" ht="15.75" customHeight="1" outlineLevel="2">
      <c r="A205" s="28">
        <v>3</v>
      </c>
      <c r="B205" s="33">
        <v>45378</v>
      </c>
      <c r="C205" s="37" t="s">
        <v>202</v>
      </c>
      <c r="D205" s="44">
        <v>1</v>
      </c>
      <c r="E205" s="44" t="s">
        <v>194</v>
      </c>
      <c r="F205" s="16" t="s">
        <v>23</v>
      </c>
      <c r="G205" s="49">
        <v>10</v>
      </c>
      <c r="H205" s="10">
        <v>10</v>
      </c>
      <c r="I205" s="54">
        <v>15</v>
      </c>
      <c r="J205" s="10">
        <v>15</v>
      </c>
      <c r="K205" s="56" t="s">
        <v>71</v>
      </c>
      <c r="L205" s="57">
        <v>0.33333333333333331</v>
      </c>
      <c r="M205" s="50">
        <v>5</v>
      </c>
      <c r="N205" s="15"/>
      <c r="O205" s="50"/>
      <c r="P205" s="56" t="s">
        <v>20</v>
      </c>
    </row>
    <row r="206" spans="1:16" ht="15.75" customHeight="1" outlineLevel="2">
      <c r="A206" s="28">
        <v>3</v>
      </c>
      <c r="B206" s="33">
        <v>45378</v>
      </c>
      <c r="C206" s="37" t="s">
        <v>202</v>
      </c>
      <c r="D206" s="44">
        <v>1</v>
      </c>
      <c r="E206" s="44" t="s">
        <v>194</v>
      </c>
      <c r="F206" s="16" t="s">
        <v>23</v>
      </c>
      <c r="G206" s="49">
        <v>10</v>
      </c>
      <c r="H206" s="10">
        <v>10</v>
      </c>
      <c r="I206" s="54">
        <v>25</v>
      </c>
      <c r="J206" s="10">
        <v>25</v>
      </c>
      <c r="K206" s="56" t="s">
        <v>71</v>
      </c>
      <c r="L206" s="57">
        <v>0.6</v>
      </c>
      <c r="M206" s="50">
        <v>15</v>
      </c>
      <c r="N206" s="15"/>
      <c r="O206" s="50"/>
      <c r="P206" s="56" t="s">
        <v>20</v>
      </c>
    </row>
    <row r="207" spans="1:16" ht="15.75" customHeight="1" outlineLevel="2">
      <c r="A207" s="28">
        <v>3</v>
      </c>
      <c r="B207" s="33">
        <v>45378</v>
      </c>
      <c r="C207" s="37" t="s">
        <v>203</v>
      </c>
      <c r="D207" s="44">
        <v>1</v>
      </c>
      <c r="E207" s="44" t="s">
        <v>194</v>
      </c>
      <c r="F207" s="16" t="s">
        <v>23</v>
      </c>
      <c r="G207" s="49" t="s">
        <v>79</v>
      </c>
      <c r="H207" s="10">
        <v>0</v>
      </c>
      <c r="I207" s="54">
        <v>10</v>
      </c>
      <c r="J207" s="10">
        <v>10</v>
      </c>
      <c r="K207" s="56" t="s">
        <v>71</v>
      </c>
      <c r="L207" s="57">
        <v>1</v>
      </c>
      <c r="M207" s="50">
        <v>10</v>
      </c>
      <c r="N207" s="15"/>
      <c r="O207" s="50"/>
      <c r="P207" s="56" t="s">
        <v>20</v>
      </c>
    </row>
    <row r="208" spans="1:16" ht="15.75" customHeight="1" outlineLevel="2">
      <c r="A208" s="28">
        <v>3</v>
      </c>
      <c r="B208" s="33">
        <v>45378</v>
      </c>
      <c r="C208" s="37" t="s">
        <v>204</v>
      </c>
      <c r="D208" s="44">
        <v>1</v>
      </c>
      <c r="E208" s="44" t="s">
        <v>194</v>
      </c>
      <c r="F208" s="16" t="s">
        <v>23</v>
      </c>
      <c r="G208" s="49">
        <v>6</v>
      </c>
      <c r="H208" s="10">
        <v>6</v>
      </c>
      <c r="I208" s="54">
        <v>10</v>
      </c>
      <c r="J208" s="10">
        <v>10</v>
      </c>
      <c r="K208" s="56" t="s">
        <v>71</v>
      </c>
      <c r="L208" s="57">
        <v>0.4</v>
      </c>
      <c r="M208" s="50">
        <v>4</v>
      </c>
      <c r="N208" s="15"/>
      <c r="O208" s="50"/>
      <c r="P208" s="56" t="s">
        <v>20</v>
      </c>
    </row>
    <row r="209" spans="1:16" ht="15.75" customHeight="1" outlineLevel="2">
      <c r="A209" s="28">
        <v>3</v>
      </c>
      <c r="B209" s="33">
        <v>45378</v>
      </c>
      <c r="C209" s="37" t="s">
        <v>205</v>
      </c>
      <c r="D209" s="44">
        <v>1</v>
      </c>
      <c r="E209" s="44" t="s">
        <v>194</v>
      </c>
      <c r="F209" s="14" t="s">
        <v>33</v>
      </c>
      <c r="G209" s="49">
        <v>15</v>
      </c>
      <c r="H209" s="10">
        <v>15</v>
      </c>
      <c r="I209" s="54">
        <v>25</v>
      </c>
      <c r="J209" s="10">
        <v>25</v>
      </c>
      <c r="K209" s="56" t="s">
        <v>71</v>
      </c>
      <c r="L209" s="57">
        <v>0.4</v>
      </c>
      <c r="M209" s="50">
        <v>10</v>
      </c>
      <c r="N209" s="15"/>
      <c r="O209" s="50"/>
      <c r="P209" s="56" t="s">
        <v>20</v>
      </c>
    </row>
    <row r="210" spans="1:16" ht="15.75" customHeight="1" outlineLevel="2">
      <c r="A210" s="28">
        <v>3</v>
      </c>
      <c r="B210" s="33">
        <v>45378</v>
      </c>
      <c r="C210" s="37" t="s">
        <v>193</v>
      </c>
      <c r="D210" s="44">
        <v>1</v>
      </c>
      <c r="E210" s="44" t="s">
        <v>194</v>
      </c>
      <c r="F210" s="16" t="s">
        <v>23</v>
      </c>
      <c r="G210" s="49">
        <v>11</v>
      </c>
      <c r="H210" s="10">
        <v>11</v>
      </c>
      <c r="I210" s="54">
        <v>20</v>
      </c>
      <c r="J210" s="10">
        <v>20</v>
      </c>
      <c r="K210" s="56" t="s">
        <v>71</v>
      </c>
      <c r="L210" s="57">
        <v>0.45</v>
      </c>
      <c r="M210" s="50">
        <v>9</v>
      </c>
      <c r="N210" s="15"/>
      <c r="O210" s="50"/>
      <c r="P210" s="56" t="s">
        <v>20</v>
      </c>
    </row>
    <row r="211" spans="1:16" ht="15.75" customHeight="1" outlineLevel="2">
      <c r="A211" s="28">
        <v>3</v>
      </c>
      <c r="B211" s="33">
        <v>45378</v>
      </c>
      <c r="C211" s="37" t="s">
        <v>206</v>
      </c>
      <c r="D211" s="44">
        <v>1</v>
      </c>
      <c r="E211" s="44" t="s">
        <v>194</v>
      </c>
      <c r="F211" s="14" t="s">
        <v>33</v>
      </c>
      <c r="G211" s="49">
        <v>35</v>
      </c>
      <c r="H211" s="10">
        <v>35</v>
      </c>
      <c r="I211" s="54">
        <v>65</v>
      </c>
      <c r="J211" s="10">
        <v>65</v>
      </c>
      <c r="K211" s="56" t="s">
        <v>71</v>
      </c>
      <c r="L211" s="57">
        <v>0.46153846153846156</v>
      </c>
      <c r="M211" s="50">
        <v>30</v>
      </c>
      <c r="N211" s="15"/>
      <c r="O211" s="50"/>
      <c r="P211" s="56" t="s">
        <v>20</v>
      </c>
    </row>
    <row r="212" spans="1:16" ht="15.75" customHeight="1" outlineLevel="2">
      <c r="A212" s="28">
        <v>3</v>
      </c>
      <c r="B212" s="33">
        <v>45378</v>
      </c>
      <c r="C212" s="37" t="s">
        <v>207</v>
      </c>
      <c r="D212" s="44">
        <v>1</v>
      </c>
      <c r="E212" s="44" t="s">
        <v>194</v>
      </c>
      <c r="F212" s="14" t="s">
        <v>33</v>
      </c>
      <c r="G212" s="49" t="s">
        <v>79</v>
      </c>
      <c r="H212" s="10">
        <v>0</v>
      </c>
      <c r="I212" s="54">
        <v>20</v>
      </c>
      <c r="J212" s="10">
        <v>20</v>
      </c>
      <c r="K212" s="56" t="s">
        <v>71</v>
      </c>
      <c r="L212" s="57">
        <v>1</v>
      </c>
      <c r="M212" s="50">
        <v>20</v>
      </c>
      <c r="N212" s="15"/>
      <c r="O212" s="50"/>
      <c r="P212" s="56" t="s">
        <v>20</v>
      </c>
    </row>
    <row r="213" spans="1:16" ht="15.75" customHeight="1" outlineLevel="2">
      <c r="A213" s="28">
        <v>3</v>
      </c>
      <c r="B213" s="33">
        <v>45378</v>
      </c>
      <c r="C213" s="37" t="s">
        <v>208</v>
      </c>
      <c r="D213" s="44">
        <v>1</v>
      </c>
      <c r="E213" s="44" t="s">
        <v>194</v>
      </c>
      <c r="F213" s="14" t="s">
        <v>33</v>
      </c>
      <c r="G213" s="49">
        <v>9.5</v>
      </c>
      <c r="H213" s="10">
        <v>9.5</v>
      </c>
      <c r="I213" s="54">
        <v>25</v>
      </c>
      <c r="J213" s="10">
        <v>25</v>
      </c>
      <c r="K213" s="56" t="s">
        <v>71</v>
      </c>
      <c r="L213" s="57">
        <v>0.62</v>
      </c>
      <c r="M213" s="50">
        <v>15.5</v>
      </c>
      <c r="N213" s="15"/>
      <c r="O213" s="50"/>
      <c r="P213" s="56" t="s">
        <v>20</v>
      </c>
    </row>
    <row r="214" spans="1:16" ht="15.75" customHeight="1" outlineLevel="2">
      <c r="A214" s="28">
        <v>3</v>
      </c>
      <c r="B214" s="33">
        <v>45378</v>
      </c>
      <c r="C214" s="37" t="s">
        <v>209</v>
      </c>
      <c r="D214" s="44">
        <v>1</v>
      </c>
      <c r="E214" s="44" t="s">
        <v>194</v>
      </c>
      <c r="F214" s="14" t="s">
        <v>33</v>
      </c>
      <c r="G214" s="49" t="s">
        <v>79</v>
      </c>
      <c r="H214" s="10">
        <v>0</v>
      </c>
      <c r="I214" s="54">
        <v>40</v>
      </c>
      <c r="J214" s="10">
        <v>40</v>
      </c>
      <c r="K214" s="56" t="s">
        <v>71</v>
      </c>
      <c r="L214" s="57">
        <v>1</v>
      </c>
      <c r="M214" s="50">
        <v>40</v>
      </c>
      <c r="N214" s="15"/>
      <c r="O214" s="50"/>
      <c r="P214" s="56" t="s">
        <v>20</v>
      </c>
    </row>
    <row r="215" spans="1:16" ht="15.75" customHeight="1" outlineLevel="2">
      <c r="A215" s="28">
        <v>3</v>
      </c>
      <c r="B215" s="33">
        <v>45378</v>
      </c>
      <c r="C215" s="37" t="s">
        <v>210</v>
      </c>
      <c r="D215" s="44">
        <v>1</v>
      </c>
      <c r="E215" s="44" t="s">
        <v>194</v>
      </c>
      <c r="F215" s="14" t="s">
        <v>33</v>
      </c>
      <c r="G215" s="49">
        <v>30</v>
      </c>
      <c r="H215" s="10">
        <v>30</v>
      </c>
      <c r="I215" s="54">
        <v>80</v>
      </c>
      <c r="J215" s="10">
        <v>80</v>
      </c>
      <c r="K215" s="56" t="s">
        <v>71</v>
      </c>
      <c r="L215" s="57">
        <v>0.625</v>
      </c>
      <c r="M215" s="50">
        <v>50</v>
      </c>
      <c r="N215" s="15"/>
      <c r="O215" s="50"/>
      <c r="P215" s="56" t="s">
        <v>20</v>
      </c>
    </row>
    <row r="216" spans="1:16" ht="15.75" customHeight="1">
      <c r="A216" s="28">
        <v>3</v>
      </c>
      <c r="B216" s="32">
        <v>45381</v>
      </c>
      <c r="C216" s="36" t="s">
        <v>146</v>
      </c>
      <c r="D216" s="43">
        <v>1</v>
      </c>
      <c r="E216" s="48" t="s">
        <v>26</v>
      </c>
      <c r="F216" s="48" t="s">
        <v>23</v>
      </c>
      <c r="G216" s="49">
        <v>7.0000000000000007E-2</v>
      </c>
      <c r="H216" s="10">
        <v>7.0000000000000007E-2</v>
      </c>
      <c r="I216" s="52">
        <v>1</v>
      </c>
      <c r="J216" s="10">
        <v>1</v>
      </c>
      <c r="K216" s="55" t="s">
        <v>71</v>
      </c>
      <c r="L216" s="57">
        <v>0.92999999999999994</v>
      </c>
      <c r="M216" s="50">
        <v>0.92999999999999994</v>
      </c>
      <c r="N216" s="64"/>
      <c r="O216" s="50"/>
      <c r="P216" s="52" t="s">
        <v>20</v>
      </c>
    </row>
    <row r="217" spans="1:16" ht="15.75" customHeight="1" outlineLevel="2">
      <c r="A217" s="28">
        <v>4</v>
      </c>
      <c r="B217" s="32">
        <v>45383</v>
      </c>
      <c r="C217" s="36" t="s">
        <v>146</v>
      </c>
      <c r="D217" s="43">
        <v>1</v>
      </c>
      <c r="E217" s="48" t="s">
        <v>26</v>
      </c>
      <c r="F217" s="48" t="s">
        <v>23</v>
      </c>
      <c r="G217" s="49">
        <v>7.0000000000000007E-2</v>
      </c>
      <c r="H217" s="10">
        <v>7.0000000000000007E-2</v>
      </c>
      <c r="I217" s="52">
        <v>1</v>
      </c>
      <c r="J217" s="10">
        <v>1</v>
      </c>
      <c r="K217" s="55" t="s">
        <v>71</v>
      </c>
      <c r="L217" s="57">
        <v>0.92999999999999994</v>
      </c>
      <c r="M217" s="50">
        <v>0.92999999999999994</v>
      </c>
      <c r="N217" s="61"/>
      <c r="O217" s="50"/>
      <c r="P217" s="52" t="s">
        <v>20</v>
      </c>
    </row>
    <row r="218" spans="1:16" ht="15.75" customHeight="1" outlineLevel="2">
      <c r="A218" s="28">
        <v>4</v>
      </c>
      <c r="B218" s="32">
        <v>45383</v>
      </c>
      <c r="C218" s="36" t="s">
        <v>146</v>
      </c>
      <c r="D218" s="43">
        <v>1</v>
      </c>
      <c r="E218" s="48" t="s">
        <v>26</v>
      </c>
      <c r="F218" s="48" t="s">
        <v>23</v>
      </c>
      <c r="G218" s="49">
        <v>7.0000000000000007E-2</v>
      </c>
      <c r="H218" s="10">
        <v>7.0000000000000007E-2</v>
      </c>
      <c r="I218" s="52">
        <v>1</v>
      </c>
      <c r="J218" s="10">
        <v>1</v>
      </c>
      <c r="K218" s="55" t="s">
        <v>71</v>
      </c>
      <c r="L218" s="57">
        <v>0.92999999999999994</v>
      </c>
      <c r="M218" s="50">
        <v>0.92999999999999994</v>
      </c>
      <c r="N218" s="61"/>
      <c r="O218" s="50"/>
      <c r="P218" s="52" t="s">
        <v>20</v>
      </c>
    </row>
    <row r="219" spans="1:16" ht="15.75" customHeight="1" outlineLevel="2">
      <c r="A219" s="28">
        <v>4</v>
      </c>
      <c r="B219" s="32">
        <v>45383</v>
      </c>
      <c r="C219" s="36" t="s">
        <v>211</v>
      </c>
      <c r="D219" s="43">
        <v>1</v>
      </c>
      <c r="E219" s="48" t="s">
        <v>26</v>
      </c>
      <c r="F219" s="48" t="s">
        <v>23</v>
      </c>
      <c r="G219" s="49">
        <v>17</v>
      </c>
      <c r="H219" s="10">
        <v>17</v>
      </c>
      <c r="I219" s="53">
        <v>40</v>
      </c>
      <c r="J219" s="10">
        <v>40</v>
      </c>
      <c r="K219" s="55" t="s">
        <v>71</v>
      </c>
      <c r="L219" s="57">
        <v>0.57499999999999996</v>
      </c>
      <c r="M219" s="50">
        <v>23</v>
      </c>
      <c r="N219" s="61"/>
      <c r="O219" s="50"/>
      <c r="P219" s="52" t="s">
        <v>20</v>
      </c>
    </row>
    <row r="220" spans="1:16" ht="15.75" customHeight="1" outlineLevel="2">
      <c r="A220" s="28">
        <v>4</v>
      </c>
      <c r="B220" s="32">
        <v>45384</v>
      </c>
      <c r="C220" s="36" t="s">
        <v>212</v>
      </c>
      <c r="D220" s="43">
        <v>1</v>
      </c>
      <c r="E220" s="48" t="s">
        <v>192</v>
      </c>
      <c r="F220" s="48" t="s">
        <v>23</v>
      </c>
      <c r="G220" s="49">
        <v>5</v>
      </c>
      <c r="H220" s="10">
        <v>5</v>
      </c>
      <c r="I220" s="53">
        <v>10</v>
      </c>
      <c r="J220" s="10">
        <v>10</v>
      </c>
      <c r="K220" s="55" t="s">
        <v>71</v>
      </c>
      <c r="L220" s="57">
        <v>0.5</v>
      </c>
      <c r="M220" s="50">
        <v>5</v>
      </c>
      <c r="N220" s="61"/>
      <c r="O220" s="50"/>
      <c r="P220" s="52" t="s">
        <v>20</v>
      </c>
    </row>
    <row r="221" spans="1:16" ht="15.75" customHeight="1" outlineLevel="2">
      <c r="A221" s="28">
        <v>4</v>
      </c>
      <c r="B221" s="32">
        <v>45385</v>
      </c>
      <c r="C221" s="36" t="s">
        <v>213</v>
      </c>
      <c r="D221" s="43">
        <v>1</v>
      </c>
      <c r="E221" s="48" t="s">
        <v>58</v>
      </c>
      <c r="F221" s="48" t="s">
        <v>23</v>
      </c>
      <c r="G221" s="49">
        <v>10</v>
      </c>
      <c r="H221" s="10">
        <v>10</v>
      </c>
      <c r="I221" s="53">
        <v>15</v>
      </c>
      <c r="J221" s="10">
        <v>15</v>
      </c>
      <c r="K221" s="55" t="s">
        <v>71</v>
      </c>
      <c r="L221" s="57">
        <v>0.33333333333333331</v>
      </c>
      <c r="M221" s="50">
        <v>5</v>
      </c>
      <c r="N221" s="61"/>
      <c r="O221" s="50"/>
      <c r="P221" s="52" t="s">
        <v>20</v>
      </c>
    </row>
    <row r="222" spans="1:16" ht="15.75" customHeight="1" outlineLevel="2">
      <c r="A222" s="28">
        <v>4</v>
      </c>
      <c r="B222" s="32">
        <v>45386</v>
      </c>
      <c r="C222" s="36" t="s">
        <v>214</v>
      </c>
      <c r="D222" s="43">
        <v>1</v>
      </c>
      <c r="E222" s="48" t="s">
        <v>215</v>
      </c>
      <c r="F222" s="48" t="s">
        <v>23</v>
      </c>
      <c r="G222" s="49">
        <v>7</v>
      </c>
      <c r="H222" s="10">
        <v>7</v>
      </c>
      <c r="I222" s="53">
        <v>20</v>
      </c>
      <c r="J222" s="10">
        <v>20</v>
      </c>
      <c r="K222" s="55" t="s">
        <v>71</v>
      </c>
      <c r="L222" s="57">
        <v>0.65</v>
      </c>
      <c r="M222" s="50">
        <v>13</v>
      </c>
      <c r="N222" s="61"/>
      <c r="O222" s="50"/>
      <c r="P222" s="52" t="s">
        <v>20</v>
      </c>
    </row>
    <row r="223" spans="1:16" ht="15.75" customHeight="1" outlineLevel="2">
      <c r="A223" s="28">
        <v>4</v>
      </c>
      <c r="B223" s="32">
        <v>45386</v>
      </c>
      <c r="C223" s="36" t="s">
        <v>216</v>
      </c>
      <c r="D223" s="43">
        <v>1</v>
      </c>
      <c r="E223" s="48" t="s">
        <v>215</v>
      </c>
      <c r="F223" s="48" t="s">
        <v>23</v>
      </c>
      <c r="G223" s="49" t="s">
        <v>79</v>
      </c>
      <c r="H223" s="10">
        <v>0</v>
      </c>
      <c r="I223" s="53">
        <v>20</v>
      </c>
      <c r="J223" s="10">
        <v>20</v>
      </c>
      <c r="K223" s="55" t="s">
        <v>71</v>
      </c>
      <c r="L223" s="57">
        <v>1</v>
      </c>
      <c r="M223" s="50">
        <v>20</v>
      </c>
      <c r="N223" s="61"/>
      <c r="O223" s="50"/>
      <c r="P223" s="52" t="s">
        <v>20</v>
      </c>
    </row>
    <row r="224" spans="1:16" ht="15.75" customHeight="1" outlineLevel="2">
      <c r="A224" s="28">
        <v>4</v>
      </c>
      <c r="B224" s="32">
        <v>45386</v>
      </c>
      <c r="C224" s="36" t="s">
        <v>177</v>
      </c>
      <c r="D224" s="43">
        <v>1</v>
      </c>
      <c r="E224" s="48" t="s">
        <v>215</v>
      </c>
      <c r="F224" s="48" t="s">
        <v>23</v>
      </c>
      <c r="G224" s="49">
        <v>8</v>
      </c>
      <c r="H224" s="10">
        <v>8</v>
      </c>
      <c r="I224" s="53">
        <v>30</v>
      </c>
      <c r="J224" s="10">
        <v>30</v>
      </c>
      <c r="K224" s="55" t="s">
        <v>71</v>
      </c>
      <c r="L224" s="57">
        <v>0.73333333333333328</v>
      </c>
      <c r="M224" s="50">
        <v>22</v>
      </c>
      <c r="N224" s="61"/>
      <c r="O224" s="50"/>
      <c r="P224" s="52" t="s">
        <v>20</v>
      </c>
    </row>
    <row r="225" spans="1:16" ht="15.75" customHeight="1" outlineLevel="2">
      <c r="A225" s="28">
        <v>4</v>
      </c>
      <c r="B225" s="32">
        <v>45388</v>
      </c>
      <c r="C225" s="36" t="s">
        <v>217</v>
      </c>
      <c r="D225" s="43">
        <v>1</v>
      </c>
      <c r="E225" s="48" t="s">
        <v>26</v>
      </c>
      <c r="F225" s="48" t="s">
        <v>18</v>
      </c>
      <c r="G225" s="49">
        <v>15</v>
      </c>
      <c r="H225" s="10">
        <v>15</v>
      </c>
      <c r="I225" s="53">
        <v>35</v>
      </c>
      <c r="J225" s="10">
        <v>35</v>
      </c>
      <c r="K225" s="55" t="s">
        <v>71</v>
      </c>
      <c r="L225" s="57">
        <v>0.5714285714285714</v>
      </c>
      <c r="M225" s="50">
        <v>20</v>
      </c>
      <c r="N225" s="61"/>
      <c r="O225" s="50"/>
      <c r="P225" s="52" t="s">
        <v>20</v>
      </c>
    </row>
    <row r="226" spans="1:16" ht="15.75" customHeight="1" outlineLevel="2">
      <c r="A226" s="28">
        <v>4</v>
      </c>
      <c r="B226" s="32">
        <v>45388</v>
      </c>
      <c r="C226" s="36" t="s">
        <v>217</v>
      </c>
      <c r="D226" s="43">
        <v>1</v>
      </c>
      <c r="E226" s="48" t="s">
        <v>26</v>
      </c>
      <c r="F226" s="48" t="s">
        <v>18</v>
      </c>
      <c r="G226" s="49">
        <v>15</v>
      </c>
      <c r="H226" s="10">
        <v>15</v>
      </c>
      <c r="I226" s="53">
        <v>35</v>
      </c>
      <c r="J226" s="10">
        <v>35</v>
      </c>
      <c r="K226" s="55" t="s">
        <v>71</v>
      </c>
      <c r="L226" s="57">
        <v>0.5714285714285714</v>
      </c>
      <c r="M226" s="50">
        <v>20</v>
      </c>
      <c r="N226" s="61"/>
      <c r="O226" s="50"/>
      <c r="P226" s="52" t="s">
        <v>20</v>
      </c>
    </row>
    <row r="227" spans="1:16" ht="15.75" customHeight="1" outlineLevel="2">
      <c r="A227" s="28">
        <v>4</v>
      </c>
      <c r="B227" s="32">
        <v>45388</v>
      </c>
      <c r="C227" s="36" t="s">
        <v>218</v>
      </c>
      <c r="D227" s="43">
        <v>1</v>
      </c>
      <c r="E227" s="48" t="s">
        <v>26</v>
      </c>
      <c r="F227" s="48" t="s">
        <v>18</v>
      </c>
      <c r="G227" s="49">
        <v>5.5</v>
      </c>
      <c r="H227" s="10">
        <v>5.5</v>
      </c>
      <c r="I227" s="53">
        <v>15</v>
      </c>
      <c r="J227" s="10">
        <v>15</v>
      </c>
      <c r="K227" s="55" t="s">
        <v>71</v>
      </c>
      <c r="L227" s="57">
        <v>0.6333333333333333</v>
      </c>
      <c r="M227" s="50">
        <v>9.5</v>
      </c>
      <c r="N227" s="61"/>
      <c r="O227" s="50"/>
      <c r="P227" s="52" t="s">
        <v>20</v>
      </c>
    </row>
    <row r="228" spans="1:16" ht="15.75" customHeight="1" outlineLevel="2">
      <c r="A228" s="28">
        <v>4</v>
      </c>
      <c r="B228" s="32">
        <v>45388</v>
      </c>
      <c r="C228" s="36" t="s">
        <v>166</v>
      </c>
      <c r="D228" s="43">
        <v>1</v>
      </c>
      <c r="E228" s="48" t="s">
        <v>26</v>
      </c>
      <c r="F228" s="48" t="s">
        <v>18</v>
      </c>
      <c r="G228" s="49">
        <v>19</v>
      </c>
      <c r="H228" s="10">
        <v>19</v>
      </c>
      <c r="I228" s="53">
        <v>40</v>
      </c>
      <c r="J228" s="10">
        <v>40</v>
      </c>
      <c r="K228" s="55" t="s">
        <v>71</v>
      </c>
      <c r="L228" s="57">
        <v>0.52500000000000002</v>
      </c>
      <c r="M228" s="50">
        <v>21</v>
      </c>
      <c r="N228" s="61"/>
      <c r="O228" s="50"/>
      <c r="P228" s="52" t="s">
        <v>20</v>
      </c>
    </row>
    <row r="229" spans="1:16" ht="15.75" customHeight="1" outlineLevel="2">
      <c r="A229" s="28">
        <v>4</v>
      </c>
      <c r="B229" s="32">
        <v>45388</v>
      </c>
      <c r="C229" s="36" t="s">
        <v>149</v>
      </c>
      <c r="D229" s="43">
        <v>1</v>
      </c>
      <c r="E229" s="48" t="s">
        <v>219</v>
      </c>
      <c r="F229" s="48" t="s">
        <v>23</v>
      </c>
      <c r="G229" s="49">
        <v>18.739999999999998</v>
      </c>
      <c r="H229" s="10">
        <v>18.739999999999998</v>
      </c>
      <c r="I229" s="53">
        <v>60</v>
      </c>
      <c r="J229" s="10">
        <v>60</v>
      </c>
      <c r="K229" s="55" t="s">
        <v>71</v>
      </c>
      <c r="L229" s="57">
        <v>0.68766666666666676</v>
      </c>
      <c r="M229" s="50">
        <v>41.260000000000005</v>
      </c>
      <c r="N229" s="61"/>
      <c r="O229" s="50"/>
      <c r="P229" s="52" t="s">
        <v>20</v>
      </c>
    </row>
    <row r="230" spans="1:16" ht="15.75" customHeight="1" outlineLevel="2">
      <c r="A230" s="28">
        <v>4</v>
      </c>
      <c r="B230" s="32">
        <v>45388</v>
      </c>
      <c r="C230" s="36" t="s">
        <v>220</v>
      </c>
      <c r="D230" s="43">
        <v>1</v>
      </c>
      <c r="E230" s="48" t="s">
        <v>221</v>
      </c>
      <c r="F230" s="48" t="s">
        <v>23</v>
      </c>
      <c r="G230" s="49">
        <v>125</v>
      </c>
      <c r="H230" s="10">
        <v>125</v>
      </c>
      <c r="I230" s="53">
        <v>202</v>
      </c>
      <c r="J230" s="10">
        <v>202</v>
      </c>
      <c r="K230" s="55" t="s">
        <v>71</v>
      </c>
      <c r="L230" s="57">
        <v>0.38118811881188119</v>
      </c>
      <c r="M230" s="50">
        <v>77</v>
      </c>
      <c r="N230" s="61"/>
      <c r="O230" s="50"/>
      <c r="P230" s="52" t="s">
        <v>20</v>
      </c>
    </row>
    <row r="231" spans="1:16" ht="15.75" customHeight="1" outlineLevel="2">
      <c r="A231" s="28">
        <v>4</v>
      </c>
      <c r="B231" s="32">
        <v>45388</v>
      </c>
      <c r="C231" s="36" t="s">
        <v>222</v>
      </c>
      <c r="D231" s="43">
        <v>1</v>
      </c>
      <c r="E231" s="48" t="s">
        <v>221</v>
      </c>
      <c r="F231" s="48" t="s">
        <v>23</v>
      </c>
      <c r="G231" s="49">
        <v>6</v>
      </c>
      <c r="H231" s="10">
        <v>6</v>
      </c>
      <c r="I231" s="53">
        <v>12</v>
      </c>
      <c r="J231" s="10">
        <v>12</v>
      </c>
      <c r="K231" s="55" t="s">
        <v>71</v>
      </c>
      <c r="L231" s="57">
        <v>0.5</v>
      </c>
      <c r="M231" s="50">
        <v>6</v>
      </c>
      <c r="N231" s="61"/>
      <c r="O231" s="50"/>
      <c r="P231" s="52" t="s">
        <v>20</v>
      </c>
    </row>
    <row r="232" spans="1:16" ht="15.75" customHeight="1" outlineLevel="2">
      <c r="A232" s="28">
        <v>4</v>
      </c>
      <c r="B232" s="32">
        <v>45388</v>
      </c>
      <c r="C232" s="36" t="s">
        <v>196</v>
      </c>
      <c r="D232" s="43">
        <v>1</v>
      </c>
      <c r="E232" s="48" t="s">
        <v>221</v>
      </c>
      <c r="F232" s="48" t="s">
        <v>23</v>
      </c>
      <c r="G232" s="49">
        <v>65</v>
      </c>
      <c r="H232" s="10">
        <v>65</v>
      </c>
      <c r="I232" s="53">
        <v>100</v>
      </c>
      <c r="J232" s="10">
        <v>100</v>
      </c>
      <c r="K232" s="55" t="s">
        <v>71</v>
      </c>
      <c r="L232" s="57">
        <v>0.35</v>
      </c>
      <c r="M232" s="50">
        <v>35</v>
      </c>
      <c r="N232" s="61"/>
      <c r="O232" s="50"/>
      <c r="P232" s="52" t="s">
        <v>20</v>
      </c>
    </row>
    <row r="233" spans="1:16" ht="15.75" customHeight="1" outlineLevel="2">
      <c r="A233" s="28">
        <v>4</v>
      </c>
      <c r="B233" s="32">
        <v>45388</v>
      </c>
      <c r="C233" s="36" t="s">
        <v>223</v>
      </c>
      <c r="D233" s="43">
        <v>1</v>
      </c>
      <c r="E233" s="48" t="s">
        <v>26</v>
      </c>
      <c r="F233" s="48" t="s">
        <v>23</v>
      </c>
      <c r="G233" s="49">
        <v>0</v>
      </c>
      <c r="H233" s="10">
        <v>0</v>
      </c>
      <c r="I233" s="53">
        <v>50</v>
      </c>
      <c r="J233" s="10">
        <v>50</v>
      </c>
      <c r="K233" s="55" t="s">
        <v>71</v>
      </c>
      <c r="L233" s="57">
        <v>1</v>
      </c>
      <c r="M233" s="50">
        <v>50</v>
      </c>
      <c r="N233" s="61"/>
      <c r="O233" s="50"/>
      <c r="P233" s="52" t="s">
        <v>20</v>
      </c>
    </row>
    <row r="234" spans="1:16" ht="15.75" customHeight="1" outlineLevel="2">
      <c r="A234" s="28">
        <v>4</v>
      </c>
      <c r="B234" s="32">
        <v>45388</v>
      </c>
      <c r="C234" s="36" t="s">
        <v>149</v>
      </c>
      <c r="D234" s="43">
        <v>1</v>
      </c>
      <c r="E234" s="48" t="s">
        <v>26</v>
      </c>
      <c r="F234" s="48" t="s">
        <v>18</v>
      </c>
      <c r="G234" s="49">
        <v>18.739999999999998</v>
      </c>
      <c r="H234" s="10">
        <v>18.739999999999998</v>
      </c>
      <c r="I234" s="53">
        <v>50</v>
      </c>
      <c r="J234" s="10">
        <v>50</v>
      </c>
      <c r="K234" s="55" t="s">
        <v>71</v>
      </c>
      <c r="L234" s="57">
        <v>0.62519999999999998</v>
      </c>
      <c r="M234" s="50">
        <v>31.26</v>
      </c>
      <c r="N234" s="61"/>
      <c r="O234" s="50"/>
      <c r="P234" s="52" t="s">
        <v>20</v>
      </c>
    </row>
    <row r="235" spans="1:16" ht="15.75" customHeight="1" outlineLevel="2">
      <c r="A235" s="28">
        <v>4</v>
      </c>
      <c r="B235" s="32">
        <v>45388</v>
      </c>
      <c r="C235" s="36" t="s">
        <v>224</v>
      </c>
      <c r="D235" s="43">
        <v>1</v>
      </c>
      <c r="E235" s="48" t="s">
        <v>26</v>
      </c>
      <c r="F235" s="48" t="s">
        <v>18</v>
      </c>
      <c r="G235" s="49">
        <v>105.175</v>
      </c>
      <c r="H235" s="10">
        <v>105.175</v>
      </c>
      <c r="I235" s="53">
        <v>210</v>
      </c>
      <c r="J235" s="10">
        <v>210</v>
      </c>
      <c r="K235" s="55" t="s">
        <v>71</v>
      </c>
      <c r="L235" s="57">
        <v>0.4991666666666667</v>
      </c>
      <c r="M235" s="50">
        <v>104.825</v>
      </c>
      <c r="N235" s="61"/>
      <c r="O235" s="50"/>
      <c r="P235" s="52" t="s">
        <v>20</v>
      </c>
    </row>
    <row r="236" spans="1:16" ht="15.75" customHeight="1" outlineLevel="2">
      <c r="A236" s="28">
        <v>4</v>
      </c>
      <c r="B236" s="32">
        <v>45388</v>
      </c>
      <c r="C236" s="36" t="s">
        <v>146</v>
      </c>
      <c r="D236" s="43">
        <v>1</v>
      </c>
      <c r="E236" s="48" t="s">
        <v>26</v>
      </c>
      <c r="F236" s="48" t="s">
        <v>18</v>
      </c>
      <c r="G236" s="49">
        <v>7.0000000000000007E-2</v>
      </c>
      <c r="H236" s="10">
        <v>7.0000000000000007E-2</v>
      </c>
      <c r="I236" s="52">
        <v>1</v>
      </c>
      <c r="J236" s="10">
        <v>1</v>
      </c>
      <c r="K236" s="55" t="s">
        <v>71</v>
      </c>
      <c r="L236" s="57">
        <v>0.92999999999999994</v>
      </c>
      <c r="M236" s="50">
        <v>0.92999999999999994</v>
      </c>
      <c r="N236" s="61"/>
      <c r="O236" s="50"/>
      <c r="P236" s="52" t="s">
        <v>20</v>
      </c>
    </row>
    <row r="237" spans="1:16" ht="15.75" customHeight="1" outlineLevel="2">
      <c r="A237" s="28">
        <v>4</v>
      </c>
      <c r="B237" s="32">
        <v>45391</v>
      </c>
      <c r="C237" s="36" t="s">
        <v>187</v>
      </c>
      <c r="D237" s="43">
        <v>1</v>
      </c>
      <c r="E237" s="48" t="s">
        <v>147</v>
      </c>
      <c r="F237" s="48" t="s">
        <v>23</v>
      </c>
      <c r="G237" s="49">
        <v>35</v>
      </c>
      <c r="H237" s="10">
        <v>35</v>
      </c>
      <c r="I237" s="53">
        <v>60</v>
      </c>
      <c r="J237" s="10">
        <v>60</v>
      </c>
      <c r="K237" s="55" t="s">
        <v>71</v>
      </c>
      <c r="L237" s="57">
        <v>0.41666666666666669</v>
      </c>
      <c r="M237" s="50">
        <v>25</v>
      </c>
      <c r="N237" s="61"/>
      <c r="O237" s="50"/>
      <c r="P237" s="52" t="s">
        <v>20</v>
      </c>
    </row>
    <row r="238" spans="1:16" ht="15.75" customHeight="1" outlineLevel="2">
      <c r="A238" s="28">
        <v>4</v>
      </c>
      <c r="B238" s="32">
        <v>45391</v>
      </c>
      <c r="C238" s="36" t="s">
        <v>146</v>
      </c>
      <c r="D238" s="43">
        <v>1</v>
      </c>
      <c r="E238" s="48" t="s">
        <v>26</v>
      </c>
      <c r="F238" s="48" t="s">
        <v>23</v>
      </c>
      <c r="G238" s="49">
        <v>7.0000000000000007E-2</v>
      </c>
      <c r="H238" s="10">
        <v>7.0000000000000007E-2</v>
      </c>
      <c r="I238" s="52">
        <v>1</v>
      </c>
      <c r="J238" s="10">
        <v>1</v>
      </c>
      <c r="K238" s="55" t="s">
        <v>71</v>
      </c>
      <c r="L238" s="57">
        <v>0.92999999999999994</v>
      </c>
      <c r="M238" s="50">
        <v>0.92999999999999994</v>
      </c>
      <c r="N238" s="61"/>
      <c r="O238" s="50"/>
      <c r="P238" s="52" t="s">
        <v>20</v>
      </c>
    </row>
    <row r="239" spans="1:16" ht="15.75" customHeight="1" outlineLevel="2">
      <c r="A239" s="28">
        <v>4</v>
      </c>
      <c r="B239" s="32">
        <v>45393</v>
      </c>
      <c r="C239" s="36" t="s">
        <v>225</v>
      </c>
      <c r="D239" s="43">
        <v>1</v>
      </c>
      <c r="E239" s="48" t="s">
        <v>226</v>
      </c>
      <c r="F239" s="48" t="s">
        <v>23</v>
      </c>
      <c r="G239" s="49">
        <v>27.5</v>
      </c>
      <c r="H239" s="10">
        <v>27.5</v>
      </c>
      <c r="I239" s="53">
        <v>50</v>
      </c>
      <c r="J239" s="10">
        <v>50</v>
      </c>
      <c r="K239" s="55" t="s">
        <v>71</v>
      </c>
      <c r="L239" s="57">
        <v>0.45</v>
      </c>
      <c r="M239" s="50">
        <v>22.5</v>
      </c>
      <c r="N239" s="61"/>
      <c r="O239" s="50"/>
      <c r="P239" s="52" t="s">
        <v>20</v>
      </c>
    </row>
    <row r="240" spans="1:16" ht="15.75" customHeight="1" outlineLevel="2">
      <c r="A240" s="28">
        <v>4</v>
      </c>
      <c r="B240" s="32">
        <v>45393</v>
      </c>
      <c r="C240" s="36" t="s">
        <v>210</v>
      </c>
      <c r="D240" s="43">
        <v>1</v>
      </c>
      <c r="E240" s="48" t="s">
        <v>226</v>
      </c>
      <c r="F240" s="48" t="s">
        <v>23</v>
      </c>
      <c r="G240" s="49">
        <v>30</v>
      </c>
      <c r="H240" s="10">
        <v>30</v>
      </c>
      <c r="I240" s="53">
        <v>60</v>
      </c>
      <c r="J240" s="10">
        <v>60</v>
      </c>
      <c r="K240" s="55" t="s">
        <v>71</v>
      </c>
      <c r="L240" s="57">
        <v>0.5</v>
      </c>
      <c r="M240" s="50">
        <v>30</v>
      </c>
      <c r="N240" s="61"/>
      <c r="O240" s="50"/>
      <c r="P240" s="52" t="s">
        <v>20</v>
      </c>
    </row>
    <row r="241" spans="1:16" ht="15.75" customHeight="1" outlineLevel="2">
      <c r="A241" s="28">
        <v>4</v>
      </c>
      <c r="B241" s="32">
        <v>45393</v>
      </c>
      <c r="C241" s="36" t="s">
        <v>227</v>
      </c>
      <c r="D241" s="43">
        <v>1</v>
      </c>
      <c r="E241" s="48" t="s">
        <v>226</v>
      </c>
      <c r="F241" s="48" t="s">
        <v>23</v>
      </c>
      <c r="G241" s="49">
        <v>50</v>
      </c>
      <c r="H241" s="10">
        <v>50</v>
      </c>
      <c r="I241" s="53">
        <v>70</v>
      </c>
      <c r="J241" s="10">
        <v>70</v>
      </c>
      <c r="K241" s="55" t="s">
        <v>71</v>
      </c>
      <c r="L241" s="57">
        <v>0.2857142857142857</v>
      </c>
      <c r="M241" s="50">
        <v>20</v>
      </c>
      <c r="N241" s="61"/>
      <c r="O241" s="50"/>
      <c r="P241" s="52" t="s">
        <v>20</v>
      </c>
    </row>
    <row r="242" spans="1:16" ht="15.75" customHeight="1" outlineLevel="2">
      <c r="A242" s="28">
        <v>4</v>
      </c>
      <c r="B242" s="32">
        <v>45393</v>
      </c>
      <c r="C242" s="36" t="s">
        <v>218</v>
      </c>
      <c r="D242" s="43">
        <v>2</v>
      </c>
      <c r="E242" s="48" t="s">
        <v>226</v>
      </c>
      <c r="F242" s="48" t="s">
        <v>23</v>
      </c>
      <c r="G242" s="49">
        <v>5.5</v>
      </c>
      <c r="H242" s="10">
        <v>11</v>
      </c>
      <c r="I242" s="53">
        <v>10</v>
      </c>
      <c r="J242" s="10">
        <v>20</v>
      </c>
      <c r="K242" s="55" t="s">
        <v>71</v>
      </c>
      <c r="L242" s="57">
        <v>0.45</v>
      </c>
      <c r="M242" s="50">
        <v>9</v>
      </c>
      <c r="N242" s="61"/>
      <c r="O242" s="50"/>
      <c r="P242" s="52" t="s">
        <v>20</v>
      </c>
    </row>
    <row r="243" spans="1:16" ht="15.75" customHeight="1" outlineLevel="2">
      <c r="A243" s="28">
        <v>4</v>
      </c>
      <c r="B243" s="32">
        <v>45393</v>
      </c>
      <c r="C243" s="36" t="s">
        <v>97</v>
      </c>
      <c r="D243" s="43">
        <v>1</v>
      </c>
      <c r="E243" s="48" t="s">
        <v>26</v>
      </c>
      <c r="F243" s="48" t="s">
        <v>23</v>
      </c>
      <c r="G243" s="49">
        <v>3</v>
      </c>
      <c r="H243" s="10">
        <v>3</v>
      </c>
      <c r="I243" s="53">
        <v>15</v>
      </c>
      <c r="J243" s="10">
        <v>15</v>
      </c>
      <c r="K243" s="55" t="s">
        <v>71</v>
      </c>
      <c r="L243" s="57">
        <v>0.8</v>
      </c>
      <c r="M243" s="50">
        <v>12</v>
      </c>
      <c r="N243" s="61"/>
      <c r="O243" s="50"/>
      <c r="P243" s="52" t="s">
        <v>20</v>
      </c>
    </row>
    <row r="244" spans="1:16" ht="15.75" customHeight="1" outlineLevel="2">
      <c r="A244" s="28">
        <v>4</v>
      </c>
      <c r="B244" s="32">
        <v>45393</v>
      </c>
      <c r="C244" s="36" t="s">
        <v>228</v>
      </c>
      <c r="D244" s="43">
        <v>1</v>
      </c>
      <c r="E244" s="48" t="s">
        <v>52</v>
      </c>
      <c r="F244" s="48" t="s">
        <v>23</v>
      </c>
      <c r="G244" s="49">
        <v>8</v>
      </c>
      <c r="H244" s="10">
        <v>8</v>
      </c>
      <c r="I244" s="53">
        <v>15</v>
      </c>
      <c r="J244" s="10">
        <v>15</v>
      </c>
      <c r="K244" s="55" t="s">
        <v>71</v>
      </c>
      <c r="L244" s="57">
        <v>0.46666666666666667</v>
      </c>
      <c r="M244" s="50">
        <v>7</v>
      </c>
      <c r="N244" s="61"/>
      <c r="O244" s="50"/>
      <c r="P244" s="52" t="s">
        <v>20</v>
      </c>
    </row>
    <row r="245" spans="1:16" ht="15.75" customHeight="1" outlineLevel="2">
      <c r="A245" s="28">
        <v>4</v>
      </c>
      <c r="B245" s="32">
        <v>45394</v>
      </c>
      <c r="C245" s="36" t="s">
        <v>229</v>
      </c>
      <c r="D245" s="43">
        <v>1</v>
      </c>
      <c r="E245" s="48" t="s">
        <v>26</v>
      </c>
      <c r="F245" s="48" t="s">
        <v>18</v>
      </c>
      <c r="G245" s="49">
        <v>3.3</v>
      </c>
      <c r="H245" s="10">
        <v>3.3</v>
      </c>
      <c r="I245" s="53">
        <v>10</v>
      </c>
      <c r="J245" s="10">
        <v>10</v>
      </c>
      <c r="K245" s="55" t="s">
        <v>71</v>
      </c>
      <c r="L245" s="57">
        <v>0.67</v>
      </c>
      <c r="M245" s="50">
        <v>6.7</v>
      </c>
      <c r="N245" s="61"/>
      <c r="O245" s="50"/>
      <c r="P245" s="52" t="s">
        <v>20</v>
      </c>
    </row>
    <row r="246" spans="1:16" ht="15.75" customHeight="1" outlineLevel="2">
      <c r="A246" s="28">
        <v>4</v>
      </c>
      <c r="B246" s="32">
        <v>45394</v>
      </c>
      <c r="C246" s="36" t="s">
        <v>130</v>
      </c>
      <c r="D246" s="43">
        <v>2</v>
      </c>
      <c r="E246" s="48" t="s">
        <v>26</v>
      </c>
      <c r="F246" s="48" t="s">
        <v>18</v>
      </c>
      <c r="G246" s="49">
        <v>0.05</v>
      </c>
      <c r="H246" s="10">
        <v>0.1</v>
      </c>
      <c r="I246" s="53">
        <v>1</v>
      </c>
      <c r="J246" s="10">
        <v>2</v>
      </c>
      <c r="K246" s="55" t="s">
        <v>71</v>
      </c>
      <c r="L246" s="57">
        <v>0.95</v>
      </c>
      <c r="M246" s="50">
        <v>1.9</v>
      </c>
      <c r="N246" s="61"/>
      <c r="O246" s="50"/>
      <c r="P246" s="52" t="s">
        <v>20</v>
      </c>
    </row>
    <row r="247" spans="1:16" ht="15.75" customHeight="1" outlineLevel="2">
      <c r="A247" s="28">
        <v>4</v>
      </c>
      <c r="B247" s="32">
        <v>45394</v>
      </c>
      <c r="C247" s="36" t="s">
        <v>230</v>
      </c>
      <c r="D247" s="43">
        <v>1</v>
      </c>
      <c r="E247" s="48" t="s">
        <v>26</v>
      </c>
      <c r="F247" s="48" t="s">
        <v>18</v>
      </c>
      <c r="G247" s="49">
        <v>11</v>
      </c>
      <c r="H247" s="10">
        <v>11</v>
      </c>
      <c r="I247" s="53">
        <v>30</v>
      </c>
      <c r="J247" s="10">
        <v>30</v>
      </c>
      <c r="K247" s="55" t="s">
        <v>71</v>
      </c>
      <c r="L247" s="57">
        <v>0.6333333333333333</v>
      </c>
      <c r="M247" s="50">
        <v>19</v>
      </c>
      <c r="N247" s="61"/>
      <c r="O247" s="50"/>
      <c r="P247" s="52" t="s">
        <v>20</v>
      </c>
    </row>
    <row r="248" spans="1:16" ht="15.75" customHeight="1" outlineLevel="2">
      <c r="A248" s="28">
        <v>4</v>
      </c>
      <c r="B248" s="32">
        <v>45395</v>
      </c>
      <c r="C248" s="36" t="s">
        <v>231</v>
      </c>
      <c r="D248" s="43">
        <v>1</v>
      </c>
      <c r="E248" s="48" t="s">
        <v>26</v>
      </c>
      <c r="F248" s="48" t="s">
        <v>23</v>
      </c>
      <c r="G248" s="49">
        <v>18</v>
      </c>
      <c r="H248" s="10">
        <v>18</v>
      </c>
      <c r="I248" s="53">
        <v>55</v>
      </c>
      <c r="J248" s="10">
        <v>55</v>
      </c>
      <c r="K248" s="55" t="s">
        <v>30</v>
      </c>
      <c r="L248" s="57">
        <v>0.67272727272727273</v>
      </c>
      <c r="M248" s="50">
        <v>37</v>
      </c>
      <c r="N248" s="61"/>
      <c r="O248" s="50"/>
      <c r="P248" s="52" t="s">
        <v>20</v>
      </c>
    </row>
    <row r="249" spans="1:16" ht="15.75" customHeight="1" outlineLevel="2">
      <c r="A249" s="28">
        <v>4</v>
      </c>
      <c r="B249" s="32">
        <v>45395</v>
      </c>
      <c r="C249" s="36" t="s">
        <v>232</v>
      </c>
      <c r="D249" s="43">
        <v>1</v>
      </c>
      <c r="E249" s="48" t="s">
        <v>26</v>
      </c>
      <c r="F249" s="48" t="s">
        <v>18</v>
      </c>
      <c r="G249" s="49">
        <v>15</v>
      </c>
      <c r="H249" s="10">
        <v>15</v>
      </c>
      <c r="I249" s="53">
        <v>60</v>
      </c>
      <c r="J249" s="10">
        <v>60</v>
      </c>
      <c r="K249" s="55" t="s">
        <v>71</v>
      </c>
      <c r="L249" s="57">
        <v>0.75</v>
      </c>
      <c r="M249" s="50">
        <v>45</v>
      </c>
      <c r="N249" s="61"/>
      <c r="O249" s="50"/>
      <c r="P249" s="52" t="s">
        <v>20</v>
      </c>
    </row>
    <row r="250" spans="1:16" ht="15.75" customHeight="1" outlineLevel="2">
      <c r="A250" s="28">
        <v>4</v>
      </c>
      <c r="B250" s="32">
        <v>45395</v>
      </c>
      <c r="C250" s="36" t="s">
        <v>233</v>
      </c>
      <c r="D250" s="43">
        <v>1</v>
      </c>
      <c r="E250" s="48" t="s">
        <v>234</v>
      </c>
      <c r="F250" s="48" t="s">
        <v>23</v>
      </c>
      <c r="G250" s="49">
        <v>0</v>
      </c>
      <c r="H250" s="10">
        <v>0</v>
      </c>
      <c r="I250" s="53">
        <v>25</v>
      </c>
      <c r="J250" s="10">
        <v>25</v>
      </c>
      <c r="K250" s="55" t="s">
        <v>71</v>
      </c>
      <c r="L250" s="57">
        <v>1</v>
      </c>
      <c r="M250" s="50">
        <v>25</v>
      </c>
      <c r="N250" s="61"/>
      <c r="O250" s="50"/>
      <c r="P250" s="52" t="s">
        <v>20</v>
      </c>
    </row>
    <row r="251" spans="1:16" ht="15.75" customHeight="1" outlineLevel="2">
      <c r="A251" s="28">
        <v>4</v>
      </c>
      <c r="B251" s="32">
        <v>45397</v>
      </c>
      <c r="C251" s="36" t="s">
        <v>235</v>
      </c>
      <c r="D251" s="43">
        <v>1</v>
      </c>
      <c r="E251" s="48" t="s">
        <v>52</v>
      </c>
      <c r="F251" s="48" t="s">
        <v>23</v>
      </c>
      <c r="G251" s="49">
        <v>43</v>
      </c>
      <c r="H251" s="10">
        <v>43</v>
      </c>
      <c r="I251" s="53">
        <v>70</v>
      </c>
      <c r="J251" s="10">
        <v>70</v>
      </c>
      <c r="K251" s="55" t="s">
        <v>71</v>
      </c>
      <c r="L251" s="57">
        <v>0.38571428571428573</v>
      </c>
      <c r="M251" s="50">
        <v>27</v>
      </c>
      <c r="N251" s="61"/>
      <c r="O251" s="50"/>
      <c r="P251" s="52" t="s">
        <v>20</v>
      </c>
    </row>
    <row r="252" spans="1:16" ht="15.75" customHeight="1" outlineLevel="2">
      <c r="A252" s="28">
        <v>4</v>
      </c>
      <c r="B252" s="32">
        <v>45427</v>
      </c>
      <c r="C252" s="36" t="s">
        <v>236</v>
      </c>
      <c r="D252" s="43">
        <v>1</v>
      </c>
      <c r="E252" s="48" t="s">
        <v>237</v>
      </c>
      <c r="F252" s="48" t="s">
        <v>23</v>
      </c>
      <c r="G252" s="49">
        <v>20</v>
      </c>
      <c r="H252" s="10">
        <v>20</v>
      </c>
      <c r="I252" s="53">
        <v>35</v>
      </c>
      <c r="J252" s="10">
        <v>35</v>
      </c>
      <c r="K252" s="55" t="s">
        <v>71</v>
      </c>
      <c r="L252" s="57">
        <v>0.42857142857142855</v>
      </c>
      <c r="M252" s="50">
        <v>15</v>
      </c>
      <c r="N252" s="61"/>
      <c r="O252" s="50"/>
      <c r="P252" s="52" t="s">
        <v>20</v>
      </c>
    </row>
    <row r="253" spans="1:16" ht="15.75" customHeight="1" outlineLevel="2">
      <c r="A253" s="28">
        <v>4</v>
      </c>
      <c r="B253" s="32">
        <v>45427</v>
      </c>
      <c r="C253" s="36" t="s">
        <v>238</v>
      </c>
      <c r="D253" s="43">
        <v>1</v>
      </c>
      <c r="E253" s="48" t="s">
        <v>26</v>
      </c>
      <c r="F253" s="48" t="s">
        <v>23</v>
      </c>
      <c r="G253" s="49">
        <v>7</v>
      </c>
      <c r="H253" s="10">
        <v>7</v>
      </c>
      <c r="I253" s="53">
        <v>15</v>
      </c>
      <c r="J253" s="10">
        <v>15</v>
      </c>
      <c r="K253" s="55" t="s">
        <v>71</v>
      </c>
      <c r="L253" s="57">
        <v>0.53333333333333333</v>
      </c>
      <c r="M253" s="50">
        <v>8</v>
      </c>
      <c r="N253" s="61"/>
      <c r="O253" s="50"/>
      <c r="P253" s="52" t="s">
        <v>20</v>
      </c>
    </row>
    <row r="254" spans="1:16" ht="15.75" customHeight="1" outlineLevel="2">
      <c r="A254" s="28">
        <v>4</v>
      </c>
      <c r="B254" s="32">
        <v>45427</v>
      </c>
      <c r="C254" s="36" t="s">
        <v>97</v>
      </c>
      <c r="D254" s="43">
        <v>1</v>
      </c>
      <c r="E254" s="48" t="s">
        <v>26</v>
      </c>
      <c r="F254" s="48" t="s">
        <v>23</v>
      </c>
      <c r="G254" s="49">
        <v>3</v>
      </c>
      <c r="H254" s="10">
        <v>3</v>
      </c>
      <c r="I254" s="53">
        <v>15</v>
      </c>
      <c r="J254" s="10">
        <v>15</v>
      </c>
      <c r="K254" s="55" t="s">
        <v>71</v>
      </c>
      <c r="L254" s="57">
        <v>0.8</v>
      </c>
      <c r="M254" s="50">
        <v>12</v>
      </c>
      <c r="N254" s="61"/>
      <c r="O254" s="50"/>
      <c r="P254" s="52" t="s">
        <v>20</v>
      </c>
    </row>
    <row r="255" spans="1:16" ht="15.75" customHeight="1" outlineLevel="2">
      <c r="A255" s="28">
        <v>4</v>
      </c>
      <c r="B255" s="32">
        <v>45398</v>
      </c>
      <c r="C255" s="36" t="s">
        <v>165</v>
      </c>
      <c r="D255" s="43">
        <v>1</v>
      </c>
      <c r="E255" s="48" t="s">
        <v>239</v>
      </c>
      <c r="F255" s="48" t="s">
        <v>23</v>
      </c>
      <c r="G255" s="49">
        <v>1.2</v>
      </c>
      <c r="H255" s="10">
        <v>1.2</v>
      </c>
      <c r="I255" s="53">
        <v>4</v>
      </c>
      <c r="J255" s="10">
        <v>4</v>
      </c>
      <c r="K255" s="55" t="s">
        <v>71</v>
      </c>
      <c r="L255" s="57">
        <v>0.7</v>
      </c>
      <c r="M255" s="50">
        <v>2.8</v>
      </c>
      <c r="N255" s="61"/>
      <c r="O255" s="50"/>
      <c r="P255" s="52" t="s">
        <v>20</v>
      </c>
    </row>
    <row r="256" spans="1:16" ht="15.75" customHeight="1" outlineLevel="2">
      <c r="A256" s="28">
        <v>4</v>
      </c>
      <c r="B256" s="32">
        <v>45399</v>
      </c>
      <c r="C256" s="36" t="s">
        <v>240</v>
      </c>
      <c r="D256" s="43">
        <v>1</v>
      </c>
      <c r="E256" s="48" t="s">
        <v>26</v>
      </c>
      <c r="F256" s="48" t="s">
        <v>23</v>
      </c>
      <c r="G256" s="49">
        <v>15</v>
      </c>
      <c r="H256" s="10">
        <v>15</v>
      </c>
      <c r="I256" s="53">
        <v>25</v>
      </c>
      <c r="J256" s="10">
        <v>25</v>
      </c>
      <c r="K256" s="55" t="s">
        <v>71</v>
      </c>
      <c r="L256" s="57">
        <v>0.4</v>
      </c>
      <c r="M256" s="50">
        <v>10</v>
      </c>
      <c r="N256" s="61"/>
      <c r="O256" s="50"/>
      <c r="P256" s="52" t="s">
        <v>20</v>
      </c>
    </row>
    <row r="257" spans="1:16" ht="15.75" customHeight="1" outlineLevel="2">
      <c r="A257" s="28">
        <v>4</v>
      </c>
      <c r="B257" s="32">
        <v>45399</v>
      </c>
      <c r="C257" s="36" t="s">
        <v>130</v>
      </c>
      <c r="D257" s="43">
        <v>1</v>
      </c>
      <c r="E257" s="48" t="s">
        <v>26</v>
      </c>
      <c r="F257" s="48" t="s">
        <v>23</v>
      </c>
      <c r="G257" s="49">
        <v>0.05</v>
      </c>
      <c r="H257" s="10">
        <v>0.05</v>
      </c>
      <c r="I257" s="53">
        <v>1</v>
      </c>
      <c r="J257" s="10">
        <v>1</v>
      </c>
      <c r="K257" s="55" t="s">
        <v>71</v>
      </c>
      <c r="L257" s="57">
        <v>0.95</v>
      </c>
      <c r="M257" s="50">
        <v>0.95</v>
      </c>
      <c r="N257" s="61"/>
      <c r="O257" s="50"/>
      <c r="P257" s="52" t="s">
        <v>20</v>
      </c>
    </row>
    <row r="258" spans="1:16" ht="15.75" customHeight="1" outlineLevel="2">
      <c r="A258" s="28">
        <v>4</v>
      </c>
      <c r="B258" s="32">
        <v>45399</v>
      </c>
      <c r="C258" s="36" t="s">
        <v>241</v>
      </c>
      <c r="D258" s="43">
        <v>1</v>
      </c>
      <c r="E258" s="48" t="s">
        <v>26</v>
      </c>
      <c r="F258" s="48" t="s">
        <v>33</v>
      </c>
      <c r="G258" s="49">
        <v>25</v>
      </c>
      <c r="H258" s="10">
        <v>25</v>
      </c>
      <c r="I258" s="53">
        <v>30</v>
      </c>
      <c r="J258" s="10">
        <v>30</v>
      </c>
      <c r="K258" s="55" t="s">
        <v>71</v>
      </c>
      <c r="L258" s="57">
        <v>0.16666666666666666</v>
      </c>
      <c r="M258" s="50">
        <v>5</v>
      </c>
      <c r="N258" s="61"/>
      <c r="O258" s="50"/>
      <c r="P258" s="52" t="s">
        <v>20</v>
      </c>
    </row>
    <row r="259" spans="1:16" ht="15.75" customHeight="1" outlineLevel="2">
      <c r="A259" s="28">
        <v>4</v>
      </c>
      <c r="B259" s="32">
        <v>45400</v>
      </c>
      <c r="C259" s="36" t="s">
        <v>16</v>
      </c>
      <c r="D259" s="43">
        <v>1</v>
      </c>
      <c r="E259" s="48" t="s">
        <v>26</v>
      </c>
      <c r="F259" s="48" t="s">
        <v>18</v>
      </c>
      <c r="G259" s="49">
        <v>7</v>
      </c>
      <c r="H259" s="10">
        <v>7</v>
      </c>
      <c r="I259" s="53">
        <v>15</v>
      </c>
      <c r="J259" s="10">
        <v>15</v>
      </c>
      <c r="K259" s="55" t="s">
        <v>71</v>
      </c>
      <c r="L259" s="57">
        <v>0.53333333333333333</v>
      </c>
      <c r="M259" s="50">
        <v>8</v>
      </c>
      <c r="N259" s="61"/>
      <c r="O259" s="50"/>
      <c r="P259" s="52" t="s">
        <v>20</v>
      </c>
    </row>
    <row r="260" spans="1:16" ht="15.75" customHeight="1" outlineLevel="2">
      <c r="A260" s="28">
        <v>4</v>
      </c>
      <c r="B260" s="32">
        <v>45402</v>
      </c>
      <c r="C260" s="36" t="s">
        <v>242</v>
      </c>
      <c r="D260" s="43">
        <v>1</v>
      </c>
      <c r="E260" s="48" t="s">
        <v>26</v>
      </c>
      <c r="F260" s="48" t="s">
        <v>18</v>
      </c>
      <c r="G260" s="49">
        <v>15</v>
      </c>
      <c r="H260" s="10">
        <v>15</v>
      </c>
      <c r="I260" s="53">
        <v>40</v>
      </c>
      <c r="J260" s="10">
        <v>40</v>
      </c>
      <c r="K260" s="55" t="s">
        <v>30</v>
      </c>
      <c r="L260" s="57">
        <v>0.625</v>
      </c>
      <c r="M260" s="50">
        <v>25</v>
      </c>
      <c r="N260" s="61"/>
      <c r="O260" s="50"/>
      <c r="P260" s="52" t="s">
        <v>20</v>
      </c>
    </row>
    <row r="261" spans="1:16" ht="15.75" customHeight="1" outlineLevel="2">
      <c r="A261" s="28">
        <v>4</v>
      </c>
      <c r="B261" s="32">
        <v>45404</v>
      </c>
      <c r="C261" s="36" t="s">
        <v>243</v>
      </c>
      <c r="D261" s="43">
        <v>1</v>
      </c>
      <c r="E261" s="48" t="s">
        <v>26</v>
      </c>
      <c r="F261" s="48" t="s">
        <v>23</v>
      </c>
      <c r="G261" s="49">
        <v>1</v>
      </c>
      <c r="H261" s="10">
        <v>1</v>
      </c>
      <c r="I261" s="53">
        <v>10</v>
      </c>
      <c r="J261" s="10">
        <v>10</v>
      </c>
      <c r="K261" s="55" t="s">
        <v>71</v>
      </c>
      <c r="L261" s="57">
        <v>0.9</v>
      </c>
      <c r="M261" s="50">
        <v>9</v>
      </c>
      <c r="N261" s="61"/>
      <c r="O261" s="50"/>
      <c r="P261" s="52" t="s">
        <v>20</v>
      </c>
    </row>
    <row r="262" spans="1:16" ht="15.75" customHeight="1" outlineLevel="2">
      <c r="A262" s="28">
        <v>4</v>
      </c>
      <c r="B262" s="32">
        <v>45404</v>
      </c>
      <c r="C262" s="36" t="s">
        <v>244</v>
      </c>
      <c r="D262" s="43">
        <v>1</v>
      </c>
      <c r="E262" s="48" t="s">
        <v>245</v>
      </c>
      <c r="F262" s="48" t="s">
        <v>23</v>
      </c>
      <c r="G262" s="49">
        <v>14</v>
      </c>
      <c r="H262" s="10">
        <v>14</v>
      </c>
      <c r="I262" s="53">
        <v>30</v>
      </c>
      <c r="J262" s="10">
        <v>30</v>
      </c>
      <c r="K262" s="55" t="s">
        <v>71</v>
      </c>
      <c r="L262" s="57">
        <v>0.53333333333333333</v>
      </c>
      <c r="M262" s="50">
        <v>16</v>
      </c>
      <c r="N262" s="61"/>
      <c r="O262" s="50"/>
      <c r="P262" s="52" t="s">
        <v>20</v>
      </c>
    </row>
    <row r="263" spans="1:16" ht="15.75" customHeight="1" outlineLevel="2">
      <c r="A263" s="28">
        <v>4</v>
      </c>
      <c r="B263" s="32">
        <v>45404</v>
      </c>
      <c r="C263" s="36" t="s">
        <v>246</v>
      </c>
      <c r="D263" s="43">
        <v>1</v>
      </c>
      <c r="E263" s="48" t="s">
        <v>247</v>
      </c>
      <c r="F263" s="48" t="s">
        <v>23</v>
      </c>
      <c r="G263" s="49">
        <v>4.5</v>
      </c>
      <c r="H263" s="10">
        <v>4.5</v>
      </c>
      <c r="I263" s="53">
        <v>10</v>
      </c>
      <c r="J263" s="10">
        <v>10</v>
      </c>
      <c r="K263" s="55" t="s">
        <v>71</v>
      </c>
      <c r="L263" s="57">
        <v>0.55000000000000004</v>
      </c>
      <c r="M263" s="50">
        <v>5.5</v>
      </c>
      <c r="N263" s="61"/>
      <c r="O263" s="50"/>
      <c r="P263" s="52" t="s">
        <v>20</v>
      </c>
    </row>
    <row r="264" spans="1:16" ht="15.75" customHeight="1" outlineLevel="2">
      <c r="A264" s="28">
        <v>4</v>
      </c>
      <c r="B264" s="32">
        <v>45404</v>
      </c>
      <c r="C264" s="36" t="s">
        <v>248</v>
      </c>
      <c r="D264" s="43">
        <v>1</v>
      </c>
      <c r="E264" s="48" t="s">
        <v>26</v>
      </c>
      <c r="F264" s="48" t="s">
        <v>23</v>
      </c>
      <c r="G264" s="49">
        <v>5.5</v>
      </c>
      <c r="H264" s="10">
        <v>5.5</v>
      </c>
      <c r="I264" s="53">
        <v>20</v>
      </c>
      <c r="J264" s="10">
        <v>20</v>
      </c>
      <c r="K264" s="55" t="s">
        <v>30</v>
      </c>
      <c r="L264" s="57">
        <v>0.72499999999999998</v>
      </c>
      <c r="M264" s="50">
        <v>14.5</v>
      </c>
      <c r="N264" s="61"/>
      <c r="O264" s="50"/>
      <c r="P264" s="52" t="s">
        <v>20</v>
      </c>
    </row>
    <row r="265" spans="1:16" ht="15.75" customHeight="1" outlineLevel="2">
      <c r="A265" s="28">
        <v>4</v>
      </c>
      <c r="B265" s="32">
        <v>45405</v>
      </c>
      <c r="C265" s="36" t="s">
        <v>209</v>
      </c>
      <c r="D265" s="43">
        <v>1</v>
      </c>
      <c r="E265" s="48" t="s">
        <v>26</v>
      </c>
      <c r="F265" s="48" t="s">
        <v>23</v>
      </c>
      <c r="G265" s="49" t="s">
        <v>79</v>
      </c>
      <c r="H265" s="10">
        <v>0</v>
      </c>
      <c r="I265" s="53">
        <v>50</v>
      </c>
      <c r="J265" s="10">
        <v>50</v>
      </c>
      <c r="K265" s="55" t="s">
        <v>71</v>
      </c>
      <c r="L265" s="57">
        <v>1</v>
      </c>
      <c r="M265" s="50">
        <v>50</v>
      </c>
      <c r="N265" s="61"/>
      <c r="O265" s="50"/>
      <c r="P265" s="52" t="s">
        <v>20</v>
      </c>
    </row>
    <row r="266" spans="1:16" ht="15.75" customHeight="1" outlineLevel="2">
      <c r="A266" s="28">
        <v>4</v>
      </c>
      <c r="B266" s="32">
        <v>45406</v>
      </c>
      <c r="C266" s="36" t="s">
        <v>146</v>
      </c>
      <c r="D266" s="43">
        <v>1</v>
      </c>
      <c r="E266" s="48" t="s">
        <v>26</v>
      </c>
      <c r="F266" s="48" t="s">
        <v>23</v>
      </c>
      <c r="G266" s="49">
        <v>7.0000000000000007E-2</v>
      </c>
      <c r="H266" s="10">
        <v>7.0000000000000007E-2</v>
      </c>
      <c r="I266" s="52">
        <v>1</v>
      </c>
      <c r="J266" s="10">
        <v>1</v>
      </c>
      <c r="K266" s="55" t="s">
        <v>71</v>
      </c>
      <c r="L266" s="57">
        <v>0.92999999999999994</v>
      </c>
      <c r="M266" s="50">
        <v>0.92999999999999994</v>
      </c>
      <c r="N266" s="61"/>
      <c r="O266" s="50"/>
      <c r="P266" s="52" t="s">
        <v>20</v>
      </c>
    </row>
    <row r="267" spans="1:16" ht="15.75" customHeight="1" outlineLevel="2">
      <c r="A267" s="28">
        <v>4</v>
      </c>
      <c r="B267" s="32">
        <v>45406</v>
      </c>
      <c r="C267" s="36" t="s">
        <v>146</v>
      </c>
      <c r="D267" s="43">
        <v>8</v>
      </c>
      <c r="E267" s="48" t="s">
        <v>26</v>
      </c>
      <c r="F267" s="48" t="s">
        <v>23</v>
      </c>
      <c r="G267" s="49">
        <v>7.0000000000000007E-2</v>
      </c>
      <c r="H267" s="10">
        <v>0.56000000000000005</v>
      </c>
      <c r="I267" s="52">
        <v>1</v>
      </c>
      <c r="J267" s="10">
        <v>8</v>
      </c>
      <c r="K267" s="55" t="s">
        <v>71</v>
      </c>
      <c r="L267" s="57">
        <v>0.92999999999999994</v>
      </c>
      <c r="M267" s="50">
        <v>7.4399999999999995</v>
      </c>
      <c r="N267" s="61"/>
      <c r="O267" s="50"/>
      <c r="P267" s="52" t="s">
        <v>20</v>
      </c>
    </row>
    <row r="268" spans="1:16" ht="15.75" customHeight="1" outlineLevel="2">
      <c r="A268" s="28">
        <v>4</v>
      </c>
      <c r="B268" s="32">
        <v>45406</v>
      </c>
      <c r="C268" s="36" t="s">
        <v>249</v>
      </c>
      <c r="D268" s="43">
        <v>1</v>
      </c>
      <c r="E268" s="48" t="s">
        <v>26</v>
      </c>
      <c r="F268" s="48" t="s">
        <v>23</v>
      </c>
      <c r="G268" s="49">
        <v>25</v>
      </c>
      <c r="H268" s="10">
        <v>25</v>
      </c>
      <c r="I268" s="53">
        <v>65</v>
      </c>
      <c r="J268" s="10">
        <v>65</v>
      </c>
      <c r="K268" s="55" t="s">
        <v>71</v>
      </c>
      <c r="L268" s="57">
        <v>0.61538461538461542</v>
      </c>
      <c r="M268" s="50">
        <v>40</v>
      </c>
      <c r="N268" s="61"/>
      <c r="O268" s="50"/>
      <c r="P268" s="52" t="s">
        <v>20</v>
      </c>
    </row>
    <row r="269" spans="1:16" ht="15.75" customHeight="1" outlineLevel="2">
      <c r="A269" s="28">
        <v>4</v>
      </c>
      <c r="B269" s="32">
        <v>45406</v>
      </c>
      <c r="C269" s="36" t="s">
        <v>250</v>
      </c>
      <c r="D269" s="43">
        <v>1</v>
      </c>
      <c r="E269" s="48" t="s">
        <v>251</v>
      </c>
      <c r="F269" s="48" t="s">
        <v>23</v>
      </c>
      <c r="G269" s="49">
        <v>23.5</v>
      </c>
      <c r="H269" s="10">
        <v>23.5</v>
      </c>
      <c r="I269" s="53">
        <v>35</v>
      </c>
      <c r="J269" s="10">
        <v>35</v>
      </c>
      <c r="K269" s="55" t="s">
        <v>71</v>
      </c>
      <c r="L269" s="57">
        <v>0.32857142857142857</v>
      </c>
      <c r="M269" s="50">
        <v>11.5</v>
      </c>
      <c r="N269" s="61"/>
      <c r="O269" s="50"/>
      <c r="P269" s="52" t="s">
        <v>20</v>
      </c>
    </row>
    <row r="270" spans="1:16" ht="15.75" customHeight="1" outlineLevel="2">
      <c r="A270" s="28">
        <v>4</v>
      </c>
      <c r="B270" s="32">
        <v>45406</v>
      </c>
      <c r="C270" s="36" t="s">
        <v>252</v>
      </c>
      <c r="D270" s="43">
        <v>1</v>
      </c>
      <c r="E270" s="48" t="s">
        <v>251</v>
      </c>
      <c r="F270" s="48" t="s">
        <v>23</v>
      </c>
      <c r="G270" s="49">
        <v>55</v>
      </c>
      <c r="H270" s="10">
        <v>55</v>
      </c>
      <c r="I270" s="53">
        <v>65</v>
      </c>
      <c r="J270" s="10">
        <v>65</v>
      </c>
      <c r="K270" s="55" t="s">
        <v>71</v>
      </c>
      <c r="L270" s="57">
        <v>0.15384615384615385</v>
      </c>
      <c r="M270" s="50">
        <v>10</v>
      </c>
      <c r="N270" s="61"/>
      <c r="O270" s="50"/>
      <c r="P270" s="52" t="s">
        <v>20</v>
      </c>
    </row>
    <row r="271" spans="1:16" ht="15.75" customHeight="1" outlineLevel="2">
      <c r="A271" s="28">
        <v>4</v>
      </c>
      <c r="B271" s="32">
        <v>45406</v>
      </c>
      <c r="C271" s="36" t="s">
        <v>253</v>
      </c>
      <c r="D271" s="43">
        <v>1</v>
      </c>
      <c r="E271" s="48" t="s">
        <v>251</v>
      </c>
      <c r="F271" s="48" t="s">
        <v>23</v>
      </c>
      <c r="G271" s="49">
        <v>3.5</v>
      </c>
      <c r="H271" s="10">
        <v>3.5</v>
      </c>
      <c r="I271" s="53">
        <v>10</v>
      </c>
      <c r="J271" s="10">
        <v>10</v>
      </c>
      <c r="K271" s="55" t="s">
        <v>71</v>
      </c>
      <c r="L271" s="57">
        <v>0.65</v>
      </c>
      <c r="M271" s="50">
        <v>6.5</v>
      </c>
      <c r="N271" s="61"/>
      <c r="O271" s="50"/>
      <c r="P271" s="52" t="s">
        <v>20</v>
      </c>
    </row>
    <row r="272" spans="1:16" ht="15.75" customHeight="1" outlineLevel="2">
      <c r="A272" s="28">
        <v>4</v>
      </c>
      <c r="B272" s="32">
        <v>45406</v>
      </c>
      <c r="C272" s="36" t="s">
        <v>254</v>
      </c>
      <c r="D272" s="43">
        <v>1</v>
      </c>
      <c r="E272" s="48" t="s">
        <v>255</v>
      </c>
      <c r="F272" s="48" t="s">
        <v>23</v>
      </c>
      <c r="G272" s="49">
        <v>122</v>
      </c>
      <c r="H272" s="10">
        <v>122</v>
      </c>
      <c r="I272" s="53">
        <v>190</v>
      </c>
      <c r="J272" s="10">
        <v>190</v>
      </c>
      <c r="K272" s="55" t="s">
        <v>71</v>
      </c>
      <c r="L272" s="57">
        <v>0.35789473684210527</v>
      </c>
      <c r="M272" s="50">
        <v>68</v>
      </c>
      <c r="N272" s="61"/>
      <c r="O272" s="50"/>
      <c r="P272" s="52" t="s">
        <v>20</v>
      </c>
    </row>
    <row r="273" spans="1:16" ht="15.75" customHeight="1" outlineLevel="2">
      <c r="A273" s="28">
        <v>4</v>
      </c>
      <c r="B273" s="32">
        <v>45408</v>
      </c>
      <c r="C273" s="36" t="s">
        <v>223</v>
      </c>
      <c r="D273" s="43">
        <v>1</v>
      </c>
      <c r="E273" s="48" t="s">
        <v>256</v>
      </c>
      <c r="F273" s="48" t="s">
        <v>23</v>
      </c>
      <c r="G273" s="49">
        <v>0</v>
      </c>
      <c r="H273" s="10">
        <v>0</v>
      </c>
      <c r="I273" s="53">
        <v>60</v>
      </c>
      <c r="J273" s="10">
        <v>60</v>
      </c>
      <c r="K273" s="55" t="s">
        <v>71</v>
      </c>
      <c r="L273" s="57">
        <v>1</v>
      </c>
      <c r="M273" s="50">
        <v>60</v>
      </c>
      <c r="N273" s="61"/>
      <c r="O273" s="50"/>
      <c r="P273" s="52" t="s">
        <v>20</v>
      </c>
    </row>
    <row r="274" spans="1:16" ht="15.75" customHeight="1" outlineLevel="2">
      <c r="A274" s="28">
        <v>4</v>
      </c>
      <c r="B274" s="32">
        <v>45408</v>
      </c>
      <c r="C274" s="36" t="s">
        <v>146</v>
      </c>
      <c r="D274" s="43">
        <v>7</v>
      </c>
      <c r="E274" s="48" t="s">
        <v>26</v>
      </c>
      <c r="F274" s="48" t="s">
        <v>23</v>
      </c>
      <c r="G274" s="49">
        <v>7.0000000000000007E-2</v>
      </c>
      <c r="H274" s="10">
        <v>0.49000000000000005</v>
      </c>
      <c r="I274" s="52">
        <v>1</v>
      </c>
      <c r="J274" s="10">
        <v>7</v>
      </c>
      <c r="K274" s="55" t="s">
        <v>71</v>
      </c>
      <c r="L274" s="57">
        <v>0.92999999999999994</v>
      </c>
      <c r="M274" s="50">
        <v>6.51</v>
      </c>
      <c r="N274" s="61"/>
      <c r="O274" s="50"/>
      <c r="P274" s="52" t="s">
        <v>20</v>
      </c>
    </row>
    <row r="275" spans="1:16" ht="15.75" customHeight="1" outlineLevel="2">
      <c r="A275" s="28">
        <v>4</v>
      </c>
      <c r="B275" s="32">
        <v>45408</v>
      </c>
      <c r="C275" s="36" t="s">
        <v>146</v>
      </c>
      <c r="D275" s="43">
        <v>5</v>
      </c>
      <c r="E275" s="48" t="s">
        <v>26</v>
      </c>
      <c r="F275" s="48" t="s">
        <v>23</v>
      </c>
      <c r="G275" s="49">
        <v>7.0000000000000007E-2</v>
      </c>
      <c r="H275" s="10">
        <v>0.35000000000000003</v>
      </c>
      <c r="I275" s="52">
        <v>1</v>
      </c>
      <c r="J275" s="10">
        <v>5</v>
      </c>
      <c r="K275" s="55" t="s">
        <v>71</v>
      </c>
      <c r="L275" s="57">
        <v>0.93</v>
      </c>
      <c r="M275" s="50">
        <v>4.6500000000000004</v>
      </c>
      <c r="N275" s="61"/>
      <c r="O275" s="50"/>
      <c r="P275" s="52" t="s">
        <v>20</v>
      </c>
    </row>
    <row r="276" spans="1:16" ht="15.75" customHeight="1" outlineLevel="2">
      <c r="A276" s="28">
        <v>4</v>
      </c>
      <c r="B276" s="32">
        <v>45408</v>
      </c>
      <c r="C276" s="36" t="s">
        <v>159</v>
      </c>
      <c r="D276" s="43">
        <v>1</v>
      </c>
      <c r="E276" s="48" t="s">
        <v>26</v>
      </c>
      <c r="F276" s="48" t="s">
        <v>23</v>
      </c>
      <c r="G276" s="49">
        <v>22</v>
      </c>
      <c r="H276" s="10">
        <v>22</v>
      </c>
      <c r="I276" s="53">
        <v>40</v>
      </c>
      <c r="J276" s="10">
        <v>40</v>
      </c>
      <c r="K276" s="55" t="s">
        <v>71</v>
      </c>
      <c r="L276" s="57">
        <v>0.45</v>
      </c>
      <c r="M276" s="50">
        <v>18</v>
      </c>
      <c r="N276" s="61"/>
      <c r="O276" s="50"/>
      <c r="P276" s="52" t="s">
        <v>20</v>
      </c>
    </row>
    <row r="277" spans="1:16" ht="15.75" customHeight="1" outlineLevel="2">
      <c r="A277" s="28">
        <v>4</v>
      </c>
      <c r="B277" s="32">
        <v>45408</v>
      </c>
      <c r="C277" s="36" t="s">
        <v>257</v>
      </c>
      <c r="D277" s="43">
        <v>1</v>
      </c>
      <c r="E277" s="48" t="s">
        <v>256</v>
      </c>
      <c r="F277" s="48" t="s">
        <v>23</v>
      </c>
      <c r="G277" s="49">
        <v>25</v>
      </c>
      <c r="H277" s="10">
        <v>25</v>
      </c>
      <c r="I277" s="53">
        <v>60</v>
      </c>
      <c r="J277" s="10">
        <v>60</v>
      </c>
      <c r="K277" s="55" t="s">
        <v>71</v>
      </c>
      <c r="L277" s="57">
        <v>0.58333333333333337</v>
      </c>
      <c r="M277" s="50">
        <v>35</v>
      </c>
      <c r="N277" s="61"/>
      <c r="O277" s="50"/>
      <c r="P277" s="52" t="s">
        <v>20</v>
      </c>
    </row>
    <row r="278" spans="1:16" ht="15.75" customHeight="1" outlineLevel="2">
      <c r="A278" s="28">
        <v>4</v>
      </c>
      <c r="B278" s="32">
        <v>45409</v>
      </c>
      <c r="C278" s="36" t="s">
        <v>258</v>
      </c>
      <c r="D278" s="43">
        <v>1</v>
      </c>
      <c r="E278" s="48" t="s">
        <v>26</v>
      </c>
      <c r="F278" s="48" t="s">
        <v>18</v>
      </c>
      <c r="G278" s="49">
        <v>11</v>
      </c>
      <c r="H278" s="10">
        <v>11</v>
      </c>
      <c r="I278" s="53">
        <v>25</v>
      </c>
      <c r="J278" s="10">
        <v>25</v>
      </c>
      <c r="K278" s="55" t="s">
        <v>71</v>
      </c>
      <c r="L278" s="57">
        <v>0.56000000000000005</v>
      </c>
      <c r="M278" s="50">
        <v>14</v>
      </c>
      <c r="N278" s="61"/>
      <c r="O278" s="50"/>
      <c r="P278" s="52" t="s">
        <v>20</v>
      </c>
    </row>
    <row r="279" spans="1:16" ht="15.75" customHeight="1" outlineLevel="2">
      <c r="A279" s="28">
        <v>4</v>
      </c>
      <c r="B279" s="32">
        <v>45409</v>
      </c>
      <c r="C279" s="36" t="s">
        <v>258</v>
      </c>
      <c r="D279" s="43">
        <v>1</v>
      </c>
      <c r="E279" s="48" t="s">
        <v>26</v>
      </c>
      <c r="F279" s="48" t="s">
        <v>18</v>
      </c>
      <c r="G279" s="49">
        <v>11</v>
      </c>
      <c r="H279" s="10">
        <v>11</v>
      </c>
      <c r="I279" s="53">
        <v>25</v>
      </c>
      <c r="J279" s="10">
        <v>25</v>
      </c>
      <c r="K279" s="55"/>
      <c r="L279" s="57">
        <v>0.56000000000000005</v>
      </c>
      <c r="M279" s="50">
        <v>14</v>
      </c>
      <c r="N279" s="62"/>
      <c r="O279" s="50">
        <v>25</v>
      </c>
      <c r="P279" s="52" t="s">
        <v>135</v>
      </c>
    </row>
    <row r="280" spans="1:16" ht="15.75" customHeight="1" outlineLevel="2">
      <c r="A280" s="28">
        <v>4</v>
      </c>
      <c r="B280" s="32">
        <v>45409</v>
      </c>
      <c r="C280" s="36" t="s">
        <v>214</v>
      </c>
      <c r="D280" s="43">
        <v>1</v>
      </c>
      <c r="E280" s="48" t="s">
        <v>26</v>
      </c>
      <c r="F280" s="48" t="s">
        <v>18</v>
      </c>
      <c r="G280" s="49">
        <v>7</v>
      </c>
      <c r="H280" s="10">
        <v>7</v>
      </c>
      <c r="I280" s="53">
        <v>15</v>
      </c>
      <c r="J280" s="10">
        <v>15</v>
      </c>
      <c r="K280" s="55"/>
      <c r="L280" s="57">
        <v>0.53333333333333333</v>
      </c>
      <c r="M280" s="50">
        <v>8</v>
      </c>
      <c r="N280" s="62"/>
      <c r="O280" s="50">
        <v>15</v>
      </c>
      <c r="P280" s="52" t="s">
        <v>135</v>
      </c>
    </row>
    <row r="281" spans="1:16" ht="15.75" customHeight="1" outlineLevel="2">
      <c r="A281" s="28">
        <v>4</v>
      </c>
      <c r="B281" s="32">
        <v>45409</v>
      </c>
      <c r="C281" s="36" t="s">
        <v>224</v>
      </c>
      <c r="D281" s="43">
        <v>1</v>
      </c>
      <c r="E281" s="48" t="s">
        <v>26</v>
      </c>
      <c r="F281" s="48" t="s">
        <v>18</v>
      </c>
      <c r="G281" s="49">
        <v>105.175</v>
      </c>
      <c r="H281" s="10">
        <v>105.175</v>
      </c>
      <c r="I281" s="53">
        <v>200</v>
      </c>
      <c r="J281" s="10">
        <v>200</v>
      </c>
      <c r="K281" s="55"/>
      <c r="L281" s="57">
        <v>0.47412500000000002</v>
      </c>
      <c r="M281" s="50">
        <v>94.825000000000003</v>
      </c>
      <c r="N281" s="61"/>
      <c r="O281" s="50"/>
      <c r="P281" s="52" t="s">
        <v>20</v>
      </c>
    </row>
    <row r="282" spans="1:16" ht="15.75" customHeight="1" outlineLevel="2">
      <c r="A282" s="28">
        <v>4</v>
      </c>
      <c r="B282" s="32">
        <v>45409</v>
      </c>
      <c r="C282" s="36" t="s">
        <v>55</v>
      </c>
      <c r="D282" s="43">
        <v>1</v>
      </c>
      <c r="E282" s="48" t="s">
        <v>26</v>
      </c>
      <c r="F282" s="48" t="s">
        <v>18</v>
      </c>
      <c r="G282" s="49">
        <v>3</v>
      </c>
      <c r="H282" s="10">
        <v>3</v>
      </c>
      <c r="I282" s="53">
        <v>15</v>
      </c>
      <c r="J282" s="10">
        <v>15</v>
      </c>
      <c r="K282" s="55"/>
      <c r="L282" s="57">
        <v>0.8</v>
      </c>
      <c r="M282" s="50">
        <v>12</v>
      </c>
      <c r="N282" s="62"/>
      <c r="O282" s="50">
        <v>15</v>
      </c>
      <c r="P282" s="52" t="s">
        <v>135</v>
      </c>
    </row>
    <row r="283" spans="1:16" ht="15.75" customHeight="1" outlineLevel="2">
      <c r="A283" s="28">
        <v>4</v>
      </c>
      <c r="B283" s="32">
        <v>45409</v>
      </c>
      <c r="C283" s="36" t="s">
        <v>259</v>
      </c>
      <c r="D283" s="43">
        <v>1</v>
      </c>
      <c r="E283" s="48" t="s">
        <v>26</v>
      </c>
      <c r="F283" s="48" t="s">
        <v>18</v>
      </c>
      <c r="G283" s="49">
        <v>6</v>
      </c>
      <c r="H283" s="10">
        <v>6</v>
      </c>
      <c r="I283" s="53">
        <v>15</v>
      </c>
      <c r="J283" s="10">
        <v>15</v>
      </c>
      <c r="K283" s="55"/>
      <c r="L283" s="57">
        <v>0.6</v>
      </c>
      <c r="M283" s="50">
        <v>9</v>
      </c>
      <c r="N283" s="62"/>
      <c r="O283" s="50">
        <v>15</v>
      </c>
      <c r="P283" s="52" t="s">
        <v>135</v>
      </c>
    </row>
    <row r="284" spans="1:16" ht="15.75" customHeight="1" outlineLevel="2">
      <c r="A284" s="28">
        <v>4</v>
      </c>
      <c r="B284" s="32">
        <v>45409</v>
      </c>
      <c r="C284" s="36" t="s">
        <v>260</v>
      </c>
      <c r="D284" s="43">
        <v>1</v>
      </c>
      <c r="E284" s="48" t="s">
        <v>26</v>
      </c>
      <c r="F284" s="48" t="s">
        <v>18</v>
      </c>
      <c r="G284" s="49">
        <v>11</v>
      </c>
      <c r="H284" s="10">
        <v>11</v>
      </c>
      <c r="I284" s="53">
        <v>20</v>
      </c>
      <c r="J284" s="10">
        <v>20</v>
      </c>
      <c r="K284" s="55" t="s">
        <v>71</v>
      </c>
      <c r="L284" s="57">
        <v>0.45</v>
      </c>
      <c r="M284" s="50">
        <v>9</v>
      </c>
      <c r="N284" s="61"/>
      <c r="O284" s="50"/>
      <c r="P284" s="52" t="s">
        <v>20</v>
      </c>
    </row>
    <row r="285" spans="1:16" ht="15.75" customHeight="1" outlineLevel="2">
      <c r="A285" s="28">
        <v>4</v>
      </c>
      <c r="B285" s="32">
        <v>45409</v>
      </c>
      <c r="C285" s="36" t="s">
        <v>261</v>
      </c>
      <c r="D285" s="43">
        <v>1</v>
      </c>
      <c r="E285" s="48" t="s">
        <v>26</v>
      </c>
      <c r="F285" s="48" t="s">
        <v>18</v>
      </c>
      <c r="G285" s="49">
        <v>55</v>
      </c>
      <c r="H285" s="10">
        <v>55</v>
      </c>
      <c r="I285" s="52">
        <v>90</v>
      </c>
      <c r="J285" s="10">
        <v>90</v>
      </c>
      <c r="K285" s="55" t="s">
        <v>71</v>
      </c>
      <c r="L285" s="57">
        <v>0.3888888888888889</v>
      </c>
      <c r="M285" s="50">
        <v>35</v>
      </c>
      <c r="N285" s="61"/>
      <c r="O285" s="50"/>
      <c r="P285" s="52" t="s">
        <v>20</v>
      </c>
    </row>
    <row r="286" spans="1:16" ht="15.75" customHeight="1" outlineLevel="2">
      <c r="A286" s="28">
        <v>4</v>
      </c>
      <c r="B286" s="32">
        <v>45411</v>
      </c>
      <c r="C286" s="36" t="s">
        <v>262</v>
      </c>
      <c r="D286" s="43">
        <v>1</v>
      </c>
      <c r="E286" s="48" t="s">
        <v>263</v>
      </c>
      <c r="F286" s="48" t="s">
        <v>23</v>
      </c>
      <c r="G286" s="49">
        <v>13</v>
      </c>
      <c r="H286" s="10">
        <v>13</v>
      </c>
      <c r="I286" s="52">
        <v>25</v>
      </c>
      <c r="J286" s="10">
        <v>25</v>
      </c>
      <c r="K286" s="55" t="s">
        <v>71</v>
      </c>
      <c r="L286" s="57">
        <v>0.48</v>
      </c>
      <c r="M286" s="50">
        <v>12</v>
      </c>
      <c r="N286" s="61"/>
      <c r="O286" s="50"/>
      <c r="P286" s="52" t="s">
        <v>20</v>
      </c>
    </row>
    <row r="287" spans="1:16" ht="15.75" customHeight="1" outlineLevel="2">
      <c r="A287" s="28">
        <v>4</v>
      </c>
      <c r="B287" s="32">
        <v>45411</v>
      </c>
      <c r="C287" s="36" t="s">
        <v>130</v>
      </c>
      <c r="D287" s="43">
        <v>2</v>
      </c>
      <c r="E287" s="48" t="s">
        <v>264</v>
      </c>
      <c r="F287" s="48" t="s">
        <v>23</v>
      </c>
      <c r="G287" s="49">
        <v>0.05</v>
      </c>
      <c r="H287" s="10">
        <v>0.1</v>
      </c>
      <c r="I287" s="52">
        <v>1</v>
      </c>
      <c r="J287" s="10">
        <v>2</v>
      </c>
      <c r="K287" s="55" t="s">
        <v>71</v>
      </c>
      <c r="L287" s="57">
        <v>0.95</v>
      </c>
      <c r="M287" s="50">
        <v>1.9</v>
      </c>
      <c r="N287" s="61"/>
      <c r="O287" s="50"/>
      <c r="P287" s="52" t="s">
        <v>20</v>
      </c>
    </row>
    <row r="288" spans="1:16" ht="15.75" customHeight="1" outlineLevel="2">
      <c r="A288" s="28">
        <v>4</v>
      </c>
      <c r="B288" s="32">
        <v>45412</v>
      </c>
      <c r="C288" s="36" t="s">
        <v>190</v>
      </c>
      <c r="D288" s="43">
        <v>1</v>
      </c>
      <c r="E288" s="48" t="s">
        <v>26</v>
      </c>
      <c r="F288" s="48" t="s">
        <v>23</v>
      </c>
      <c r="G288" s="49">
        <v>9</v>
      </c>
      <c r="H288" s="10">
        <v>9</v>
      </c>
      <c r="I288" s="52">
        <v>25</v>
      </c>
      <c r="J288" s="10">
        <v>25</v>
      </c>
      <c r="K288" s="55" t="s">
        <v>71</v>
      </c>
      <c r="L288" s="57">
        <v>0.64</v>
      </c>
      <c r="M288" s="50">
        <v>16</v>
      </c>
      <c r="N288" s="61"/>
      <c r="O288" s="50"/>
      <c r="P288" s="52" t="s">
        <v>20</v>
      </c>
    </row>
    <row r="289" spans="1:16" ht="15.75" customHeight="1" outlineLevel="2">
      <c r="A289" s="28">
        <v>4</v>
      </c>
      <c r="B289" s="32">
        <v>45412</v>
      </c>
      <c r="C289" s="36" t="s">
        <v>265</v>
      </c>
      <c r="D289" s="43">
        <v>1</v>
      </c>
      <c r="E289" s="48" t="s">
        <v>266</v>
      </c>
      <c r="F289" s="48" t="s">
        <v>23</v>
      </c>
      <c r="G289" s="49">
        <v>220</v>
      </c>
      <c r="H289" s="10">
        <v>220</v>
      </c>
      <c r="I289" s="52">
        <v>350</v>
      </c>
      <c r="J289" s="10">
        <v>350</v>
      </c>
      <c r="K289" s="55" t="s">
        <v>30</v>
      </c>
      <c r="L289" s="57">
        <v>0.37142857142857144</v>
      </c>
      <c r="M289" s="50">
        <v>130</v>
      </c>
      <c r="N289" s="61"/>
      <c r="O289" s="50"/>
      <c r="P289" s="52" t="s">
        <v>20</v>
      </c>
    </row>
    <row r="290" spans="1:16" ht="15.75" customHeight="1" outlineLevel="2">
      <c r="A290" s="28">
        <v>4</v>
      </c>
      <c r="B290" s="32">
        <v>45412</v>
      </c>
      <c r="C290" s="36" t="s">
        <v>182</v>
      </c>
      <c r="D290" s="43">
        <v>1</v>
      </c>
      <c r="E290" s="48" t="s">
        <v>266</v>
      </c>
      <c r="F290" s="48" t="s">
        <v>23</v>
      </c>
      <c r="G290" s="49">
        <v>6</v>
      </c>
      <c r="H290" s="10">
        <v>6</v>
      </c>
      <c r="I290" s="52">
        <v>10</v>
      </c>
      <c r="J290" s="10">
        <v>10</v>
      </c>
      <c r="K290" s="55" t="s">
        <v>71</v>
      </c>
      <c r="L290" s="57">
        <v>0.4</v>
      </c>
      <c r="M290" s="50">
        <v>4</v>
      </c>
      <c r="N290" s="61"/>
      <c r="O290" s="50"/>
      <c r="P290" s="52" t="s">
        <v>20</v>
      </c>
    </row>
    <row r="291" spans="1:16" ht="15.75" customHeight="1">
      <c r="A291" s="28">
        <v>4</v>
      </c>
      <c r="B291" s="32">
        <v>45412</v>
      </c>
      <c r="C291" s="39" t="s">
        <v>130</v>
      </c>
      <c r="D291" s="43">
        <v>3</v>
      </c>
      <c r="E291" s="48" t="s">
        <v>26</v>
      </c>
      <c r="F291" s="48" t="s">
        <v>23</v>
      </c>
      <c r="G291" s="49">
        <v>0.05</v>
      </c>
      <c r="H291" s="10">
        <v>0.15000000000000002</v>
      </c>
      <c r="I291" s="52">
        <v>1</v>
      </c>
      <c r="J291" s="10">
        <v>3</v>
      </c>
      <c r="K291" s="55" t="s">
        <v>71</v>
      </c>
      <c r="L291" s="57">
        <v>0.95000000000000007</v>
      </c>
      <c r="M291" s="50">
        <v>2.85</v>
      </c>
      <c r="N291" s="64"/>
      <c r="O291" s="50"/>
      <c r="P291" s="52" t="s">
        <v>20</v>
      </c>
    </row>
    <row r="292" spans="1:16" ht="15.75" customHeight="1" outlineLevel="1">
      <c r="A292" s="28">
        <v>5</v>
      </c>
      <c r="B292" s="32">
        <v>45414</v>
      </c>
      <c r="C292" s="36" t="s">
        <v>267</v>
      </c>
      <c r="D292" s="43">
        <v>1</v>
      </c>
      <c r="E292" s="48" t="s">
        <v>268</v>
      </c>
      <c r="F292" s="48" t="s">
        <v>23</v>
      </c>
      <c r="G292" s="49">
        <v>1</v>
      </c>
      <c r="H292" s="10">
        <v>1</v>
      </c>
      <c r="I292" s="52">
        <v>5</v>
      </c>
      <c r="J292" s="10">
        <v>5</v>
      </c>
      <c r="K292" s="55" t="s">
        <v>71</v>
      </c>
      <c r="L292" s="57">
        <v>0.8</v>
      </c>
      <c r="M292" s="50">
        <v>4</v>
      </c>
      <c r="N292" s="61"/>
      <c r="O292" s="50"/>
      <c r="P292" s="52" t="s">
        <v>20</v>
      </c>
    </row>
    <row r="293" spans="1:16" ht="15.75" customHeight="1" outlineLevel="1">
      <c r="A293" s="28">
        <v>5</v>
      </c>
      <c r="B293" s="32">
        <v>45414</v>
      </c>
      <c r="C293" s="36" t="s">
        <v>269</v>
      </c>
      <c r="D293" s="43">
        <v>1</v>
      </c>
      <c r="E293" s="48" t="s">
        <v>256</v>
      </c>
      <c r="F293" s="48" t="s">
        <v>23</v>
      </c>
      <c r="G293" s="49">
        <v>18</v>
      </c>
      <c r="H293" s="10">
        <v>18</v>
      </c>
      <c r="I293" s="52">
        <v>35</v>
      </c>
      <c r="J293" s="10">
        <v>35</v>
      </c>
      <c r="K293" s="55" t="s">
        <v>71</v>
      </c>
      <c r="L293" s="57">
        <v>0.48571428571428571</v>
      </c>
      <c r="M293" s="50">
        <v>17</v>
      </c>
      <c r="N293" s="61"/>
      <c r="O293" s="50"/>
      <c r="P293" s="52" t="s">
        <v>20</v>
      </c>
    </row>
    <row r="294" spans="1:16" ht="15.75" customHeight="1" outlineLevel="1">
      <c r="A294" s="28">
        <v>5</v>
      </c>
      <c r="B294" s="32">
        <v>45415</v>
      </c>
      <c r="C294" s="36" t="s">
        <v>270</v>
      </c>
      <c r="D294" s="43">
        <v>1</v>
      </c>
      <c r="E294" s="48" t="s">
        <v>239</v>
      </c>
      <c r="F294" s="48" t="s">
        <v>23</v>
      </c>
      <c r="G294" s="49">
        <v>4.5</v>
      </c>
      <c r="H294" s="10">
        <v>4.5</v>
      </c>
      <c r="I294" s="52">
        <v>5</v>
      </c>
      <c r="J294" s="10">
        <v>5</v>
      </c>
      <c r="K294" s="55" t="s">
        <v>71</v>
      </c>
      <c r="L294" s="57">
        <v>0.1</v>
      </c>
      <c r="M294" s="50">
        <v>0.5</v>
      </c>
      <c r="N294" s="61"/>
      <c r="O294" s="50"/>
      <c r="P294" s="52" t="s">
        <v>20</v>
      </c>
    </row>
    <row r="295" spans="1:16" ht="15.75" customHeight="1" outlineLevel="1">
      <c r="A295" s="28">
        <v>5</v>
      </c>
      <c r="B295" s="32">
        <v>45415</v>
      </c>
      <c r="C295" s="36" t="s">
        <v>271</v>
      </c>
      <c r="D295" s="43">
        <v>1</v>
      </c>
      <c r="E295" s="48" t="s">
        <v>239</v>
      </c>
      <c r="F295" s="48" t="s">
        <v>23</v>
      </c>
      <c r="G295" s="49">
        <v>20</v>
      </c>
      <c r="H295" s="10">
        <v>20</v>
      </c>
      <c r="I295" s="52">
        <v>100</v>
      </c>
      <c r="J295" s="10">
        <v>100</v>
      </c>
      <c r="K295" s="55" t="s">
        <v>71</v>
      </c>
      <c r="L295" s="57">
        <v>0.8</v>
      </c>
      <c r="M295" s="50">
        <v>80</v>
      </c>
      <c r="N295" s="61"/>
      <c r="O295" s="50"/>
      <c r="P295" s="52" t="s">
        <v>20</v>
      </c>
    </row>
    <row r="296" spans="1:16" ht="15.75" customHeight="1" outlineLevel="1">
      <c r="A296" s="28">
        <v>5</v>
      </c>
      <c r="B296" s="32">
        <v>45415</v>
      </c>
      <c r="C296" s="36" t="s">
        <v>146</v>
      </c>
      <c r="D296" s="43">
        <v>3</v>
      </c>
      <c r="E296" s="48" t="s">
        <v>147</v>
      </c>
      <c r="F296" s="48" t="s">
        <v>23</v>
      </c>
      <c r="G296" s="49">
        <v>7.0000000000000007E-2</v>
      </c>
      <c r="H296" s="10">
        <v>0.21000000000000002</v>
      </c>
      <c r="I296" s="52">
        <v>1</v>
      </c>
      <c r="J296" s="10">
        <v>3</v>
      </c>
      <c r="K296" s="55" t="s">
        <v>71</v>
      </c>
      <c r="L296" s="57">
        <v>0.93</v>
      </c>
      <c r="M296" s="50">
        <v>2.79</v>
      </c>
      <c r="N296" s="61"/>
      <c r="O296" s="50"/>
      <c r="P296" s="52" t="s">
        <v>20</v>
      </c>
    </row>
    <row r="297" spans="1:16" ht="15.75" customHeight="1" outlineLevel="1">
      <c r="A297" s="28">
        <v>5</v>
      </c>
      <c r="B297" s="32">
        <v>45415</v>
      </c>
      <c r="C297" s="36" t="s">
        <v>209</v>
      </c>
      <c r="D297" s="43">
        <v>1</v>
      </c>
      <c r="E297" s="48" t="s">
        <v>26</v>
      </c>
      <c r="F297" s="48" t="s">
        <v>18</v>
      </c>
      <c r="G297" s="49" t="s">
        <v>79</v>
      </c>
      <c r="H297" s="10">
        <v>0</v>
      </c>
      <c r="I297" s="52">
        <v>40</v>
      </c>
      <c r="J297" s="10">
        <v>40</v>
      </c>
      <c r="K297" s="55" t="s">
        <v>71</v>
      </c>
      <c r="L297" s="57">
        <v>1</v>
      </c>
      <c r="M297" s="50">
        <v>40</v>
      </c>
      <c r="N297" s="61"/>
      <c r="O297" s="50"/>
      <c r="P297" s="52" t="s">
        <v>20</v>
      </c>
    </row>
    <row r="298" spans="1:16" ht="15.75" customHeight="1" outlineLevel="1">
      <c r="A298" s="28">
        <v>5</v>
      </c>
      <c r="B298" s="32">
        <v>45416</v>
      </c>
      <c r="C298" s="36" t="s">
        <v>272</v>
      </c>
      <c r="D298" s="43">
        <v>1</v>
      </c>
      <c r="E298" s="48" t="s">
        <v>52</v>
      </c>
      <c r="F298" s="48" t="s">
        <v>23</v>
      </c>
      <c r="G298" s="49">
        <v>75</v>
      </c>
      <c r="H298" s="10">
        <v>75</v>
      </c>
      <c r="I298" s="52">
        <v>100</v>
      </c>
      <c r="J298" s="10">
        <v>100</v>
      </c>
      <c r="K298" s="55" t="s">
        <v>71</v>
      </c>
      <c r="L298" s="57">
        <v>0.25</v>
      </c>
      <c r="M298" s="50">
        <v>25</v>
      </c>
      <c r="N298" s="61"/>
      <c r="O298" s="50"/>
      <c r="P298" s="52" t="s">
        <v>20</v>
      </c>
    </row>
    <row r="299" spans="1:16" ht="15.75" customHeight="1" outlineLevel="1">
      <c r="A299" s="28">
        <v>5</v>
      </c>
      <c r="B299" s="32">
        <v>45416</v>
      </c>
      <c r="C299" s="36" t="s">
        <v>269</v>
      </c>
      <c r="D299" s="43">
        <v>1</v>
      </c>
      <c r="E299" s="48" t="s">
        <v>273</v>
      </c>
      <c r="F299" s="48" t="s">
        <v>23</v>
      </c>
      <c r="G299" s="49">
        <v>18</v>
      </c>
      <c r="H299" s="10">
        <v>18</v>
      </c>
      <c r="I299" s="52">
        <v>40</v>
      </c>
      <c r="J299" s="10">
        <v>40</v>
      </c>
      <c r="K299" s="55" t="s">
        <v>71</v>
      </c>
      <c r="L299" s="57">
        <v>0.55000000000000004</v>
      </c>
      <c r="M299" s="50">
        <v>22</v>
      </c>
      <c r="N299" s="61"/>
      <c r="O299" s="50"/>
      <c r="P299" s="52" t="s">
        <v>20</v>
      </c>
    </row>
    <row r="300" spans="1:16" ht="15.75" customHeight="1" outlineLevel="1">
      <c r="A300" s="28">
        <v>5</v>
      </c>
      <c r="B300" s="32">
        <v>45416</v>
      </c>
      <c r="C300" s="36" t="s">
        <v>274</v>
      </c>
      <c r="D300" s="43">
        <v>1</v>
      </c>
      <c r="E300" s="48" t="s">
        <v>26</v>
      </c>
      <c r="F300" s="48" t="s">
        <v>23</v>
      </c>
      <c r="G300" s="49">
        <v>0</v>
      </c>
      <c r="H300" s="10">
        <v>0</v>
      </c>
      <c r="I300" s="52">
        <v>5</v>
      </c>
      <c r="J300" s="10">
        <v>5</v>
      </c>
      <c r="K300" s="55" t="s">
        <v>71</v>
      </c>
      <c r="L300" s="57">
        <v>1</v>
      </c>
      <c r="M300" s="50">
        <v>5</v>
      </c>
      <c r="N300" s="61"/>
      <c r="O300" s="50"/>
      <c r="P300" s="52" t="s">
        <v>20</v>
      </c>
    </row>
    <row r="301" spans="1:16" ht="15.75" customHeight="1" outlineLevel="1">
      <c r="A301" s="28">
        <v>5</v>
      </c>
      <c r="B301" s="32">
        <v>45416</v>
      </c>
      <c r="C301" s="36" t="s">
        <v>146</v>
      </c>
      <c r="D301" s="43">
        <v>5</v>
      </c>
      <c r="E301" s="48" t="s">
        <v>26</v>
      </c>
      <c r="F301" s="48" t="s">
        <v>23</v>
      </c>
      <c r="G301" s="49">
        <v>7.0000000000000007E-2</v>
      </c>
      <c r="H301" s="10">
        <v>0.35000000000000003</v>
      </c>
      <c r="I301" s="52">
        <v>1</v>
      </c>
      <c r="J301" s="10">
        <v>5</v>
      </c>
      <c r="K301" s="55" t="s">
        <v>71</v>
      </c>
      <c r="L301" s="57">
        <v>0.93</v>
      </c>
      <c r="M301" s="50">
        <v>4.6500000000000004</v>
      </c>
      <c r="N301" s="61"/>
      <c r="O301" s="50"/>
      <c r="P301" s="52" t="s">
        <v>20</v>
      </c>
    </row>
    <row r="302" spans="1:16" ht="15.75" customHeight="1" outlineLevel="1">
      <c r="A302" s="28">
        <v>5</v>
      </c>
      <c r="B302" s="32">
        <v>45416</v>
      </c>
      <c r="C302" s="36" t="s">
        <v>166</v>
      </c>
      <c r="D302" s="43">
        <v>1</v>
      </c>
      <c r="E302" s="48" t="s">
        <v>147</v>
      </c>
      <c r="F302" s="48" t="s">
        <v>23</v>
      </c>
      <c r="G302" s="49">
        <v>19</v>
      </c>
      <c r="H302" s="10">
        <v>19</v>
      </c>
      <c r="I302" s="52">
        <v>35</v>
      </c>
      <c r="J302" s="10">
        <v>35</v>
      </c>
      <c r="K302" s="55" t="s">
        <v>71</v>
      </c>
      <c r="L302" s="57">
        <v>0.45714285714285713</v>
      </c>
      <c r="M302" s="50">
        <v>16</v>
      </c>
      <c r="N302" s="61"/>
      <c r="O302" s="50"/>
      <c r="P302" s="52" t="s">
        <v>20</v>
      </c>
    </row>
    <row r="303" spans="1:16" ht="15.75" customHeight="1" outlineLevel="1">
      <c r="A303" s="28">
        <v>5</v>
      </c>
      <c r="B303" s="32">
        <v>45418</v>
      </c>
      <c r="C303" s="36" t="s">
        <v>16</v>
      </c>
      <c r="D303" s="43">
        <v>1</v>
      </c>
      <c r="E303" s="48" t="s">
        <v>247</v>
      </c>
      <c r="F303" s="48" t="s">
        <v>23</v>
      </c>
      <c r="G303" s="49">
        <v>7</v>
      </c>
      <c r="H303" s="10">
        <v>7</v>
      </c>
      <c r="I303" s="52">
        <v>15</v>
      </c>
      <c r="J303" s="10">
        <v>15</v>
      </c>
      <c r="K303" s="55" t="s">
        <v>71</v>
      </c>
      <c r="L303" s="57">
        <v>0.53333333333333333</v>
      </c>
      <c r="M303" s="50">
        <v>8</v>
      </c>
      <c r="N303" s="61"/>
      <c r="O303" s="50"/>
      <c r="P303" s="52" t="s">
        <v>20</v>
      </c>
    </row>
    <row r="304" spans="1:16" ht="15.75" customHeight="1" outlineLevel="1">
      <c r="A304" s="28">
        <v>5</v>
      </c>
      <c r="B304" s="32">
        <v>45419</v>
      </c>
      <c r="C304" s="36" t="s">
        <v>167</v>
      </c>
      <c r="D304" s="43">
        <v>1</v>
      </c>
      <c r="E304" s="48" t="s">
        <v>275</v>
      </c>
      <c r="F304" s="48" t="s">
        <v>23</v>
      </c>
      <c r="G304" s="49">
        <v>21.99</v>
      </c>
      <c r="H304" s="10">
        <v>21.99</v>
      </c>
      <c r="I304" s="52">
        <v>50</v>
      </c>
      <c r="J304" s="10">
        <v>50</v>
      </c>
      <c r="K304" s="55" t="s">
        <v>71</v>
      </c>
      <c r="L304" s="57">
        <v>0.56020000000000003</v>
      </c>
      <c r="M304" s="50">
        <v>28.01</v>
      </c>
      <c r="N304" s="61"/>
      <c r="O304" s="50"/>
      <c r="P304" s="52" t="s">
        <v>20</v>
      </c>
    </row>
    <row r="305" spans="1:16" ht="15.75" customHeight="1" outlineLevel="1">
      <c r="A305" s="28">
        <v>5</v>
      </c>
      <c r="B305" s="32">
        <v>45419</v>
      </c>
      <c r="C305" s="36" t="s">
        <v>276</v>
      </c>
      <c r="D305" s="43">
        <v>2</v>
      </c>
      <c r="E305" s="48" t="s">
        <v>277</v>
      </c>
      <c r="F305" s="48" t="s">
        <v>23</v>
      </c>
      <c r="G305" s="49">
        <v>16</v>
      </c>
      <c r="H305" s="10">
        <v>32</v>
      </c>
      <c r="I305" s="52">
        <v>35</v>
      </c>
      <c r="J305" s="10">
        <v>70</v>
      </c>
      <c r="K305" s="55" t="s">
        <v>71</v>
      </c>
      <c r="L305" s="57">
        <v>0.54285714285714282</v>
      </c>
      <c r="M305" s="50">
        <v>38</v>
      </c>
      <c r="N305" s="61"/>
      <c r="O305" s="50"/>
      <c r="P305" s="52" t="s">
        <v>20</v>
      </c>
    </row>
    <row r="306" spans="1:16" ht="15.75" customHeight="1" outlineLevel="1">
      <c r="A306" s="28">
        <v>5</v>
      </c>
      <c r="B306" s="32">
        <v>45420</v>
      </c>
      <c r="C306" s="36" t="s">
        <v>278</v>
      </c>
      <c r="D306" s="43">
        <v>1</v>
      </c>
      <c r="E306" s="48" t="s">
        <v>125</v>
      </c>
      <c r="F306" s="48" t="s">
        <v>23</v>
      </c>
      <c r="G306" s="49">
        <v>15</v>
      </c>
      <c r="H306" s="10">
        <v>15</v>
      </c>
      <c r="I306" s="52">
        <v>30</v>
      </c>
      <c r="J306" s="10">
        <v>30</v>
      </c>
      <c r="K306" s="55" t="s">
        <v>71</v>
      </c>
      <c r="L306" s="57">
        <v>0.5</v>
      </c>
      <c r="M306" s="50">
        <v>15</v>
      </c>
      <c r="N306" s="61"/>
      <c r="O306" s="50"/>
      <c r="P306" s="52" t="s">
        <v>20</v>
      </c>
    </row>
    <row r="307" spans="1:16" ht="15.75" customHeight="1" outlineLevel="1">
      <c r="A307" s="28">
        <v>5</v>
      </c>
      <c r="B307" s="32">
        <v>45420</v>
      </c>
      <c r="C307" s="36" t="s">
        <v>279</v>
      </c>
      <c r="D307" s="43">
        <v>1</v>
      </c>
      <c r="E307" s="48" t="s">
        <v>280</v>
      </c>
      <c r="F307" s="48" t="s">
        <v>281</v>
      </c>
      <c r="G307" s="49">
        <v>0</v>
      </c>
      <c r="H307" s="10">
        <v>0</v>
      </c>
      <c r="I307" s="52">
        <v>65</v>
      </c>
      <c r="J307" s="10">
        <v>65</v>
      </c>
      <c r="K307" s="55" t="s">
        <v>71</v>
      </c>
      <c r="L307" s="57">
        <v>1</v>
      </c>
      <c r="M307" s="50">
        <v>65</v>
      </c>
      <c r="N307" s="61"/>
      <c r="O307" s="50"/>
      <c r="P307" s="52" t="s">
        <v>20</v>
      </c>
    </row>
    <row r="308" spans="1:16" ht="15.75" customHeight="1" outlineLevel="1">
      <c r="A308" s="28">
        <v>5</v>
      </c>
      <c r="B308" s="32">
        <v>45421</v>
      </c>
      <c r="C308" s="36" t="s">
        <v>146</v>
      </c>
      <c r="D308" s="43">
        <v>1</v>
      </c>
      <c r="E308" s="48" t="s">
        <v>26</v>
      </c>
      <c r="F308" s="48" t="s">
        <v>23</v>
      </c>
      <c r="G308" s="49">
        <v>7.0000000000000007E-2</v>
      </c>
      <c r="H308" s="10">
        <v>7.0000000000000007E-2</v>
      </c>
      <c r="I308" s="52">
        <v>1</v>
      </c>
      <c r="J308" s="10">
        <v>1</v>
      </c>
      <c r="K308" s="55" t="s">
        <v>71</v>
      </c>
      <c r="L308" s="57">
        <v>0.92999999999999994</v>
      </c>
      <c r="M308" s="50">
        <v>0.92999999999999994</v>
      </c>
      <c r="N308" s="61"/>
      <c r="O308" s="50"/>
      <c r="P308" s="52" t="s">
        <v>20</v>
      </c>
    </row>
    <row r="309" spans="1:16" ht="15.75" customHeight="1" outlineLevel="1">
      <c r="A309" s="28">
        <v>5</v>
      </c>
      <c r="B309" s="32">
        <v>45421</v>
      </c>
      <c r="C309" s="36" t="s">
        <v>97</v>
      </c>
      <c r="D309" s="43">
        <v>1</v>
      </c>
      <c r="E309" s="48" t="s">
        <v>26</v>
      </c>
      <c r="F309" s="48" t="s">
        <v>281</v>
      </c>
      <c r="G309" s="49">
        <v>3</v>
      </c>
      <c r="H309" s="10">
        <v>3</v>
      </c>
      <c r="I309" s="52">
        <v>15</v>
      </c>
      <c r="J309" s="10">
        <v>15</v>
      </c>
      <c r="K309" s="55" t="s">
        <v>71</v>
      </c>
      <c r="L309" s="57">
        <v>0.8</v>
      </c>
      <c r="M309" s="50">
        <v>12</v>
      </c>
      <c r="N309" s="61"/>
      <c r="O309" s="50"/>
      <c r="P309" s="52" t="s">
        <v>20</v>
      </c>
    </row>
    <row r="310" spans="1:16" ht="15.75" customHeight="1" outlineLevel="1">
      <c r="A310" s="28">
        <v>5</v>
      </c>
      <c r="B310" s="32">
        <v>45421</v>
      </c>
      <c r="C310" s="36" t="s">
        <v>282</v>
      </c>
      <c r="D310" s="43">
        <v>1</v>
      </c>
      <c r="E310" s="48" t="s">
        <v>26</v>
      </c>
      <c r="F310" s="48" t="s">
        <v>281</v>
      </c>
      <c r="G310" s="49">
        <v>9</v>
      </c>
      <c r="H310" s="10">
        <v>9</v>
      </c>
      <c r="I310" s="52">
        <v>20</v>
      </c>
      <c r="J310" s="10">
        <v>20</v>
      </c>
      <c r="K310" s="55" t="s">
        <v>71</v>
      </c>
      <c r="L310" s="57">
        <v>0.55000000000000004</v>
      </c>
      <c r="M310" s="50">
        <v>11</v>
      </c>
      <c r="N310" s="61"/>
      <c r="O310" s="50"/>
      <c r="P310" s="52" t="s">
        <v>20</v>
      </c>
    </row>
    <row r="311" spans="1:16" ht="15.75" customHeight="1" outlineLevel="1">
      <c r="A311" s="28">
        <v>5</v>
      </c>
      <c r="B311" s="32">
        <v>45423</v>
      </c>
      <c r="C311" s="36" t="s">
        <v>146</v>
      </c>
      <c r="D311" s="43">
        <v>4</v>
      </c>
      <c r="E311" s="48" t="s">
        <v>26</v>
      </c>
      <c r="F311" s="48" t="s">
        <v>23</v>
      </c>
      <c r="G311" s="49">
        <v>7.0000000000000007E-2</v>
      </c>
      <c r="H311" s="10">
        <v>0.28000000000000003</v>
      </c>
      <c r="I311" s="52">
        <v>1</v>
      </c>
      <c r="J311" s="10">
        <v>4</v>
      </c>
      <c r="K311" s="55" t="s">
        <v>71</v>
      </c>
      <c r="L311" s="57">
        <v>0.92999999999999994</v>
      </c>
      <c r="M311" s="50">
        <v>3.7199999999999998</v>
      </c>
      <c r="N311" s="61"/>
      <c r="O311" s="50"/>
      <c r="P311" s="52" t="s">
        <v>20</v>
      </c>
    </row>
    <row r="312" spans="1:16" ht="15.75" customHeight="1" outlineLevel="1">
      <c r="A312" s="28">
        <v>5</v>
      </c>
      <c r="B312" s="32">
        <v>45423</v>
      </c>
      <c r="C312" s="36" t="s">
        <v>283</v>
      </c>
      <c r="D312" s="43">
        <v>1</v>
      </c>
      <c r="E312" s="48" t="s">
        <v>284</v>
      </c>
      <c r="F312" s="48" t="s">
        <v>23</v>
      </c>
      <c r="G312" s="49">
        <v>18</v>
      </c>
      <c r="H312" s="10">
        <v>18</v>
      </c>
      <c r="I312" s="52">
        <v>25</v>
      </c>
      <c r="J312" s="10">
        <v>25</v>
      </c>
      <c r="K312" s="55" t="s">
        <v>71</v>
      </c>
      <c r="L312" s="57">
        <v>0.28000000000000003</v>
      </c>
      <c r="M312" s="50">
        <v>7</v>
      </c>
      <c r="N312" s="61"/>
      <c r="O312" s="50"/>
      <c r="P312" s="52" t="s">
        <v>20</v>
      </c>
    </row>
    <row r="313" spans="1:16" ht="15.75" customHeight="1" outlineLevel="1">
      <c r="A313" s="28">
        <v>5</v>
      </c>
      <c r="B313" s="32">
        <v>45423</v>
      </c>
      <c r="C313" s="36" t="s">
        <v>285</v>
      </c>
      <c r="D313" s="43">
        <v>1</v>
      </c>
      <c r="E313" s="48" t="s">
        <v>280</v>
      </c>
      <c r="F313" s="48" t="s">
        <v>18</v>
      </c>
      <c r="G313" s="49">
        <v>15</v>
      </c>
      <c r="H313" s="10">
        <v>15</v>
      </c>
      <c r="I313" s="52">
        <v>50</v>
      </c>
      <c r="J313" s="10">
        <v>50</v>
      </c>
      <c r="K313" s="55" t="s">
        <v>71</v>
      </c>
      <c r="L313" s="57">
        <v>0.7</v>
      </c>
      <c r="M313" s="50">
        <v>35</v>
      </c>
      <c r="N313" s="61"/>
      <c r="O313" s="50"/>
      <c r="P313" s="52" t="s">
        <v>20</v>
      </c>
    </row>
    <row r="314" spans="1:16" ht="15.75" customHeight="1" outlineLevel="1">
      <c r="A314" s="28">
        <v>5</v>
      </c>
      <c r="B314" s="32">
        <v>45425</v>
      </c>
      <c r="C314" s="36" t="s">
        <v>228</v>
      </c>
      <c r="D314" s="43">
        <v>1</v>
      </c>
      <c r="E314" s="48" t="s">
        <v>26</v>
      </c>
      <c r="F314" s="48" t="s">
        <v>23</v>
      </c>
      <c r="G314" s="49">
        <v>8</v>
      </c>
      <c r="H314" s="10">
        <v>8</v>
      </c>
      <c r="I314" s="52">
        <v>20</v>
      </c>
      <c r="J314" s="10">
        <v>20</v>
      </c>
      <c r="K314" s="55" t="s">
        <v>71</v>
      </c>
      <c r="L314" s="57">
        <v>0.6</v>
      </c>
      <c r="M314" s="50">
        <v>12</v>
      </c>
      <c r="N314" s="61"/>
      <c r="O314" s="50"/>
      <c r="P314" s="52" t="s">
        <v>20</v>
      </c>
    </row>
    <row r="315" spans="1:16" ht="15.75" customHeight="1" outlineLevel="1">
      <c r="A315" s="28">
        <v>5</v>
      </c>
      <c r="B315" s="32">
        <v>45425</v>
      </c>
      <c r="C315" s="36" t="s">
        <v>286</v>
      </c>
      <c r="D315" s="43">
        <v>1</v>
      </c>
      <c r="E315" s="48" t="s">
        <v>26</v>
      </c>
      <c r="F315" s="48" t="s">
        <v>23</v>
      </c>
      <c r="G315" s="49" t="s">
        <v>79</v>
      </c>
      <c r="H315" s="10">
        <v>0</v>
      </c>
      <c r="I315" s="52">
        <v>5</v>
      </c>
      <c r="J315" s="10">
        <v>5</v>
      </c>
      <c r="K315" s="55" t="s">
        <v>71</v>
      </c>
      <c r="L315" s="57">
        <v>1</v>
      </c>
      <c r="M315" s="50">
        <v>5</v>
      </c>
      <c r="N315" s="61"/>
      <c r="O315" s="50"/>
      <c r="P315" s="52" t="s">
        <v>20</v>
      </c>
    </row>
    <row r="316" spans="1:16" ht="15.75" customHeight="1" outlineLevel="1">
      <c r="A316" s="28">
        <v>5</v>
      </c>
      <c r="B316" s="32">
        <v>45426</v>
      </c>
      <c r="C316" s="36" t="s">
        <v>227</v>
      </c>
      <c r="D316" s="43">
        <v>1</v>
      </c>
      <c r="E316" s="48" t="s">
        <v>58</v>
      </c>
      <c r="F316" s="48" t="s">
        <v>23</v>
      </c>
      <c r="G316" s="49">
        <v>50</v>
      </c>
      <c r="H316" s="10">
        <v>50</v>
      </c>
      <c r="I316" s="52">
        <v>70</v>
      </c>
      <c r="J316" s="10">
        <v>70</v>
      </c>
      <c r="K316" s="55" t="s">
        <v>71</v>
      </c>
      <c r="L316" s="57">
        <v>0.2857142857142857</v>
      </c>
      <c r="M316" s="50">
        <v>20</v>
      </c>
      <c r="N316" s="61"/>
      <c r="O316" s="50"/>
      <c r="P316" s="52" t="s">
        <v>20</v>
      </c>
    </row>
    <row r="317" spans="1:16" ht="15.75" customHeight="1" outlineLevel="1">
      <c r="A317" s="28">
        <v>5</v>
      </c>
      <c r="B317" s="32">
        <v>45426</v>
      </c>
      <c r="C317" s="36" t="s">
        <v>243</v>
      </c>
      <c r="D317" s="43">
        <v>1</v>
      </c>
      <c r="E317" s="48" t="s">
        <v>26</v>
      </c>
      <c r="F317" s="48" t="s">
        <v>23</v>
      </c>
      <c r="G317" s="49">
        <v>1</v>
      </c>
      <c r="H317" s="10">
        <v>1</v>
      </c>
      <c r="I317" s="52">
        <v>10</v>
      </c>
      <c r="J317" s="10">
        <v>10</v>
      </c>
      <c r="K317" s="55" t="s">
        <v>30</v>
      </c>
      <c r="L317" s="57">
        <v>0.9</v>
      </c>
      <c r="M317" s="50">
        <v>9</v>
      </c>
      <c r="N317" s="61"/>
      <c r="O317" s="50"/>
      <c r="P317" s="52" t="s">
        <v>20</v>
      </c>
    </row>
    <row r="318" spans="1:16" ht="15.75" customHeight="1" outlineLevel="1">
      <c r="A318" s="28">
        <v>5</v>
      </c>
      <c r="B318" s="32">
        <v>45426</v>
      </c>
      <c r="C318" s="36" t="s">
        <v>146</v>
      </c>
      <c r="D318" s="43">
        <v>1</v>
      </c>
      <c r="E318" s="48" t="s">
        <v>26</v>
      </c>
      <c r="F318" s="48" t="s">
        <v>23</v>
      </c>
      <c r="G318" s="49">
        <v>7.0000000000000007E-2</v>
      </c>
      <c r="H318" s="10">
        <v>7.0000000000000007E-2</v>
      </c>
      <c r="I318" s="52">
        <v>1</v>
      </c>
      <c r="J318" s="10">
        <v>1</v>
      </c>
      <c r="K318" s="55" t="s">
        <v>71</v>
      </c>
      <c r="L318" s="57">
        <v>0.92999999999999994</v>
      </c>
      <c r="M318" s="50">
        <v>0.92999999999999994</v>
      </c>
      <c r="N318" s="61"/>
      <c r="O318" s="50"/>
      <c r="P318" s="52" t="s">
        <v>20</v>
      </c>
    </row>
    <row r="319" spans="1:16" ht="15.75" customHeight="1" outlineLevel="1">
      <c r="A319" s="28">
        <v>5</v>
      </c>
      <c r="B319" s="32">
        <v>45426</v>
      </c>
      <c r="C319" s="36" t="s">
        <v>209</v>
      </c>
      <c r="D319" s="43">
        <v>1</v>
      </c>
      <c r="E319" s="48" t="s">
        <v>26</v>
      </c>
      <c r="F319" s="48" t="s">
        <v>23</v>
      </c>
      <c r="G319" s="49" t="s">
        <v>79</v>
      </c>
      <c r="H319" s="10">
        <v>0</v>
      </c>
      <c r="I319" s="52">
        <v>50</v>
      </c>
      <c r="J319" s="10">
        <v>50</v>
      </c>
      <c r="K319" s="55" t="s">
        <v>30</v>
      </c>
      <c r="L319" s="57">
        <v>1</v>
      </c>
      <c r="M319" s="50">
        <v>50</v>
      </c>
      <c r="N319" s="61"/>
      <c r="O319" s="50"/>
      <c r="P319" s="52" t="s">
        <v>20</v>
      </c>
    </row>
    <row r="320" spans="1:16" ht="15.75" customHeight="1" outlineLevel="1">
      <c r="A320" s="28">
        <v>5</v>
      </c>
      <c r="B320" s="32">
        <v>45427</v>
      </c>
      <c r="C320" s="36" t="s">
        <v>146</v>
      </c>
      <c r="D320" s="43">
        <v>5</v>
      </c>
      <c r="E320" s="48" t="s">
        <v>26</v>
      </c>
      <c r="F320" s="48" t="s">
        <v>23</v>
      </c>
      <c r="G320" s="49">
        <v>7.0000000000000007E-2</v>
      </c>
      <c r="H320" s="10">
        <v>0.35000000000000003</v>
      </c>
      <c r="I320" s="52">
        <v>1</v>
      </c>
      <c r="J320" s="10">
        <v>5</v>
      </c>
      <c r="K320" s="55" t="s">
        <v>71</v>
      </c>
      <c r="L320" s="57">
        <v>0.93</v>
      </c>
      <c r="M320" s="50">
        <v>4.6500000000000004</v>
      </c>
      <c r="N320" s="61"/>
      <c r="O320" s="50"/>
      <c r="P320" s="52" t="s">
        <v>20</v>
      </c>
    </row>
    <row r="321" spans="1:16" ht="15.75" customHeight="1" outlineLevel="1">
      <c r="A321" s="28">
        <v>5</v>
      </c>
      <c r="B321" s="32">
        <v>45428</v>
      </c>
      <c r="C321" s="36" t="s">
        <v>287</v>
      </c>
      <c r="D321" s="43">
        <v>2</v>
      </c>
      <c r="E321" s="48" t="s">
        <v>22</v>
      </c>
      <c r="F321" s="48" t="s">
        <v>23</v>
      </c>
      <c r="G321" s="49">
        <v>2.5</v>
      </c>
      <c r="H321" s="10">
        <v>5</v>
      </c>
      <c r="I321" s="52">
        <v>6.36</v>
      </c>
      <c r="J321" s="10">
        <v>12.72</v>
      </c>
      <c r="K321" s="55" t="s">
        <v>30</v>
      </c>
      <c r="L321" s="57">
        <v>0.60691823899371067</v>
      </c>
      <c r="M321" s="50">
        <v>7.7200000000000006</v>
      </c>
      <c r="N321" s="61"/>
      <c r="O321" s="50"/>
      <c r="P321" s="52" t="s">
        <v>20</v>
      </c>
    </row>
    <row r="322" spans="1:16" ht="15.75" customHeight="1" outlineLevel="1">
      <c r="A322" s="28">
        <v>5</v>
      </c>
      <c r="B322" s="32">
        <v>45428</v>
      </c>
      <c r="C322" s="36" t="s">
        <v>32</v>
      </c>
      <c r="D322" s="43">
        <v>5</v>
      </c>
      <c r="E322" s="48" t="s">
        <v>22</v>
      </c>
      <c r="F322" s="48" t="s">
        <v>23</v>
      </c>
      <c r="G322" s="49">
        <v>7.5</v>
      </c>
      <c r="H322" s="10">
        <v>37.5</v>
      </c>
      <c r="I322" s="52">
        <v>11.97</v>
      </c>
      <c r="J322" s="10">
        <v>59.85</v>
      </c>
      <c r="K322" s="55" t="s">
        <v>30</v>
      </c>
      <c r="L322" s="57">
        <v>0.37343358395989978</v>
      </c>
      <c r="M322" s="50">
        <v>22.35</v>
      </c>
      <c r="N322" s="61"/>
      <c r="O322" s="50"/>
      <c r="P322" s="52" t="s">
        <v>20</v>
      </c>
    </row>
    <row r="323" spans="1:16" ht="15.75" customHeight="1" outlineLevel="1">
      <c r="A323" s="28">
        <v>5</v>
      </c>
      <c r="B323" s="32">
        <v>45428</v>
      </c>
      <c r="C323" s="36" t="s">
        <v>288</v>
      </c>
      <c r="D323" s="43">
        <v>1</v>
      </c>
      <c r="E323" s="48" t="s">
        <v>22</v>
      </c>
      <c r="F323" s="48" t="s">
        <v>23</v>
      </c>
      <c r="G323" s="49">
        <v>4</v>
      </c>
      <c r="H323" s="10">
        <v>4</v>
      </c>
      <c r="I323" s="52">
        <v>5.89</v>
      </c>
      <c r="J323" s="10">
        <v>5.89</v>
      </c>
      <c r="K323" s="55" t="s">
        <v>30</v>
      </c>
      <c r="L323" s="57">
        <v>0.32088285229202035</v>
      </c>
      <c r="M323" s="50">
        <v>1.8899999999999997</v>
      </c>
      <c r="N323" s="61"/>
      <c r="O323" s="50"/>
      <c r="P323" s="52" t="s">
        <v>20</v>
      </c>
    </row>
    <row r="324" spans="1:16" ht="15.75" customHeight="1" outlineLevel="1">
      <c r="A324" s="28">
        <v>5</v>
      </c>
      <c r="B324" s="32">
        <v>45429</v>
      </c>
      <c r="C324" s="36" t="s">
        <v>289</v>
      </c>
      <c r="D324" s="43">
        <v>1</v>
      </c>
      <c r="E324" s="48" t="s">
        <v>26</v>
      </c>
      <c r="F324" s="48" t="s">
        <v>18</v>
      </c>
      <c r="G324" s="49">
        <v>35</v>
      </c>
      <c r="H324" s="10">
        <v>35</v>
      </c>
      <c r="I324" s="52">
        <v>80</v>
      </c>
      <c r="J324" s="10">
        <v>80</v>
      </c>
      <c r="K324" s="55" t="s">
        <v>71</v>
      </c>
      <c r="L324" s="57">
        <v>0.5625</v>
      </c>
      <c r="M324" s="50">
        <v>45</v>
      </c>
      <c r="N324" s="61"/>
      <c r="O324" s="50"/>
      <c r="P324" s="52" t="s">
        <v>20</v>
      </c>
    </row>
    <row r="325" spans="1:16" ht="15.75" customHeight="1" outlineLevel="1">
      <c r="A325" s="28">
        <v>5</v>
      </c>
      <c r="B325" s="32">
        <v>45429</v>
      </c>
      <c r="C325" s="36" t="s">
        <v>290</v>
      </c>
      <c r="D325" s="43">
        <v>1</v>
      </c>
      <c r="E325" s="48" t="s">
        <v>291</v>
      </c>
      <c r="F325" s="48" t="s">
        <v>23</v>
      </c>
      <c r="G325" s="49">
        <v>11.5</v>
      </c>
      <c r="H325" s="10">
        <v>11.5</v>
      </c>
      <c r="I325" s="52">
        <v>20</v>
      </c>
      <c r="J325" s="10">
        <v>20</v>
      </c>
      <c r="K325" s="55" t="s">
        <v>30</v>
      </c>
      <c r="L325" s="57">
        <v>0.42499999999999999</v>
      </c>
      <c r="M325" s="50">
        <v>8.5</v>
      </c>
      <c r="N325" s="61"/>
      <c r="O325" s="50"/>
      <c r="P325" s="52" t="s">
        <v>20</v>
      </c>
    </row>
    <row r="326" spans="1:16" ht="15.75" customHeight="1" outlineLevel="1">
      <c r="A326" s="28">
        <v>5</v>
      </c>
      <c r="B326" s="32">
        <v>45430</v>
      </c>
      <c r="C326" s="36" t="s">
        <v>97</v>
      </c>
      <c r="D326" s="43">
        <v>1</v>
      </c>
      <c r="E326" s="48" t="s">
        <v>26</v>
      </c>
      <c r="F326" s="48" t="s">
        <v>281</v>
      </c>
      <c r="G326" s="49">
        <v>3</v>
      </c>
      <c r="H326" s="10">
        <v>3</v>
      </c>
      <c r="I326" s="52">
        <v>15</v>
      </c>
      <c r="J326" s="10">
        <v>15</v>
      </c>
      <c r="K326" s="55" t="s">
        <v>71</v>
      </c>
      <c r="L326" s="57">
        <v>0.8</v>
      </c>
      <c r="M326" s="50">
        <v>12</v>
      </c>
      <c r="N326" s="61"/>
      <c r="O326" s="50"/>
      <c r="P326" s="52" t="s">
        <v>20</v>
      </c>
    </row>
    <row r="327" spans="1:16" ht="15.75" customHeight="1" outlineLevel="1">
      <c r="A327" s="28">
        <v>5</v>
      </c>
      <c r="B327" s="32">
        <v>45432</v>
      </c>
      <c r="C327" s="36" t="s">
        <v>292</v>
      </c>
      <c r="D327" s="43">
        <v>1</v>
      </c>
      <c r="E327" s="48" t="s">
        <v>26</v>
      </c>
      <c r="F327" s="48" t="s">
        <v>23</v>
      </c>
      <c r="G327" s="49">
        <v>30</v>
      </c>
      <c r="H327" s="10">
        <v>30</v>
      </c>
      <c r="I327" s="52">
        <v>50</v>
      </c>
      <c r="J327" s="10">
        <v>50</v>
      </c>
      <c r="K327" s="55" t="s">
        <v>71</v>
      </c>
      <c r="L327" s="57">
        <v>0.4</v>
      </c>
      <c r="M327" s="50">
        <v>20</v>
      </c>
      <c r="N327" s="61"/>
      <c r="O327" s="50"/>
      <c r="P327" s="52" t="s">
        <v>20</v>
      </c>
    </row>
    <row r="328" spans="1:16" ht="15.75" customHeight="1" outlineLevel="1">
      <c r="A328" s="28">
        <v>5</v>
      </c>
      <c r="B328" s="32">
        <v>45432</v>
      </c>
      <c r="C328" s="36" t="s">
        <v>225</v>
      </c>
      <c r="D328" s="43">
        <v>1</v>
      </c>
      <c r="E328" s="48" t="s">
        <v>26</v>
      </c>
      <c r="F328" s="48" t="s">
        <v>23</v>
      </c>
      <c r="G328" s="49">
        <v>27.5</v>
      </c>
      <c r="H328" s="10">
        <v>27.5</v>
      </c>
      <c r="I328" s="52">
        <v>40</v>
      </c>
      <c r="J328" s="10">
        <v>40</v>
      </c>
      <c r="K328" s="55" t="s">
        <v>71</v>
      </c>
      <c r="L328" s="57">
        <v>0.3125</v>
      </c>
      <c r="M328" s="50">
        <v>12.5</v>
      </c>
      <c r="N328" s="61"/>
      <c r="O328" s="50"/>
      <c r="P328" s="52" t="s">
        <v>20</v>
      </c>
    </row>
    <row r="329" spans="1:16" ht="15.75" customHeight="1" outlineLevel="1">
      <c r="A329" s="28">
        <v>5</v>
      </c>
      <c r="B329" s="32">
        <v>45432</v>
      </c>
      <c r="C329" s="36" t="s">
        <v>293</v>
      </c>
      <c r="D329" s="43">
        <v>2</v>
      </c>
      <c r="E329" s="48" t="s">
        <v>294</v>
      </c>
      <c r="F329" s="48" t="s">
        <v>23</v>
      </c>
      <c r="G329" s="49">
        <v>4</v>
      </c>
      <c r="H329" s="10">
        <v>8</v>
      </c>
      <c r="I329" s="52">
        <v>15</v>
      </c>
      <c r="J329" s="10">
        <v>30</v>
      </c>
      <c r="K329" s="55" t="s">
        <v>71</v>
      </c>
      <c r="L329" s="57">
        <v>0.73333333333333328</v>
      </c>
      <c r="M329" s="50">
        <v>22</v>
      </c>
      <c r="N329" s="61"/>
      <c r="O329" s="50"/>
      <c r="P329" s="52" t="s">
        <v>20</v>
      </c>
    </row>
    <row r="330" spans="1:16" ht="15.75" customHeight="1" outlineLevel="1">
      <c r="A330" s="28">
        <v>5</v>
      </c>
      <c r="B330" s="32">
        <v>45432</v>
      </c>
      <c r="C330" s="36" t="s">
        <v>243</v>
      </c>
      <c r="D330" s="43">
        <v>2</v>
      </c>
      <c r="E330" s="48" t="s">
        <v>26</v>
      </c>
      <c r="F330" s="48" t="s">
        <v>23</v>
      </c>
      <c r="G330" s="49">
        <v>1</v>
      </c>
      <c r="H330" s="10">
        <v>2</v>
      </c>
      <c r="I330" s="52">
        <v>10</v>
      </c>
      <c r="J330" s="10">
        <v>20</v>
      </c>
      <c r="K330" s="55" t="s">
        <v>71</v>
      </c>
      <c r="L330" s="57">
        <v>0.9</v>
      </c>
      <c r="M330" s="50">
        <v>18</v>
      </c>
      <c r="N330" s="61"/>
      <c r="O330" s="50"/>
      <c r="P330" s="52" t="s">
        <v>20</v>
      </c>
    </row>
    <row r="331" spans="1:16" ht="15.75" customHeight="1" outlineLevel="1">
      <c r="A331" s="28">
        <v>5</v>
      </c>
      <c r="B331" s="32">
        <v>45434</v>
      </c>
      <c r="C331" s="36" t="s">
        <v>295</v>
      </c>
      <c r="D331" s="43">
        <v>1</v>
      </c>
      <c r="E331" s="48" t="s">
        <v>22</v>
      </c>
      <c r="F331" s="48" t="s">
        <v>23</v>
      </c>
      <c r="G331" s="49">
        <v>7.5</v>
      </c>
      <c r="H331" s="10">
        <v>7.5</v>
      </c>
      <c r="I331" s="52">
        <v>15.72</v>
      </c>
      <c r="J331" s="10">
        <v>15.72</v>
      </c>
      <c r="K331" s="55" t="s">
        <v>30</v>
      </c>
      <c r="L331" s="57">
        <v>0.52290076335877866</v>
      </c>
      <c r="M331" s="50">
        <v>8.2200000000000006</v>
      </c>
      <c r="N331" s="61"/>
      <c r="O331" s="50"/>
      <c r="P331" s="52" t="s">
        <v>20</v>
      </c>
    </row>
    <row r="332" spans="1:16" ht="15.75" customHeight="1" outlineLevel="1">
      <c r="A332" s="28">
        <v>5</v>
      </c>
      <c r="B332" s="32">
        <v>45434</v>
      </c>
      <c r="C332" s="36" t="s">
        <v>296</v>
      </c>
      <c r="D332" s="43">
        <v>1</v>
      </c>
      <c r="E332" s="48" t="s">
        <v>22</v>
      </c>
      <c r="F332" s="48" t="s">
        <v>23</v>
      </c>
      <c r="G332" s="49">
        <v>7.5</v>
      </c>
      <c r="H332" s="10">
        <v>7.5</v>
      </c>
      <c r="I332" s="52">
        <v>12.21</v>
      </c>
      <c r="J332" s="10">
        <v>12.21</v>
      </c>
      <c r="K332" s="55" t="s">
        <v>30</v>
      </c>
      <c r="L332" s="57">
        <v>0.38574938574938578</v>
      </c>
      <c r="M332" s="50">
        <v>4.7100000000000009</v>
      </c>
      <c r="N332" s="61"/>
      <c r="O332" s="50"/>
      <c r="P332" s="52" t="s">
        <v>20</v>
      </c>
    </row>
    <row r="333" spans="1:16" ht="15.75" customHeight="1" outlineLevel="1">
      <c r="A333" s="28">
        <v>5</v>
      </c>
      <c r="B333" s="32">
        <v>45435</v>
      </c>
      <c r="C333" s="36" t="s">
        <v>297</v>
      </c>
      <c r="D333" s="43">
        <v>1</v>
      </c>
      <c r="E333" s="48" t="s">
        <v>298</v>
      </c>
      <c r="F333" s="48" t="s">
        <v>18</v>
      </c>
      <c r="G333" s="49">
        <v>38</v>
      </c>
      <c r="H333" s="10">
        <v>38</v>
      </c>
      <c r="I333" s="52">
        <v>80</v>
      </c>
      <c r="J333" s="10">
        <v>80</v>
      </c>
      <c r="K333" s="55" t="s">
        <v>71</v>
      </c>
      <c r="L333" s="57">
        <v>0.52500000000000002</v>
      </c>
      <c r="M333" s="50">
        <v>42</v>
      </c>
      <c r="N333" s="61"/>
      <c r="O333" s="50"/>
      <c r="P333" s="52" t="s">
        <v>20</v>
      </c>
    </row>
    <row r="334" spans="1:16" ht="15.75" customHeight="1" outlineLevel="1">
      <c r="A334" s="28">
        <v>5</v>
      </c>
      <c r="B334" s="32">
        <v>45435</v>
      </c>
      <c r="C334" s="36" t="s">
        <v>299</v>
      </c>
      <c r="D334" s="43">
        <v>1</v>
      </c>
      <c r="E334" s="48" t="s">
        <v>298</v>
      </c>
      <c r="F334" s="48" t="s">
        <v>18</v>
      </c>
      <c r="G334" s="49">
        <v>23</v>
      </c>
      <c r="H334" s="10">
        <v>23</v>
      </c>
      <c r="I334" s="52">
        <v>40</v>
      </c>
      <c r="J334" s="10">
        <v>40</v>
      </c>
      <c r="K334" s="55" t="s">
        <v>71</v>
      </c>
      <c r="L334" s="57">
        <v>0.42499999999999999</v>
      </c>
      <c r="M334" s="50">
        <v>17</v>
      </c>
      <c r="N334" s="61"/>
      <c r="O334" s="50"/>
      <c r="P334" s="52" t="s">
        <v>20</v>
      </c>
    </row>
    <row r="335" spans="1:16" ht="15.75" customHeight="1" outlineLevel="1">
      <c r="A335" s="28">
        <v>5</v>
      </c>
      <c r="B335" s="32">
        <v>45435</v>
      </c>
      <c r="C335" s="36" t="s">
        <v>300</v>
      </c>
      <c r="D335" s="43">
        <v>1</v>
      </c>
      <c r="E335" s="48" t="s">
        <v>139</v>
      </c>
      <c r="F335" s="48" t="s">
        <v>23</v>
      </c>
      <c r="G335" s="49">
        <v>8</v>
      </c>
      <c r="H335" s="10">
        <v>8</v>
      </c>
      <c r="I335" s="52">
        <v>15</v>
      </c>
      <c r="J335" s="10">
        <v>15</v>
      </c>
      <c r="K335" s="55"/>
      <c r="L335" s="57">
        <v>0.46666666666666667</v>
      </c>
      <c r="M335" s="50">
        <v>7</v>
      </c>
      <c r="N335" s="61"/>
      <c r="O335" s="50"/>
      <c r="P335" s="52" t="s">
        <v>20</v>
      </c>
    </row>
    <row r="336" spans="1:16" ht="15.75" customHeight="1" outlineLevel="1">
      <c r="A336" s="28">
        <v>5</v>
      </c>
      <c r="B336" s="32">
        <v>45435</v>
      </c>
      <c r="C336" s="36" t="s">
        <v>97</v>
      </c>
      <c r="D336" s="43">
        <v>1</v>
      </c>
      <c r="E336" s="48" t="s">
        <v>301</v>
      </c>
      <c r="F336" s="48" t="s">
        <v>23</v>
      </c>
      <c r="G336" s="49">
        <v>3</v>
      </c>
      <c r="H336" s="10">
        <v>3</v>
      </c>
      <c r="I336" s="52">
        <v>10</v>
      </c>
      <c r="J336" s="10">
        <v>10</v>
      </c>
      <c r="K336" s="55" t="s">
        <v>71</v>
      </c>
      <c r="L336" s="57">
        <v>0.7</v>
      </c>
      <c r="M336" s="50">
        <v>7</v>
      </c>
      <c r="N336" s="61"/>
      <c r="O336" s="50"/>
      <c r="P336" s="52" t="s">
        <v>20</v>
      </c>
    </row>
    <row r="337" spans="1:16" ht="15.75" customHeight="1" outlineLevel="1">
      <c r="A337" s="28">
        <v>5</v>
      </c>
      <c r="B337" s="32">
        <v>45435</v>
      </c>
      <c r="C337" s="36" t="s">
        <v>302</v>
      </c>
      <c r="D337" s="43">
        <v>1</v>
      </c>
      <c r="E337" s="48" t="s">
        <v>26</v>
      </c>
      <c r="F337" s="48" t="s">
        <v>23</v>
      </c>
      <c r="G337" s="49">
        <v>15</v>
      </c>
      <c r="H337" s="10">
        <v>15</v>
      </c>
      <c r="I337" s="52">
        <v>30</v>
      </c>
      <c r="J337" s="10">
        <v>30</v>
      </c>
      <c r="K337" s="55"/>
      <c r="L337" s="57">
        <v>0.5</v>
      </c>
      <c r="M337" s="50">
        <v>15</v>
      </c>
      <c r="N337" s="61"/>
      <c r="O337" s="50"/>
      <c r="P337" s="52" t="s">
        <v>20</v>
      </c>
    </row>
    <row r="338" spans="1:16" ht="15.75" customHeight="1" outlineLevel="1">
      <c r="A338" s="28">
        <v>5</v>
      </c>
      <c r="B338" s="32">
        <v>45435</v>
      </c>
      <c r="C338" s="36" t="s">
        <v>303</v>
      </c>
      <c r="D338" s="43">
        <v>1</v>
      </c>
      <c r="E338" s="48" t="s">
        <v>26</v>
      </c>
      <c r="F338" s="48" t="s">
        <v>23</v>
      </c>
      <c r="G338" s="49">
        <v>0.05</v>
      </c>
      <c r="H338" s="10">
        <v>0.05</v>
      </c>
      <c r="I338" s="52">
        <v>2</v>
      </c>
      <c r="J338" s="10">
        <v>2</v>
      </c>
      <c r="K338" s="55" t="s">
        <v>71</v>
      </c>
      <c r="L338" s="57">
        <v>0.97499999999999998</v>
      </c>
      <c r="M338" s="50">
        <v>1.95</v>
      </c>
      <c r="N338" s="61"/>
      <c r="O338" s="50"/>
      <c r="P338" s="52" t="s">
        <v>20</v>
      </c>
    </row>
    <row r="339" spans="1:16" ht="15.75" customHeight="1" outlineLevel="1">
      <c r="A339" s="28">
        <v>5</v>
      </c>
      <c r="B339" s="32">
        <v>45435</v>
      </c>
      <c r="C339" s="36" t="s">
        <v>304</v>
      </c>
      <c r="D339" s="43">
        <v>1</v>
      </c>
      <c r="E339" s="48" t="s">
        <v>301</v>
      </c>
      <c r="F339" s="48" t="s">
        <v>23</v>
      </c>
      <c r="G339" s="49">
        <v>50</v>
      </c>
      <c r="H339" s="10">
        <v>50</v>
      </c>
      <c r="I339" s="52">
        <v>70</v>
      </c>
      <c r="J339" s="10">
        <v>70</v>
      </c>
      <c r="K339" s="55" t="s">
        <v>71</v>
      </c>
      <c r="L339" s="57">
        <v>0.2857142857142857</v>
      </c>
      <c r="M339" s="50">
        <v>20</v>
      </c>
      <c r="N339" s="61"/>
      <c r="O339" s="50"/>
      <c r="P339" s="52" t="s">
        <v>20</v>
      </c>
    </row>
    <row r="340" spans="1:16" ht="15.75" customHeight="1" outlineLevel="1">
      <c r="A340" s="28">
        <v>5</v>
      </c>
      <c r="B340" s="32">
        <v>45435</v>
      </c>
      <c r="C340" s="36" t="s">
        <v>305</v>
      </c>
      <c r="D340" s="43">
        <v>1</v>
      </c>
      <c r="E340" s="48" t="s">
        <v>139</v>
      </c>
      <c r="F340" s="48" t="s">
        <v>23</v>
      </c>
      <c r="G340" s="49">
        <v>18</v>
      </c>
      <c r="H340" s="10">
        <v>18</v>
      </c>
      <c r="I340" s="52">
        <v>10</v>
      </c>
      <c r="J340" s="10">
        <v>10</v>
      </c>
      <c r="K340" s="55" t="s">
        <v>71</v>
      </c>
      <c r="L340" s="57">
        <v>-0.8</v>
      </c>
      <c r="M340" s="50">
        <v>-8</v>
      </c>
      <c r="N340" s="61"/>
      <c r="O340" s="50"/>
      <c r="P340" s="52" t="s">
        <v>20</v>
      </c>
    </row>
    <row r="341" spans="1:16" ht="15.75" customHeight="1" outlineLevel="1">
      <c r="A341" s="28">
        <v>5</v>
      </c>
      <c r="B341" s="32">
        <v>45435</v>
      </c>
      <c r="C341" s="36" t="s">
        <v>306</v>
      </c>
      <c r="D341" s="43">
        <v>1</v>
      </c>
      <c r="E341" s="48" t="s">
        <v>307</v>
      </c>
      <c r="F341" s="48" t="s">
        <v>23</v>
      </c>
      <c r="G341" s="49">
        <v>38</v>
      </c>
      <c r="H341" s="10">
        <v>38</v>
      </c>
      <c r="I341" s="52">
        <v>44</v>
      </c>
      <c r="J341" s="10">
        <v>44</v>
      </c>
      <c r="K341" s="55" t="s">
        <v>30</v>
      </c>
      <c r="L341" s="57">
        <v>0.13636363636363635</v>
      </c>
      <c r="M341" s="50">
        <v>6</v>
      </c>
      <c r="N341" s="61"/>
      <c r="O341" s="50"/>
      <c r="P341" s="52" t="s">
        <v>20</v>
      </c>
    </row>
    <row r="342" spans="1:16" ht="15.75" customHeight="1" outlineLevel="1">
      <c r="A342" s="28">
        <v>5</v>
      </c>
      <c r="B342" s="32">
        <v>45435</v>
      </c>
      <c r="C342" s="36" t="s">
        <v>283</v>
      </c>
      <c r="D342" s="43">
        <v>1</v>
      </c>
      <c r="E342" s="48" t="s">
        <v>308</v>
      </c>
      <c r="F342" s="48" t="s">
        <v>18</v>
      </c>
      <c r="G342" s="49">
        <v>18</v>
      </c>
      <c r="H342" s="10">
        <v>18</v>
      </c>
      <c r="I342" s="52">
        <v>30</v>
      </c>
      <c r="J342" s="10">
        <v>30</v>
      </c>
      <c r="K342" s="55" t="s">
        <v>71</v>
      </c>
      <c r="L342" s="57">
        <v>0.4</v>
      </c>
      <c r="M342" s="50">
        <v>12</v>
      </c>
      <c r="N342" s="62"/>
      <c r="O342" s="50">
        <v>30</v>
      </c>
      <c r="P342" s="52" t="s">
        <v>135</v>
      </c>
    </row>
    <row r="343" spans="1:16" ht="15.75" customHeight="1" outlineLevel="1">
      <c r="A343" s="28">
        <v>5</v>
      </c>
      <c r="B343" s="32">
        <v>45436</v>
      </c>
      <c r="C343" s="36" t="s">
        <v>274</v>
      </c>
      <c r="D343" s="43">
        <v>1</v>
      </c>
      <c r="E343" s="48" t="s">
        <v>26</v>
      </c>
      <c r="F343" s="48" t="s">
        <v>23</v>
      </c>
      <c r="G343" s="49">
        <v>0</v>
      </c>
      <c r="H343" s="10">
        <v>0</v>
      </c>
      <c r="I343" s="52">
        <v>100</v>
      </c>
      <c r="J343" s="10">
        <v>100</v>
      </c>
      <c r="K343" s="55" t="s">
        <v>71</v>
      </c>
      <c r="L343" s="57">
        <v>1</v>
      </c>
      <c r="M343" s="50">
        <v>100</v>
      </c>
      <c r="N343" s="61"/>
      <c r="O343" s="50"/>
      <c r="P343" s="52" t="s">
        <v>20</v>
      </c>
    </row>
    <row r="344" spans="1:16" ht="15.75" customHeight="1" outlineLevel="1">
      <c r="A344" s="28">
        <v>5</v>
      </c>
      <c r="B344" s="32">
        <v>45436</v>
      </c>
      <c r="C344" s="36" t="s">
        <v>274</v>
      </c>
      <c r="D344" s="43">
        <v>1</v>
      </c>
      <c r="E344" s="48" t="s">
        <v>26</v>
      </c>
      <c r="F344" s="48" t="s">
        <v>23</v>
      </c>
      <c r="G344" s="49">
        <v>0</v>
      </c>
      <c r="H344" s="10">
        <v>0</v>
      </c>
      <c r="I344" s="52">
        <v>105</v>
      </c>
      <c r="J344" s="10">
        <v>105</v>
      </c>
      <c r="K344" s="55" t="s">
        <v>30</v>
      </c>
      <c r="L344" s="57">
        <v>1</v>
      </c>
      <c r="M344" s="50">
        <v>105</v>
      </c>
      <c r="N344" s="61"/>
      <c r="O344" s="50"/>
      <c r="P344" s="52" t="s">
        <v>20</v>
      </c>
    </row>
    <row r="345" spans="1:16" ht="15.75" customHeight="1" outlineLevel="1">
      <c r="A345" s="28">
        <v>5</v>
      </c>
      <c r="B345" s="32">
        <v>45436</v>
      </c>
      <c r="C345" s="36" t="s">
        <v>309</v>
      </c>
      <c r="D345" s="43">
        <v>1</v>
      </c>
      <c r="E345" s="48" t="s">
        <v>310</v>
      </c>
      <c r="F345" s="48" t="s">
        <v>281</v>
      </c>
      <c r="G345" s="49">
        <v>8</v>
      </c>
      <c r="H345" s="10">
        <v>8</v>
      </c>
      <c r="I345" s="52">
        <v>20</v>
      </c>
      <c r="J345" s="10">
        <v>20</v>
      </c>
      <c r="K345" s="55" t="s">
        <v>71</v>
      </c>
      <c r="L345" s="57">
        <v>0.6</v>
      </c>
      <c r="M345" s="50">
        <v>12</v>
      </c>
      <c r="N345" s="61"/>
      <c r="O345" s="50"/>
      <c r="P345" s="52" t="s">
        <v>311</v>
      </c>
    </row>
    <row r="346" spans="1:16" ht="15.75" customHeight="1" outlineLevel="1">
      <c r="A346" s="28">
        <v>5</v>
      </c>
      <c r="B346" s="32">
        <v>45440</v>
      </c>
      <c r="C346" s="36" t="s">
        <v>274</v>
      </c>
      <c r="D346" s="43">
        <v>1</v>
      </c>
      <c r="E346" s="48" t="s">
        <v>26</v>
      </c>
      <c r="F346" s="48" t="s">
        <v>23</v>
      </c>
      <c r="G346" s="49">
        <v>0</v>
      </c>
      <c r="H346" s="10">
        <v>0</v>
      </c>
      <c r="I346" s="52">
        <v>150</v>
      </c>
      <c r="J346" s="10">
        <v>150</v>
      </c>
      <c r="K346" s="55" t="s">
        <v>71</v>
      </c>
      <c r="L346" s="57">
        <v>1</v>
      </c>
      <c r="M346" s="50">
        <v>150</v>
      </c>
      <c r="N346" s="61"/>
      <c r="O346" s="50"/>
      <c r="P346" s="52" t="s">
        <v>311</v>
      </c>
    </row>
    <row r="347" spans="1:16" ht="15.75" customHeight="1" outlineLevel="1">
      <c r="A347" s="28">
        <v>5</v>
      </c>
      <c r="B347" s="32">
        <v>45440</v>
      </c>
      <c r="C347" s="36" t="s">
        <v>146</v>
      </c>
      <c r="D347" s="43">
        <v>5</v>
      </c>
      <c r="E347" s="48" t="s">
        <v>26</v>
      </c>
      <c r="F347" s="48" t="s">
        <v>23</v>
      </c>
      <c r="G347" s="49">
        <v>7.0000000000000007E-2</v>
      </c>
      <c r="H347" s="10">
        <v>0.35000000000000003</v>
      </c>
      <c r="I347" s="52">
        <v>1</v>
      </c>
      <c r="J347" s="10">
        <v>5</v>
      </c>
      <c r="K347" s="55" t="s">
        <v>71</v>
      </c>
      <c r="L347" s="57">
        <v>0.93</v>
      </c>
      <c r="M347" s="50">
        <v>4.6500000000000004</v>
      </c>
      <c r="N347" s="61"/>
      <c r="O347" s="50"/>
      <c r="P347" s="52" t="s">
        <v>311</v>
      </c>
    </row>
    <row r="348" spans="1:16" ht="15.75" customHeight="1" outlineLevel="1">
      <c r="A348" s="28">
        <v>5</v>
      </c>
      <c r="B348" s="32">
        <v>45440</v>
      </c>
      <c r="C348" s="36" t="s">
        <v>274</v>
      </c>
      <c r="D348" s="43">
        <v>1</v>
      </c>
      <c r="E348" s="48" t="s">
        <v>26</v>
      </c>
      <c r="F348" s="48" t="s">
        <v>23</v>
      </c>
      <c r="G348" s="49">
        <v>0</v>
      </c>
      <c r="H348" s="10">
        <v>0</v>
      </c>
      <c r="I348" s="52">
        <v>25</v>
      </c>
      <c r="J348" s="10">
        <v>25</v>
      </c>
      <c r="K348" s="55" t="s">
        <v>71</v>
      </c>
      <c r="L348" s="57">
        <v>1</v>
      </c>
      <c r="M348" s="50">
        <v>25</v>
      </c>
      <c r="N348" s="61"/>
      <c r="O348" s="50"/>
      <c r="P348" s="52" t="s">
        <v>311</v>
      </c>
    </row>
    <row r="349" spans="1:16" ht="15.75" customHeight="1" outlineLevel="1">
      <c r="A349" s="28">
        <v>5</v>
      </c>
      <c r="B349" s="32">
        <v>45440</v>
      </c>
      <c r="C349" s="36" t="s">
        <v>116</v>
      </c>
      <c r="D349" s="43">
        <v>1</v>
      </c>
      <c r="E349" s="48" t="s">
        <v>26</v>
      </c>
      <c r="F349" s="48" t="s">
        <v>23</v>
      </c>
      <c r="G349" s="49">
        <v>4</v>
      </c>
      <c r="H349" s="10">
        <v>4</v>
      </c>
      <c r="I349" s="52">
        <v>10</v>
      </c>
      <c r="J349" s="10">
        <v>10</v>
      </c>
      <c r="K349" s="55" t="s">
        <v>71</v>
      </c>
      <c r="L349" s="57">
        <v>0.6</v>
      </c>
      <c r="M349" s="50">
        <v>6</v>
      </c>
      <c r="N349" s="61"/>
      <c r="O349" s="50"/>
      <c r="P349" s="52" t="s">
        <v>311</v>
      </c>
    </row>
    <row r="350" spans="1:16" ht="15.75" customHeight="1" outlineLevel="1">
      <c r="A350" s="28">
        <v>5</v>
      </c>
      <c r="B350" s="32">
        <v>45440</v>
      </c>
      <c r="C350" s="36" t="s">
        <v>209</v>
      </c>
      <c r="D350" s="43">
        <v>1</v>
      </c>
      <c r="E350" s="48" t="s">
        <v>312</v>
      </c>
      <c r="F350" s="48" t="s">
        <v>18</v>
      </c>
      <c r="G350" s="49" t="s">
        <v>79</v>
      </c>
      <c r="H350" s="10">
        <v>0</v>
      </c>
      <c r="I350" s="52">
        <v>25</v>
      </c>
      <c r="J350" s="10">
        <v>25</v>
      </c>
      <c r="K350" s="55" t="s">
        <v>71</v>
      </c>
      <c r="L350" s="57">
        <v>1</v>
      </c>
      <c r="M350" s="50">
        <v>25</v>
      </c>
      <c r="N350" s="62"/>
      <c r="O350" s="50">
        <v>25</v>
      </c>
      <c r="P350" s="52" t="s">
        <v>135</v>
      </c>
    </row>
    <row r="351" spans="1:16" ht="15.75" customHeight="1" outlineLevel="1">
      <c r="A351" s="28">
        <v>5</v>
      </c>
      <c r="B351" s="32">
        <v>45441</v>
      </c>
      <c r="C351" s="36" t="s">
        <v>313</v>
      </c>
      <c r="D351" s="43">
        <v>1</v>
      </c>
      <c r="E351" s="48" t="s">
        <v>26</v>
      </c>
      <c r="F351" s="48" t="s">
        <v>23</v>
      </c>
      <c r="G351" s="49">
        <v>35</v>
      </c>
      <c r="H351" s="10">
        <v>35</v>
      </c>
      <c r="I351" s="52">
        <v>70</v>
      </c>
      <c r="J351" s="10">
        <v>70</v>
      </c>
      <c r="K351" s="55" t="s">
        <v>71</v>
      </c>
      <c r="L351" s="57">
        <v>0.5</v>
      </c>
      <c r="M351" s="50">
        <v>35</v>
      </c>
      <c r="N351" s="61"/>
      <c r="O351" s="50"/>
      <c r="P351" s="52" t="s">
        <v>311</v>
      </c>
    </row>
    <row r="352" spans="1:16" ht="15.75" customHeight="1">
      <c r="A352" s="28">
        <v>5</v>
      </c>
      <c r="B352" s="32">
        <v>45442</v>
      </c>
      <c r="C352" s="36" t="s">
        <v>190</v>
      </c>
      <c r="D352" s="43">
        <v>1</v>
      </c>
      <c r="E352" s="48" t="s">
        <v>189</v>
      </c>
      <c r="F352" s="48" t="s">
        <v>23</v>
      </c>
      <c r="G352" s="49">
        <v>9</v>
      </c>
      <c r="H352" s="10">
        <v>9</v>
      </c>
      <c r="I352" s="52">
        <v>25</v>
      </c>
      <c r="J352" s="10">
        <v>25</v>
      </c>
      <c r="K352" s="55" t="s">
        <v>71</v>
      </c>
      <c r="L352" s="57">
        <v>0.64</v>
      </c>
      <c r="M352" s="50">
        <v>16</v>
      </c>
      <c r="N352" s="64"/>
      <c r="O352" s="50"/>
      <c r="P352" s="52" t="s">
        <v>20</v>
      </c>
    </row>
    <row r="353" spans="1:16" ht="15.75" customHeight="1" outlineLevel="2">
      <c r="A353" s="28">
        <v>6</v>
      </c>
      <c r="B353" s="32">
        <v>45444</v>
      </c>
      <c r="C353" s="36" t="s">
        <v>146</v>
      </c>
      <c r="D353" s="43">
        <v>1</v>
      </c>
      <c r="E353" s="48" t="s">
        <v>26</v>
      </c>
      <c r="F353" s="48" t="s">
        <v>23</v>
      </c>
      <c r="G353" s="49">
        <v>7.0000000000000007E-2</v>
      </c>
      <c r="H353" s="10">
        <v>7.0000000000000007E-2</v>
      </c>
      <c r="I353" s="52">
        <v>1</v>
      </c>
      <c r="J353" s="10">
        <v>1</v>
      </c>
      <c r="K353" s="55" t="s">
        <v>71</v>
      </c>
      <c r="L353" s="57">
        <v>0.92999999999999994</v>
      </c>
      <c r="M353" s="50">
        <v>0.92999999999999994</v>
      </c>
      <c r="N353" s="61"/>
      <c r="O353" s="50"/>
      <c r="P353" s="52" t="s">
        <v>20</v>
      </c>
    </row>
    <row r="354" spans="1:16" ht="15.75" customHeight="1" outlineLevel="2">
      <c r="A354" s="28">
        <v>6</v>
      </c>
      <c r="B354" s="32">
        <v>45444</v>
      </c>
      <c r="C354" s="36" t="s">
        <v>217</v>
      </c>
      <c r="D354" s="43">
        <v>1</v>
      </c>
      <c r="E354" s="48" t="s">
        <v>26</v>
      </c>
      <c r="F354" s="48" t="s">
        <v>23</v>
      </c>
      <c r="G354" s="49">
        <v>15</v>
      </c>
      <c r="H354" s="10">
        <v>15</v>
      </c>
      <c r="I354" s="52">
        <v>28</v>
      </c>
      <c r="J354" s="10">
        <v>28</v>
      </c>
      <c r="K354" s="55" t="s">
        <v>71</v>
      </c>
      <c r="L354" s="57">
        <v>0.4642857142857143</v>
      </c>
      <c r="M354" s="50">
        <v>13</v>
      </c>
      <c r="N354" s="61"/>
      <c r="O354" s="50"/>
      <c r="P354" s="52" t="s">
        <v>20</v>
      </c>
    </row>
    <row r="355" spans="1:16" ht="15.75" customHeight="1" outlineLevel="2">
      <c r="A355" s="28">
        <v>6</v>
      </c>
      <c r="B355" s="32">
        <v>45444</v>
      </c>
      <c r="C355" s="36" t="s">
        <v>25</v>
      </c>
      <c r="D355" s="43">
        <v>1</v>
      </c>
      <c r="E355" s="48" t="s">
        <v>26</v>
      </c>
      <c r="F355" s="48" t="s">
        <v>281</v>
      </c>
      <c r="G355" s="49">
        <v>18</v>
      </c>
      <c r="H355" s="10">
        <v>18</v>
      </c>
      <c r="I355" s="52">
        <v>33</v>
      </c>
      <c r="J355" s="10">
        <v>33</v>
      </c>
      <c r="K355" s="55" t="s">
        <v>71</v>
      </c>
      <c r="L355" s="57">
        <v>0.45454545454545453</v>
      </c>
      <c r="M355" s="50">
        <v>15</v>
      </c>
      <c r="N355" s="61"/>
      <c r="O355" s="50"/>
      <c r="P355" s="52" t="s">
        <v>20</v>
      </c>
    </row>
    <row r="356" spans="1:16" ht="15.75" customHeight="1" outlineLevel="2">
      <c r="A356" s="28">
        <v>6</v>
      </c>
      <c r="B356" s="32">
        <v>45444</v>
      </c>
      <c r="C356" s="36" t="s">
        <v>279</v>
      </c>
      <c r="D356" s="43">
        <v>1</v>
      </c>
      <c r="E356" s="48" t="s">
        <v>26</v>
      </c>
      <c r="F356" s="48" t="s">
        <v>281</v>
      </c>
      <c r="G356" s="49">
        <v>0</v>
      </c>
      <c r="H356" s="10">
        <v>0</v>
      </c>
      <c r="I356" s="52">
        <v>100</v>
      </c>
      <c r="J356" s="10">
        <v>100</v>
      </c>
      <c r="K356" s="55" t="s">
        <v>71</v>
      </c>
      <c r="L356" s="57">
        <v>1</v>
      </c>
      <c r="M356" s="50">
        <v>100</v>
      </c>
      <c r="N356" s="61"/>
      <c r="O356" s="50"/>
      <c r="P356" s="52" t="s">
        <v>20</v>
      </c>
    </row>
    <row r="357" spans="1:16" ht="15.75" customHeight="1" outlineLevel="2">
      <c r="A357" s="28">
        <v>6</v>
      </c>
      <c r="B357" s="32">
        <v>45446</v>
      </c>
      <c r="C357" s="36" t="s">
        <v>217</v>
      </c>
      <c r="D357" s="43">
        <v>1</v>
      </c>
      <c r="E357" s="48" t="s">
        <v>26</v>
      </c>
      <c r="F357" s="48" t="s">
        <v>281</v>
      </c>
      <c r="G357" s="49">
        <v>15</v>
      </c>
      <c r="H357" s="10">
        <v>15</v>
      </c>
      <c r="I357" s="52">
        <v>25</v>
      </c>
      <c r="J357" s="10">
        <v>25</v>
      </c>
      <c r="K357" s="55" t="s">
        <v>71</v>
      </c>
      <c r="L357" s="57">
        <v>0.4</v>
      </c>
      <c r="M357" s="50">
        <v>10</v>
      </c>
      <c r="N357" s="61"/>
      <c r="O357" s="50"/>
      <c r="P357" s="52" t="s">
        <v>20</v>
      </c>
    </row>
    <row r="358" spans="1:16" ht="15.75" customHeight="1" outlineLevel="2">
      <c r="A358" s="28">
        <v>6</v>
      </c>
      <c r="B358" s="32">
        <v>45446</v>
      </c>
      <c r="C358" s="36" t="s">
        <v>279</v>
      </c>
      <c r="D358" s="43">
        <v>1</v>
      </c>
      <c r="E358" s="48" t="s">
        <v>26</v>
      </c>
      <c r="F358" s="48" t="s">
        <v>281</v>
      </c>
      <c r="G358" s="49">
        <v>0</v>
      </c>
      <c r="H358" s="10">
        <v>0</v>
      </c>
      <c r="I358" s="52">
        <v>45</v>
      </c>
      <c r="J358" s="10">
        <v>45</v>
      </c>
      <c r="K358" s="55" t="s">
        <v>71</v>
      </c>
      <c r="L358" s="57">
        <v>1</v>
      </c>
      <c r="M358" s="50">
        <v>45</v>
      </c>
      <c r="N358" s="61"/>
      <c r="O358" s="50"/>
      <c r="P358" s="52" t="s">
        <v>20</v>
      </c>
    </row>
    <row r="359" spans="1:16" ht="15.75" customHeight="1" outlineLevel="2">
      <c r="A359" s="28">
        <v>6</v>
      </c>
      <c r="B359" s="32">
        <v>45446</v>
      </c>
      <c r="C359" s="36" t="s">
        <v>314</v>
      </c>
      <c r="D359" s="43">
        <v>1</v>
      </c>
      <c r="E359" s="48" t="s">
        <v>26</v>
      </c>
      <c r="F359" s="48" t="s">
        <v>23</v>
      </c>
      <c r="G359" s="49">
        <v>31.99</v>
      </c>
      <c r="H359" s="10">
        <v>31.99</v>
      </c>
      <c r="I359" s="52">
        <v>55</v>
      </c>
      <c r="J359" s="10">
        <v>55</v>
      </c>
      <c r="K359" s="55" t="s">
        <v>71</v>
      </c>
      <c r="L359" s="57">
        <v>0.41836363636363638</v>
      </c>
      <c r="M359" s="50">
        <v>23.01</v>
      </c>
      <c r="N359" s="61"/>
      <c r="O359" s="50"/>
      <c r="P359" s="52" t="s">
        <v>20</v>
      </c>
    </row>
    <row r="360" spans="1:16" ht="15.75" customHeight="1" outlineLevel="2">
      <c r="A360" s="28">
        <v>6</v>
      </c>
      <c r="B360" s="32">
        <v>45446</v>
      </c>
      <c r="C360" s="36" t="s">
        <v>315</v>
      </c>
      <c r="D360" s="43">
        <v>1</v>
      </c>
      <c r="E360" s="48" t="s">
        <v>239</v>
      </c>
      <c r="F360" s="48" t="s">
        <v>23</v>
      </c>
      <c r="G360" s="49">
        <v>10</v>
      </c>
      <c r="H360" s="10">
        <v>10</v>
      </c>
      <c r="I360" s="52">
        <v>20</v>
      </c>
      <c r="J360" s="10">
        <v>20</v>
      </c>
      <c r="K360" s="55" t="s">
        <v>71</v>
      </c>
      <c r="L360" s="57">
        <v>0.5</v>
      </c>
      <c r="M360" s="50">
        <v>10</v>
      </c>
      <c r="N360" s="61"/>
      <c r="O360" s="50"/>
      <c r="P360" s="52" t="s">
        <v>20</v>
      </c>
    </row>
    <row r="361" spans="1:16" ht="15.75" customHeight="1" outlineLevel="2">
      <c r="A361" s="28">
        <v>6</v>
      </c>
      <c r="B361" s="32">
        <v>45447</v>
      </c>
      <c r="C361" s="36" t="s">
        <v>146</v>
      </c>
      <c r="D361" s="43">
        <v>46</v>
      </c>
      <c r="E361" s="48" t="s">
        <v>26</v>
      </c>
      <c r="F361" s="48" t="s">
        <v>23</v>
      </c>
      <c r="G361" s="49">
        <v>7.0000000000000007E-2</v>
      </c>
      <c r="H361" s="10">
        <v>3.22</v>
      </c>
      <c r="I361" s="52">
        <v>1</v>
      </c>
      <c r="J361" s="10">
        <v>46</v>
      </c>
      <c r="K361" s="55" t="s">
        <v>71</v>
      </c>
      <c r="L361" s="57">
        <v>0.93</v>
      </c>
      <c r="M361" s="50">
        <v>42.78</v>
      </c>
      <c r="N361" s="61"/>
      <c r="O361" s="50"/>
      <c r="P361" s="52" t="s">
        <v>20</v>
      </c>
    </row>
    <row r="362" spans="1:16" ht="15.75" customHeight="1" outlineLevel="2">
      <c r="A362" s="28">
        <v>6</v>
      </c>
      <c r="B362" s="32">
        <v>45447</v>
      </c>
      <c r="C362" s="36" t="s">
        <v>187</v>
      </c>
      <c r="D362" s="43">
        <v>1</v>
      </c>
      <c r="E362" s="48" t="s">
        <v>26</v>
      </c>
      <c r="F362" s="48" t="s">
        <v>23</v>
      </c>
      <c r="G362" s="49">
        <v>35</v>
      </c>
      <c r="H362" s="10">
        <v>35</v>
      </c>
      <c r="I362" s="52">
        <v>60</v>
      </c>
      <c r="J362" s="10">
        <v>60</v>
      </c>
      <c r="K362" s="55" t="s">
        <v>71</v>
      </c>
      <c r="L362" s="57">
        <v>0.41666666666666669</v>
      </c>
      <c r="M362" s="50">
        <v>25</v>
      </c>
      <c r="N362" s="61"/>
      <c r="O362" s="50"/>
      <c r="P362" s="52" t="s">
        <v>20</v>
      </c>
    </row>
    <row r="363" spans="1:16" ht="15.75" customHeight="1" outlineLevel="2">
      <c r="A363" s="28">
        <v>6</v>
      </c>
      <c r="B363" s="32">
        <v>45447</v>
      </c>
      <c r="C363" s="36" t="s">
        <v>128</v>
      </c>
      <c r="D363" s="43">
        <v>1</v>
      </c>
      <c r="E363" s="48" t="s">
        <v>26</v>
      </c>
      <c r="F363" s="48" t="s">
        <v>23</v>
      </c>
      <c r="G363" s="49">
        <v>3.5</v>
      </c>
      <c r="H363" s="10">
        <v>3.5</v>
      </c>
      <c r="I363" s="52">
        <v>10</v>
      </c>
      <c r="J363" s="10">
        <v>10</v>
      </c>
      <c r="K363" s="55" t="s">
        <v>71</v>
      </c>
      <c r="L363" s="57">
        <v>0.65</v>
      </c>
      <c r="M363" s="50">
        <v>6.5</v>
      </c>
      <c r="N363" s="61"/>
      <c r="O363" s="50"/>
      <c r="P363" s="52" t="s">
        <v>20</v>
      </c>
    </row>
    <row r="364" spans="1:16" ht="15.75" customHeight="1" outlineLevel="2">
      <c r="A364" s="28">
        <v>6</v>
      </c>
      <c r="B364" s="32">
        <v>45447</v>
      </c>
      <c r="C364" s="36" t="s">
        <v>146</v>
      </c>
      <c r="D364" s="43">
        <v>2</v>
      </c>
      <c r="E364" s="48" t="s">
        <v>316</v>
      </c>
      <c r="F364" s="48" t="s">
        <v>23</v>
      </c>
      <c r="G364" s="49">
        <v>7.0000000000000007E-2</v>
      </c>
      <c r="H364" s="10">
        <v>0.14000000000000001</v>
      </c>
      <c r="I364" s="52">
        <v>1</v>
      </c>
      <c r="J364" s="10">
        <v>2</v>
      </c>
      <c r="K364" s="55" t="s">
        <v>317</v>
      </c>
      <c r="L364" s="57">
        <v>0.92999999999999994</v>
      </c>
      <c r="M364" s="50">
        <v>1.8599999999999999</v>
      </c>
      <c r="N364" s="61"/>
      <c r="O364" s="50"/>
      <c r="P364" s="52" t="s">
        <v>20</v>
      </c>
    </row>
    <row r="365" spans="1:16" ht="15.75" customHeight="1" outlineLevel="2">
      <c r="A365" s="28">
        <v>6</v>
      </c>
      <c r="B365" s="32">
        <v>45447</v>
      </c>
      <c r="C365" s="36" t="s">
        <v>318</v>
      </c>
      <c r="D365" s="43">
        <v>1</v>
      </c>
      <c r="E365" s="48" t="s">
        <v>316</v>
      </c>
      <c r="F365" s="48" t="s">
        <v>23</v>
      </c>
      <c r="G365" s="49">
        <v>5</v>
      </c>
      <c r="H365" s="10">
        <v>5</v>
      </c>
      <c r="I365" s="52">
        <v>10</v>
      </c>
      <c r="J365" s="10">
        <v>10</v>
      </c>
      <c r="K365" s="55" t="s">
        <v>317</v>
      </c>
      <c r="L365" s="57">
        <v>0.5</v>
      </c>
      <c r="M365" s="50">
        <v>5</v>
      </c>
      <c r="N365" s="61"/>
      <c r="O365" s="50"/>
      <c r="P365" s="52" t="s">
        <v>20</v>
      </c>
    </row>
    <row r="366" spans="1:16" ht="15.75" customHeight="1" outlineLevel="2">
      <c r="A366" s="28">
        <v>6</v>
      </c>
      <c r="B366" s="32">
        <v>45449</v>
      </c>
      <c r="C366" s="36" t="s">
        <v>319</v>
      </c>
      <c r="D366" s="43">
        <v>1</v>
      </c>
      <c r="E366" s="48" t="s">
        <v>239</v>
      </c>
      <c r="F366" s="48" t="s">
        <v>23</v>
      </c>
      <c r="G366" s="49">
        <v>15</v>
      </c>
      <c r="H366" s="10">
        <v>15</v>
      </c>
      <c r="I366" s="52">
        <v>25</v>
      </c>
      <c r="J366" s="10">
        <v>25</v>
      </c>
      <c r="K366" s="55" t="s">
        <v>71</v>
      </c>
      <c r="L366" s="57">
        <v>0.4</v>
      </c>
      <c r="M366" s="50">
        <v>10</v>
      </c>
      <c r="N366" s="61"/>
      <c r="O366" s="50"/>
      <c r="P366" s="52" t="s">
        <v>20</v>
      </c>
    </row>
    <row r="367" spans="1:16" ht="15.75" customHeight="1" outlineLevel="2">
      <c r="A367" s="28">
        <v>6</v>
      </c>
      <c r="B367" s="32">
        <v>45449</v>
      </c>
      <c r="C367" s="36" t="s">
        <v>146</v>
      </c>
      <c r="D367" s="43">
        <v>1</v>
      </c>
      <c r="E367" s="48" t="s">
        <v>26</v>
      </c>
      <c r="F367" s="48" t="s">
        <v>23</v>
      </c>
      <c r="G367" s="49">
        <v>7.0000000000000007E-2</v>
      </c>
      <c r="H367" s="10">
        <v>7.0000000000000007E-2</v>
      </c>
      <c r="I367" s="52">
        <v>1</v>
      </c>
      <c r="J367" s="10">
        <v>1</v>
      </c>
      <c r="K367" s="55" t="s">
        <v>71</v>
      </c>
      <c r="L367" s="57">
        <v>0.92999999999999994</v>
      </c>
      <c r="M367" s="50">
        <v>0.92999999999999994</v>
      </c>
      <c r="N367" s="61"/>
      <c r="O367" s="50"/>
      <c r="P367" s="52" t="s">
        <v>20</v>
      </c>
    </row>
    <row r="368" spans="1:16" ht="15.75" customHeight="1" outlineLevel="2">
      <c r="A368" s="28">
        <v>6</v>
      </c>
      <c r="B368" s="32">
        <v>45449</v>
      </c>
      <c r="C368" s="36" t="s">
        <v>320</v>
      </c>
      <c r="D368" s="43">
        <v>1</v>
      </c>
      <c r="E368" s="48" t="s">
        <v>26</v>
      </c>
      <c r="F368" s="48" t="s">
        <v>23</v>
      </c>
      <c r="G368" s="49">
        <v>0.05</v>
      </c>
      <c r="H368" s="10">
        <v>0.05</v>
      </c>
      <c r="I368" s="52">
        <v>5</v>
      </c>
      <c r="J368" s="10">
        <v>5</v>
      </c>
      <c r="K368" s="55" t="s">
        <v>317</v>
      </c>
      <c r="L368" s="57">
        <v>0.99</v>
      </c>
      <c r="M368" s="50">
        <v>4.95</v>
      </c>
      <c r="N368" s="61"/>
      <c r="O368" s="50"/>
      <c r="P368" s="52" t="s">
        <v>20</v>
      </c>
    </row>
    <row r="369" spans="1:16" ht="15.75" customHeight="1" outlineLevel="2">
      <c r="A369" s="28">
        <v>6</v>
      </c>
      <c r="B369" s="32">
        <v>45450</v>
      </c>
      <c r="C369" s="36" t="s">
        <v>321</v>
      </c>
      <c r="D369" s="43">
        <v>1</v>
      </c>
      <c r="E369" s="48" t="s">
        <v>26</v>
      </c>
      <c r="F369" s="48" t="s">
        <v>322</v>
      </c>
      <c r="G369" s="49">
        <v>3</v>
      </c>
      <c r="H369" s="10">
        <v>3</v>
      </c>
      <c r="I369" s="52">
        <v>15</v>
      </c>
      <c r="J369" s="10">
        <v>15</v>
      </c>
      <c r="K369" s="55" t="s">
        <v>71</v>
      </c>
      <c r="L369" s="57">
        <v>0.8</v>
      </c>
      <c r="M369" s="50">
        <v>12</v>
      </c>
      <c r="N369" s="61"/>
      <c r="O369" s="50"/>
      <c r="P369" s="52" t="s">
        <v>20</v>
      </c>
    </row>
    <row r="370" spans="1:16" ht="15.75" customHeight="1" outlineLevel="2">
      <c r="A370" s="28">
        <v>6</v>
      </c>
      <c r="B370" s="32">
        <v>45450</v>
      </c>
      <c r="C370" s="36" t="s">
        <v>323</v>
      </c>
      <c r="D370" s="43">
        <v>1</v>
      </c>
      <c r="E370" s="48" t="s">
        <v>26</v>
      </c>
      <c r="F370" s="48" t="s">
        <v>322</v>
      </c>
      <c r="G370" s="49">
        <v>7.0000000000000007E-2</v>
      </c>
      <c r="H370" s="10">
        <v>7.0000000000000007E-2</v>
      </c>
      <c r="I370" s="52">
        <v>1</v>
      </c>
      <c r="J370" s="10">
        <v>1</v>
      </c>
      <c r="K370" s="55" t="s">
        <v>71</v>
      </c>
      <c r="L370" s="57">
        <v>0.92999999999999994</v>
      </c>
      <c r="M370" s="50">
        <v>0.92999999999999994</v>
      </c>
      <c r="N370" s="61"/>
      <c r="O370" s="50"/>
      <c r="P370" s="52" t="s">
        <v>20</v>
      </c>
    </row>
    <row r="371" spans="1:16" ht="15.75" customHeight="1" outlineLevel="2">
      <c r="A371" s="28">
        <v>6</v>
      </c>
      <c r="B371" s="32">
        <v>45450</v>
      </c>
      <c r="C371" s="36" t="s">
        <v>258</v>
      </c>
      <c r="D371" s="43">
        <v>1</v>
      </c>
      <c r="E371" s="48" t="s">
        <v>26</v>
      </c>
      <c r="F371" s="48" t="s">
        <v>322</v>
      </c>
      <c r="G371" s="49">
        <v>11</v>
      </c>
      <c r="H371" s="10">
        <v>11</v>
      </c>
      <c r="I371" s="52">
        <v>30</v>
      </c>
      <c r="J371" s="10">
        <v>30</v>
      </c>
      <c r="K371" s="55" t="s">
        <v>71</v>
      </c>
      <c r="L371" s="57">
        <v>0.6333333333333333</v>
      </c>
      <c r="M371" s="50">
        <v>19</v>
      </c>
      <c r="N371" s="61"/>
      <c r="O371" s="50"/>
      <c r="P371" s="52" t="s">
        <v>20</v>
      </c>
    </row>
    <row r="372" spans="1:16" ht="15.75" customHeight="1" outlineLevel="2">
      <c r="A372" s="28">
        <v>6</v>
      </c>
      <c r="B372" s="32">
        <v>45451</v>
      </c>
      <c r="C372" s="36" t="s">
        <v>324</v>
      </c>
      <c r="D372" s="43">
        <v>1</v>
      </c>
      <c r="E372" s="48" t="s">
        <v>26</v>
      </c>
      <c r="F372" s="48" t="s">
        <v>322</v>
      </c>
      <c r="G372" s="49">
        <v>25</v>
      </c>
      <c r="H372" s="10">
        <v>25</v>
      </c>
      <c r="I372" s="52">
        <v>50</v>
      </c>
      <c r="J372" s="10">
        <v>50</v>
      </c>
      <c r="K372" s="55" t="s">
        <v>30</v>
      </c>
      <c r="L372" s="57">
        <v>0.5</v>
      </c>
      <c r="M372" s="50">
        <v>25</v>
      </c>
      <c r="N372" s="61"/>
      <c r="O372" s="50"/>
      <c r="P372" s="52" t="s">
        <v>20</v>
      </c>
    </row>
    <row r="373" spans="1:16" ht="15.75" customHeight="1" outlineLevel="2">
      <c r="A373" s="28">
        <v>6</v>
      </c>
      <c r="B373" s="32">
        <v>45454</v>
      </c>
      <c r="C373" s="36" t="s">
        <v>320</v>
      </c>
      <c r="D373" s="43">
        <v>1</v>
      </c>
      <c r="E373" s="48" t="s">
        <v>325</v>
      </c>
      <c r="F373" s="48" t="s">
        <v>23</v>
      </c>
      <c r="G373" s="49">
        <v>0.05</v>
      </c>
      <c r="H373" s="10">
        <v>0.05</v>
      </c>
      <c r="I373" s="52">
        <v>2</v>
      </c>
      <c r="J373" s="10">
        <v>2</v>
      </c>
      <c r="K373" s="55" t="s">
        <v>30</v>
      </c>
      <c r="L373" s="57">
        <v>0.97499999999999998</v>
      </c>
      <c r="M373" s="50">
        <v>1.95</v>
      </c>
      <c r="N373" s="61"/>
      <c r="O373" s="50"/>
      <c r="P373" s="52" t="s">
        <v>20</v>
      </c>
    </row>
    <row r="374" spans="1:16" ht="15.75" customHeight="1" outlineLevel="2">
      <c r="A374" s="28">
        <v>6</v>
      </c>
      <c r="B374" s="32">
        <v>45454</v>
      </c>
      <c r="C374" s="36" t="s">
        <v>326</v>
      </c>
      <c r="D374" s="43">
        <v>1</v>
      </c>
      <c r="E374" s="48" t="s">
        <v>26</v>
      </c>
      <c r="F374" s="48" t="s">
        <v>23</v>
      </c>
      <c r="G374" s="49">
        <v>13.5</v>
      </c>
      <c r="H374" s="10">
        <v>13.5</v>
      </c>
      <c r="I374" s="52">
        <v>25</v>
      </c>
      <c r="J374" s="10">
        <v>25</v>
      </c>
      <c r="K374" s="55" t="s">
        <v>30</v>
      </c>
      <c r="L374" s="57">
        <v>0.46</v>
      </c>
      <c r="M374" s="50">
        <v>11.5</v>
      </c>
      <c r="N374" s="61"/>
      <c r="O374" s="50"/>
      <c r="P374" s="52" t="s">
        <v>20</v>
      </c>
    </row>
    <row r="375" spans="1:16" ht="15.75" customHeight="1" outlineLevel="2">
      <c r="A375" s="28">
        <v>6</v>
      </c>
      <c r="B375" s="32">
        <v>45454</v>
      </c>
      <c r="C375" s="36" t="s">
        <v>243</v>
      </c>
      <c r="D375" s="43">
        <v>1</v>
      </c>
      <c r="E375" s="48" t="s">
        <v>26</v>
      </c>
      <c r="F375" s="48" t="s">
        <v>23</v>
      </c>
      <c r="G375" s="49">
        <v>1</v>
      </c>
      <c r="H375" s="10">
        <v>1</v>
      </c>
      <c r="I375" s="52">
        <v>10</v>
      </c>
      <c r="J375" s="10">
        <v>10</v>
      </c>
      <c r="K375" s="55" t="s">
        <v>30</v>
      </c>
      <c r="L375" s="57">
        <v>0.9</v>
      </c>
      <c r="M375" s="50">
        <v>9</v>
      </c>
      <c r="N375" s="61"/>
      <c r="O375" s="50"/>
      <c r="P375" s="52" t="s">
        <v>20</v>
      </c>
    </row>
    <row r="376" spans="1:16" ht="15.75" customHeight="1" outlineLevel="2">
      <c r="A376" s="28">
        <v>6</v>
      </c>
      <c r="B376" s="32">
        <v>45454</v>
      </c>
      <c r="C376" s="36" t="s">
        <v>327</v>
      </c>
      <c r="D376" s="43">
        <v>1</v>
      </c>
      <c r="E376" s="48" t="s">
        <v>26</v>
      </c>
      <c r="F376" s="48" t="s">
        <v>23</v>
      </c>
      <c r="G376" s="49">
        <v>15</v>
      </c>
      <c r="H376" s="10">
        <v>15</v>
      </c>
      <c r="I376" s="52">
        <v>35</v>
      </c>
      <c r="J376" s="10">
        <v>35</v>
      </c>
      <c r="K376" s="55" t="s">
        <v>30</v>
      </c>
      <c r="L376" s="57">
        <v>0.5714285714285714</v>
      </c>
      <c r="M376" s="50">
        <v>20</v>
      </c>
      <c r="N376" s="61"/>
      <c r="O376" s="50"/>
      <c r="P376" s="52" t="s">
        <v>20</v>
      </c>
    </row>
    <row r="377" spans="1:16" ht="15.75" customHeight="1" outlineLevel="2">
      <c r="A377" s="28">
        <v>6</v>
      </c>
      <c r="B377" s="32">
        <v>45454</v>
      </c>
      <c r="C377" s="36" t="s">
        <v>283</v>
      </c>
      <c r="D377" s="43">
        <v>1</v>
      </c>
      <c r="E377" s="48" t="s">
        <v>312</v>
      </c>
      <c r="F377" s="48" t="s">
        <v>18</v>
      </c>
      <c r="G377" s="49">
        <v>18</v>
      </c>
      <c r="H377" s="10">
        <v>18</v>
      </c>
      <c r="I377" s="52">
        <v>25</v>
      </c>
      <c r="J377" s="10">
        <v>25</v>
      </c>
      <c r="K377" s="55"/>
      <c r="L377" s="57">
        <v>0.28000000000000003</v>
      </c>
      <c r="M377" s="50">
        <v>7</v>
      </c>
      <c r="N377" s="62"/>
      <c r="O377" s="50">
        <v>25</v>
      </c>
      <c r="P377" s="52" t="s">
        <v>135</v>
      </c>
    </row>
    <row r="378" spans="1:16" ht="15.75" customHeight="1" outlineLevel="2">
      <c r="A378" s="28">
        <v>6</v>
      </c>
      <c r="B378" s="32">
        <v>45454</v>
      </c>
      <c r="C378" s="36" t="s">
        <v>209</v>
      </c>
      <c r="D378" s="43">
        <v>1</v>
      </c>
      <c r="E378" s="48" t="s">
        <v>312</v>
      </c>
      <c r="F378" s="48" t="s">
        <v>18</v>
      </c>
      <c r="G378" s="49" t="s">
        <v>79</v>
      </c>
      <c r="H378" s="10">
        <v>0</v>
      </c>
      <c r="I378" s="52">
        <v>25</v>
      </c>
      <c r="J378" s="10">
        <v>25</v>
      </c>
      <c r="K378" s="55"/>
      <c r="L378" s="57">
        <v>1</v>
      </c>
      <c r="M378" s="50">
        <v>25</v>
      </c>
      <c r="N378" s="62"/>
      <c r="O378" s="50">
        <v>25</v>
      </c>
      <c r="P378" s="52" t="s">
        <v>135</v>
      </c>
    </row>
    <row r="379" spans="1:16" ht="15.75" customHeight="1" outlineLevel="2">
      <c r="A379" s="28">
        <v>6</v>
      </c>
      <c r="B379" s="32">
        <v>45454</v>
      </c>
      <c r="C379" s="36" t="s">
        <v>283</v>
      </c>
      <c r="D379" s="43">
        <v>1</v>
      </c>
      <c r="E379" s="48" t="s">
        <v>312</v>
      </c>
      <c r="F379" s="48" t="s">
        <v>18</v>
      </c>
      <c r="G379" s="49">
        <v>18</v>
      </c>
      <c r="H379" s="10">
        <v>18</v>
      </c>
      <c r="I379" s="52">
        <v>25</v>
      </c>
      <c r="J379" s="10">
        <v>25</v>
      </c>
      <c r="K379" s="55"/>
      <c r="L379" s="57">
        <v>0.28000000000000003</v>
      </c>
      <c r="M379" s="50">
        <v>7</v>
      </c>
      <c r="N379" s="62"/>
      <c r="O379" s="50">
        <v>25</v>
      </c>
      <c r="P379" s="52" t="s">
        <v>135</v>
      </c>
    </row>
    <row r="380" spans="1:16" ht="15.75" customHeight="1" outlineLevel="2">
      <c r="A380" s="28">
        <v>6</v>
      </c>
      <c r="B380" s="32">
        <v>45455</v>
      </c>
      <c r="C380" s="36" t="s">
        <v>146</v>
      </c>
      <c r="D380" s="43">
        <v>1</v>
      </c>
      <c r="E380" s="48" t="s">
        <v>328</v>
      </c>
      <c r="F380" s="48" t="s">
        <v>23</v>
      </c>
      <c r="G380" s="49">
        <v>7.0000000000000007E-2</v>
      </c>
      <c r="H380" s="10">
        <v>7.0000000000000007E-2</v>
      </c>
      <c r="I380" s="52">
        <v>1</v>
      </c>
      <c r="J380" s="10">
        <v>1</v>
      </c>
      <c r="K380" s="55" t="s">
        <v>71</v>
      </c>
      <c r="L380" s="57">
        <v>0.92999999999999994</v>
      </c>
      <c r="M380" s="50">
        <v>0.92999999999999994</v>
      </c>
      <c r="N380" s="61"/>
      <c r="O380" s="50"/>
      <c r="P380" s="52" t="s">
        <v>20</v>
      </c>
    </row>
    <row r="381" spans="1:16" ht="15.75" customHeight="1" outlineLevel="2">
      <c r="A381" s="28">
        <v>6</v>
      </c>
      <c r="B381" s="32">
        <v>45455</v>
      </c>
      <c r="C381" s="36" t="s">
        <v>304</v>
      </c>
      <c r="D381" s="43">
        <v>1</v>
      </c>
      <c r="E381" s="48" t="s">
        <v>328</v>
      </c>
      <c r="F381" s="48" t="s">
        <v>23</v>
      </c>
      <c r="G381" s="49">
        <v>50</v>
      </c>
      <c r="H381" s="10">
        <v>50</v>
      </c>
      <c r="I381" s="52">
        <v>100</v>
      </c>
      <c r="J381" s="10">
        <v>100</v>
      </c>
      <c r="K381" s="55" t="s">
        <v>71</v>
      </c>
      <c r="L381" s="57">
        <v>0.5</v>
      </c>
      <c r="M381" s="50">
        <v>50</v>
      </c>
      <c r="N381" s="61"/>
      <c r="O381" s="50"/>
      <c r="P381" s="52" t="s">
        <v>20</v>
      </c>
    </row>
    <row r="382" spans="1:16" ht="15.75" customHeight="1" outlineLevel="2">
      <c r="A382" s="28">
        <v>6</v>
      </c>
      <c r="B382" s="32">
        <v>45455</v>
      </c>
      <c r="C382" s="36" t="s">
        <v>329</v>
      </c>
      <c r="D382" s="43">
        <v>1</v>
      </c>
      <c r="E382" s="48" t="s">
        <v>330</v>
      </c>
      <c r="F382" s="48" t="s">
        <v>18</v>
      </c>
      <c r="G382" s="49">
        <v>15</v>
      </c>
      <c r="H382" s="10">
        <v>15</v>
      </c>
      <c r="I382" s="52">
        <v>30</v>
      </c>
      <c r="J382" s="10">
        <v>30</v>
      </c>
      <c r="K382" s="55" t="s">
        <v>30</v>
      </c>
      <c r="L382" s="57">
        <v>0.5</v>
      </c>
      <c r="M382" s="50">
        <v>15</v>
      </c>
      <c r="N382" s="61"/>
      <c r="O382" s="50"/>
      <c r="P382" s="52" t="s">
        <v>20</v>
      </c>
    </row>
    <row r="383" spans="1:16" ht="15.75" customHeight="1" outlineLevel="2">
      <c r="A383" s="28">
        <v>6</v>
      </c>
      <c r="B383" s="32">
        <v>45457</v>
      </c>
      <c r="C383" s="36" t="s">
        <v>320</v>
      </c>
      <c r="D383" s="43">
        <v>1</v>
      </c>
      <c r="E383" s="48" t="s">
        <v>26</v>
      </c>
      <c r="F383" s="48" t="s">
        <v>322</v>
      </c>
      <c r="G383" s="49">
        <v>0.05</v>
      </c>
      <c r="H383" s="10">
        <v>0.05</v>
      </c>
      <c r="I383" s="52">
        <v>2</v>
      </c>
      <c r="J383" s="10">
        <v>2</v>
      </c>
      <c r="K383" s="55" t="s">
        <v>71</v>
      </c>
      <c r="L383" s="57">
        <v>0.97499999999999998</v>
      </c>
      <c r="M383" s="50">
        <v>1.95</v>
      </c>
      <c r="N383" s="61"/>
      <c r="O383" s="50"/>
      <c r="P383" s="52" t="s">
        <v>20</v>
      </c>
    </row>
    <row r="384" spans="1:16" ht="15.75" customHeight="1" outlineLevel="2">
      <c r="A384" s="28">
        <v>6</v>
      </c>
      <c r="B384" s="32">
        <v>45458</v>
      </c>
      <c r="C384" s="36" t="s">
        <v>146</v>
      </c>
      <c r="D384" s="43">
        <v>1</v>
      </c>
      <c r="E384" s="48" t="s">
        <v>26</v>
      </c>
      <c r="F384" s="48" t="s">
        <v>23</v>
      </c>
      <c r="G384" s="49">
        <v>7.0000000000000007E-2</v>
      </c>
      <c r="H384" s="10">
        <v>7.0000000000000007E-2</v>
      </c>
      <c r="I384" s="52">
        <v>1</v>
      </c>
      <c r="J384" s="10">
        <v>1</v>
      </c>
      <c r="K384" s="55" t="s">
        <v>71</v>
      </c>
      <c r="L384" s="57">
        <v>0.92999999999999994</v>
      </c>
      <c r="M384" s="50">
        <v>0.92999999999999994</v>
      </c>
      <c r="N384" s="61"/>
      <c r="O384" s="50"/>
      <c r="P384" s="52" t="s">
        <v>20</v>
      </c>
    </row>
    <row r="385" spans="1:16" ht="15.75" customHeight="1" outlineLevel="2">
      <c r="A385" s="28">
        <v>6</v>
      </c>
      <c r="B385" s="32">
        <v>45458</v>
      </c>
      <c r="C385" s="36" t="s">
        <v>331</v>
      </c>
      <c r="D385" s="43">
        <v>3</v>
      </c>
      <c r="E385" s="48" t="s">
        <v>26</v>
      </c>
      <c r="F385" s="48" t="s">
        <v>23</v>
      </c>
      <c r="G385" s="49">
        <v>2</v>
      </c>
      <c r="H385" s="10">
        <v>6</v>
      </c>
      <c r="I385" s="52">
        <v>4</v>
      </c>
      <c r="J385" s="10">
        <v>12</v>
      </c>
      <c r="K385" s="55" t="s">
        <v>71</v>
      </c>
      <c r="L385" s="57">
        <v>0.5</v>
      </c>
      <c r="M385" s="50">
        <v>6</v>
      </c>
      <c r="N385" s="61"/>
      <c r="O385" s="50"/>
      <c r="P385" s="52" t="s">
        <v>20</v>
      </c>
    </row>
    <row r="386" spans="1:16" ht="15.75" customHeight="1" outlineLevel="2">
      <c r="A386" s="28">
        <v>6</v>
      </c>
      <c r="B386" s="32">
        <v>45458</v>
      </c>
      <c r="C386" s="36" t="s">
        <v>332</v>
      </c>
      <c r="D386" s="43">
        <v>1</v>
      </c>
      <c r="E386" s="48" t="s">
        <v>26</v>
      </c>
      <c r="F386" s="48" t="s">
        <v>23</v>
      </c>
      <c r="G386" s="49">
        <v>12.5</v>
      </c>
      <c r="H386" s="10">
        <v>12.5</v>
      </c>
      <c r="I386" s="52">
        <v>30</v>
      </c>
      <c r="J386" s="10">
        <v>30</v>
      </c>
      <c r="K386" s="55" t="s">
        <v>30</v>
      </c>
      <c r="L386" s="57">
        <v>0.58333333333333337</v>
      </c>
      <c r="M386" s="50">
        <v>17.5</v>
      </c>
      <c r="N386" s="61"/>
      <c r="O386" s="50"/>
      <c r="P386" s="52" t="s">
        <v>20</v>
      </c>
    </row>
    <row r="387" spans="1:16" ht="15.75" customHeight="1" outlineLevel="2">
      <c r="A387" s="28">
        <v>6</v>
      </c>
      <c r="B387" s="32">
        <v>45458</v>
      </c>
      <c r="C387" s="36" t="s">
        <v>333</v>
      </c>
      <c r="D387" s="43">
        <v>1</v>
      </c>
      <c r="E387" s="48" t="s">
        <v>26</v>
      </c>
      <c r="F387" s="48" t="s">
        <v>23</v>
      </c>
      <c r="G387" s="49">
        <v>6</v>
      </c>
      <c r="H387" s="10">
        <v>6</v>
      </c>
      <c r="I387" s="52">
        <v>10</v>
      </c>
      <c r="J387" s="10">
        <v>10</v>
      </c>
      <c r="K387" s="55" t="s">
        <v>30</v>
      </c>
      <c r="L387" s="57">
        <v>0.4</v>
      </c>
      <c r="M387" s="50">
        <v>4</v>
      </c>
      <c r="N387" s="61"/>
      <c r="O387" s="50"/>
      <c r="P387" s="52" t="s">
        <v>20</v>
      </c>
    </row>
    <row r="388" spans="1:16" ht="15.75" customHeight="1" outlineLevel="2">
      <c r="A388" s="28">
        <v>6</v>
      </c>
      <c r="B388" s="32">
        <v>45460</v>
      </c>
      <c r="C388" s="36" t="s">
        <v>323</v>
      </c>
      <c r="D388" s="43">
        <v>1</v>
      </c>
      <c r="E388" s="48" t="s">
        <v>26</v>
      </c>
      <c r="F388" s="48" t="s">
        <v>23</v>
      </c>
      <c r="G388" s="49">
        <v>7.0000000000000007E-2</v>
      </c>
      <c r="H388" s="10">
        <v>7.0000000000000007E-2</v>
      </c>
      <c r="I388" s="52">
        <v>1</v>
      </c>
      <c r="J388" s="10">
        <v>1</v>
      </c>
      <c r="K388" s="55" t="s">
        <v>30</v>
      </c>
      <c r="L388" s="57">
        <v>0.92999999999999994</v>
      </c>
      <c r="M388" s="50">
        <v>0.92999999999999994</v>
      </c>
      <c r="N388" s="61"/>
      <c r="O388" s="50"/>
      <c r="P388" s="52" t="s">
        <v>20</v>
      </c>
    </row>
    <row r="389" spans="1:16" ht="15.75" customHeight="1" outlineLevel="2">
      <c r="A389" s="28">
        <v>6</v>
      </c>
      <c r="B389" s="32">
        <v>45460</v>
      </c>
      <c r="C389" s="36" t="s">
        <v>320</v>
      </c>
      <c r="D389" s="43">
        <v>1</v>
      </c>
      <c r="E389" s="48" t="s">
        <v>26</v>
      </c>
      <c r="F389" s="48" t="s">
        <v>23</v>
      </c>
      <c r="G389" s="49">
        <v>0.05</v>
      </c>
      <c r="H389" s="10">
        <v>0.05</v>
      </c>
      <c r="I389" s="52">
        <v>2</v>
      </c>
      <c r="J389" s="10">
        <v>2</v>
      </c>
      <c r="K389" s="55" t="s">
        <v>30</v>
      </c>
      <c r="L389" s="57">
        <v>0.97499999999999998</v>
      </c>
      <c r="M389" s="50">
        <v>1.95</v>
      </c>
      <c r="N389" s="61"/>
      <c r="O389" s="50"/>
      <c r="P389" s="52" t="s">
        <v>20</v>
      </c>
    </row>
    <row r="390" spans="1:16" ht="15.75" customHeight="1" outlineLevel="2">
      <c r="A390" s="28">
        <v>6</v>
      </c>
      <c r="B390" s="32">
        <v>45460</v>
      </c>
      <c r="C390" s="36" t="s">
        <v>334</v>
      </c>
      <c r="D390" s="43">
        <v>1</v>
      </c>
      <c r="E390" s="48" t="s">
        <v>26</v>
      </c>
      <c r="F390" s="48" t="s">
        <v>23</v>
      </c>
      <c r="G390" s="49">
        <v>0.05</v>
      </c>
      <c r="H390" s="10">
        <v>0.05</v>
      </c>
      <c r="I390" s="52">
        <v>0.5</v>
      </c>
      <c r="J390" s="10">
        <v>0.5</v>
      </c>
      <c r="K390" s="55" t="s">
        <v>71</v>
      </c>
      <c r="L390" s="57">
        <v>0.9</v>
      </c>
      <c r="M390" s="50">
        <v>0.45</v>
      </c>
      <c r="N390" s="61"/>
      <c r="O390" s="50"/>
      <c r="P390" s="52" t="s">
        <v>20</v>
      </c>
    </row>
    <row r="391" spans="1:16" ht="15.75" customHeight="1" outlineLevel="2">
      <c r="A391" s="28">
        <v>6</v>
      </c>
      <c r="B391" s="32">
        <v>45461</v>
      </c>
      <c r="C391" s="36" t="s">
        <v>335</v>
      </c>
      <c r="D391" s="43">
        <v>1</v>
      </c>
      <c r="E391" s="48" t="s">
        <v>26</v>
      </c>
      <c r="F391" s="48" t="s">
        <v>23</v>
      </c>
      <c r="G391" s="49">
        <v>165</v>
      </c>
      <c r="H391" s="10">
        <v>165</v>
      </c>
      <c r="I391" s="52">
        <v>300</v>
      </c>
      <c r="J391" s="10">
        <v>300</v>
      </c>
      <c r="K391" s="55" t="s">
        <v>71</v>
      </c>
      <c r="L391" s="57">
        <v>0.45</v>
      </c>
      <c r="M391" s="50">
        <v>135</v>
      </c>
      <c r="N391" s="61"/>
      <c r="O391" s="50"/>
      <c r="P391" s="52" t="s">
        <v>20</v>
      </c>
    </row>
    <row r="392" spans="1:16" ht="15.75" customHeight="1" outlineLevel="2">
      <c r="A392" s="28">
        <v>6</v>
      </c>
      <c r="B392" s="32">
        <v>45462</v>
      </c>
      <c r="C392" s="36" t="s">
        <v>336</v>
      </c>
      <c r="D392" s="43">
        <v>1</v>
      </c>
      <c r="E392" s="48" t="s">
        <v>337</v>
      </c>
      <c r="F392" s="48" t="s">
        <v>23</v>
      </c>
      <c r="G392" s="49">
        <v>25</v>
      </c>
      <c r="H392" s="10">
        <v>25</v>
      </c>
      <c r="I392" s="52">
        <v>40</v>
      </c>
      <c r="J392" s="10">
        <v>40</v>
      </c>
      <c r="K392" s="55" t="s">
        <v>71</v>
      </c>
      <c r="L392" s="57">
        <v>0.375</v>
      </c>
      <c r="M392" s="50">
        <v>15</v>
      </c>
      <c r="N392" s="61"/>
      <c r="O392" s="50"/>
      <c r="P392" s="52" t="s">
        <v>20</v>
      </c>
    </row>
    <row r="393" spans="1:16" ht="15.75" customHeight="1" outlineLevel="2">
      <c r="A393" s="28">
        <v>6</v>
      </c>
      <c r="B393" s="32">
        <v>45462</v>
      </c>
      <c r="C393" s="36" t="s">
        <v>338</v>
      </c>
      <c r="D393" s="43">
        <v>1</v>
      </c>
      <c r="E393" s="48" t="s">
        <v>339</v>
      </c>
      <c r="F393" s="48" t="s">
        <v>23</v>
      </c>
      <c r="G393" s="49">
        <v>15</v>
      </c>
      <c r="H393" s="10">
        <v>15</v>
      </c>
      <c r="I393" s="52">
        <v>25</v>
      </c>
      <c r="J393" s="10">
        <v>25</v>
      </c>
      <c r="K393" s="55" t="s">
        <v>71</v>
      </c>
      <c r="L393" s="57">
        <v>0.4</v>
      </c>
      <c r="M393" s="50">
        <v>10</v>
      </c>
      <c r="N393" s="61"/>
      <c r="O393" s="50"/>
      <c r="P393" s="52" t="s">
        <v>20</v>
      </c>
    </row>
    <row r="394" spans="1:16" ht="15.75" customHeight="1" outlineLevel="2">
      <c r="A394" s="28">
        <v>6</v>
      </c>
      <c r="B394" s="32">
        <v>45462</v>
      </c>
      <c r="C394" s="36" t="s">
        <v>323</v>
      </c>
      <c r="D394" s="43">
        <v>3</v>
      </c>
      <c r="E394" s="48" t="s">
        <v>26</v>
      </c>
      <c r="F394" s="48" t="s">
        <v>23</v>
      </c>
      <c r="G394" s="49">
        <v>7.0000000000000007E-2</v>
      </c>
      <c r="H394" s="10">
        <v>0.21000000000000002</v>
      </c>
      <c r="I394" s="52">
        <v>1</v>
      </c>
      <c r="J394" s="10">
        <v>3</v>
      </c>
      <c r="K394" s="55" t="s">
        <v>30</v>
      </c>
      <c r="L394" s="57">
        <v>0.93</v>
      </c>
      <c r="M394" s="50">
        <v>2.79</v>
      </c>
      <c r="N394" s="61"/>
      <c r="O394" s="50"/>
      <c r="P394" s="52" t="s">
        <v>20</v>
      </c>
    </row>
    <row r="395" spans="1:16" ht="15.75" customHeight="1" outlineLevel="2">
      <c r="A395" s="28">
        <v>6</v>
      </c>
      <c r="B395" s="32">
        <v>45462</v>
      </c>
      <c r="C395" s="36" t="s">
        <v>193</v>
      </c>
      <c r="D395" s="43">
        <v>1</v>
      </c>
      <c r="E395" s="48" t="s">
        <v>147</v>
      </c>
      <c r="F395" s="48" t="s">
        <v>23</v>
      </c>
      <c r="G395" s="49">
        <v>11</v>
      </c>
      <c r="H395" s="10">
        <v>11</v>
      </c>
      <c r="I395" s="52">
        <v>20</v>
      </c>
      <c r="J395" s="10">
        <v>20</v>
      </c>
      <c r="K395" s="55"/>
      <c r="L395" s="57">
        <v>0.45</v>
      </c>
      <c r="M395" s="50">
        <v>9</v>
      </c>
      <c r="N395" s="61"/>
      <c r="O395" s="50"/>
      <c r="P395" s="52" t="s">
        <v>311</v>
      </c>
    </row>
    <row r="396" spans="1:16" ht="15.75" customHeight="1" outlineLevel="2">
      <c r="A396" s="28">
        <v>6</v>
      </c>
      <c r="B396" s="32">
        <v>45462</v>
      </c>
      <c r="C396" s="36" t="s">
        <v>323</v>
      </c>
      <c r="D396" s="43">
        <v>1</v>
      </c>
      <c r="E396" s="48" t="s">
        <v>26</v>
      </c>
      <c r="F396" s="48" t="s">
        <v>23</v>
      </c>
      <c r="G396" s="49">
        <v>7.0000000000000007E-2</v>
      </c>
      <c r="H396" s="10">
        <v>7.0000000000000007E-2</v>
      </c>
      <c r="I396" s="52">
        <v>1</v>
      </c>
      <c r="J396" s="10">
        <v>1</v>
      </c>
      <c r="K396" s="55" t="s">
        <v>30</v>
      </c>
      <c r="L396" s="57">
        <v>0.92999999999999994</v>
      </c>
      <c r="M396" s="50">
        <v>0.92999999999999994</v>
      </c>
      <c r="N396" s="61"/>
      <c r="O396" s="50"/>
      <c r="P396" s="52" t="s">
        <v>20</v>
      </c>
    </row>
    <row r="397" spans="1:16" ht="15.75" customHeight="1" outlineLevel="2">
      <c r="A397" s="28">
        <v>6</v>
      </c>
      <c r="B397" s="32">
        <v>45463</v>
      </c>
      <c r="C397" s="36" t="s">
        <v>127</v>
      </c>
      <c r="D397" s="43">
        <v>2</v>
      </c>
      <c r="E397" s="48" t="s">
        <v>340</v>
      </c>
      <c r="F397" s="48" t="s">
        <v>23</v>
      </c>
      <c r="G397" s="49">
        <v>2.5</v>
      </c>
      <c r="H397" s="10">
        <v>5</v>
      </c>
      <c r="I397" s="52">
        <v>10</v>
      </c>
      <c r="J397" s="10">
        <v>20</v>
      </c>
      <c r="K397" s="55"/>
      <c r="L397" s="57">
        <v>0.75</v>
      </c>
      <c r="M397" s="50">
        <v>15</v>
      </c>
      <c r="N397" s="61"/>
      <c r="O397" s="50"/>
      <c r="P397" s="52" t="s">
        <v>311</v>
      </c>
    </row>
    <row r="398" spans="1:16" ht="15.75" customHeight="1" outlineLevel="2">
      <c r="A398" s="28">
        <v>6</v>
      </c>
      <c r="B398" s="32">
        <v>45463</v>
      </c>
      <c r="C398" s="36" t="s">
        <v>341</v>
      </c>
      <c r="D398" s="43">
        <v>2</v>
      </c>
      <c r="E398" s="48" t="s">
        <v>340</v>
      </c>
      <c r="F398" s="48" t="s">
        <v>23</v>
      </c>
      <c r="G398" s="49">
        <v>10</v>
      </c>
      <c r="H398" s="10">
        <v>20</v>
      </c>
      <c r="I398" s="52">
        <v>15</v>
      </c>
      <c r="J398" s="10">
        <v>30</v>
      </c>
      <c r="K398" s="55"/>
      <c r="L398" s="57">
        <v>0.33333333333333331</v>
      </c>
      <c r="M398" s="50">
        <v>10</v>
      </c>
      <c r="N398" s="61"/>
      <c r="O398" s="50"/>
      <c r="P398" s="52" t="s">
        <v>311</v>
      </c>
    </row>
    <row r="399" spans="1:16" ht="15.75" customHeight="1" outlineLevel="2">
      <c r="A399" s="28">
        <v>6</v>
      </c>
      <c r="B399" s="32">
        <v>45463</v>
      </c>
      <c r="C399" s="36" t="s">
        <v>334</v>
      </c>
      <c r="D399" s="43">
        <v>1</v>
      </c>
      <c r="E399" s="48" t="s">
        <v>26</v>
      </c>
      <c r="F399" s="48" t="s">
        <v>23</v>
      </c>
      <c r="G399" s="49">
        <v>0.05</v>
      </c>
      <c r="H399" s="10">
        <v>0.05</v>
      </c>
      <c r="I399" s="52">
        <v>0.5</v>
      </c>
      <c r="J399" s="10">
        <v>0.5</v>
      </c>
      <c r="K399" s="55" t="s">
        <v>71</v>
      </c>
      <c r="L399" s="57">
        <v>0.9</v>
      </c>
      <c r="M399" s="50">
        <v>0.45</v>
      </c>
      <c r="N399" s="61"/>
      <c r="O399" s="50"/>
      <c r="P399" s="52" t="s">
        <v>311</v>
      </c>
    </row>
    <row r="400" spans="1:16" ht="15.75" customHeight="1" outlineLevel="2">
      <c r="A400" s="28">
        <v>6</v>
      </c>
      <c r="B400" s="32">
        <v>45464</v>
      </c>
      <c r="C400" s="36" t="s">
        <v>55</v>
      </c>
      <c r="D400" s="43">
        <v>1</v>
      </c>
      <c r="E400" s="48" t="s">
        <v>342</v>
      </c>
      <c r="F400" s="48" t="s">
        <v>23</v>
      </c>
      <c r="G400" s="49">
        <v>3</v>
      </c>
      <c r="H400" s="10">
        <v>3</v>
      </c>
      <c r="I400" s="52">
        <v>15</v>
      </c>
      <c r="J400" s="10">
        <v>15</v>
      </c>
      <c r="K400" s="55"/>
      <c r="L400" s="57">
        <v>0.8</v>
      </c>
      <c r="M400" s="50">
        <v>12</v>
      </c>
      <c r="N400" s="61"/>
      <c r="O400" s="50"/>
      <c r="P400" s="52" t="s">
        <v>311</v>
      </c>
    </row>
    <row r="401" spans="1:16" ht="15.75" customHeight="1" outlineLevel="2">
      <c r="A401" s="28">
        <v>6</v>
      </c>
      <c r="B401" s="32">
        <v>45464</v>
      </c>
      <c r="C401" s="36" t="s">
        <v>343</v>
      </c>
      <c r="D401" s="43">
        <v>1</v>
      </c>
      <c r="E401" s="48" t="s">
        <v>342</v>
      </c>
      <c r="F401" s="48" t="s">
        <v>23</v>
      </c>
      <c r="G401" s="49">
        <v>3</v>
      </c>
      <c r="H401" s="10">
        <v>3</v>
      </c>
      <c r="I401" s="52">
        <v>15</v>
      </c>
      <c r="J401" s="10">
        <v>15</v>
      </c>
      <c r="K401" s="55" t="s">
        <v>71</v>
      </c>
      <c r="L401" s="57">
        <v>0.8</v>
      </c>
      <c r="M401" s="50">
        <v>12</v>
      </c>
      <c r="N401" s="61"/>
      <c r="O401" s="50"/>
      <c r="P401" s="52" t="s">
        <v>311</v>
      </c>
    </row>
    <row r="402" spans="1:16" ht="15.75" customHeight="1" outlineLevel="2">
      <c r="A402" s="28">
        <v>6</v>
      </c>
      <c r="B402" s="32">
        <v>45464</v>
      </c>
      <c r="C402" s="36" t="s">
        <v>341</v>
      </c>
      <c r="D402" s="43">
        <v>1</v>
      </c>
      <c r="E402" s="48" t="s">
        <v>344</v>
      </c>
      <c r="F402" s="48" t="s">
        <v>23</v>
      </c>
      <c r="G402" s="49">
        <v>10</v>
      </c>
      <c r="H402" s="10">
        <v>10</v>
      </c>
      <c r="I402" s="52">
        <v>10</v>
      </c>
      <c r="J402" s="10">
        <v>10</v>
      </c>
      <c r="K402" s="55"/>
      <c r="L402" s="57">
        <v>0</v>
      </c>
      <c r="M402" s="50">
        <v>0</v>
      </c>
      <c r="N402" s="61"/>
      <c r="O402" s="50"/>
      <c r="P402" s="52" t="s">
        <v>20</v>
      </c>
    </row>
    <row r="403" spans="1:16" ht="15.75" customHeight="1" outlineLevel="2">
      <c r="A403" s="28">
        <v>6</v>
      </c>
      <c r="B403" s="32">
        <v>45464</v>
      </c>
      <c r="C403" s="36" t="s">
        <v>323</v>
      </c>
      <c r="D403" s="43">
        <v>1</v>
      </c>
      <c r="E403" s="48" t="s">
        <v>26</v>
      </c>
      <c r="F403" s="48" t="s">
        <v>23</v>
      </c>
      <c r="G403" s="49">
        <v>7.0000000000000007E-2</v>
      </c>
      <c r="H403" s="10">
        <v>7.0000000000000007E-2</v>
      </c>
      <c r="I403" s="52">
        <v>1</v>
      </c>
      <c r="J403" s="10">
        <v>1</v>
      </c>
      <c r="K403" s="55" t="s">
        <v>30</v>
      </c>
      <c r="L403" s="57">
        <v>0.92999999999999994</v>
      </c>
      <c r="M403" s="50">
        <v>0.92999999999999994</v>
      </c>
      <c r="N403" s="61"/>
      <c r="O403" s="50"/>
      <c r="P403" s="52" t="s">
        <v>20</v>
      </c>
    </row>
    <row r="404" spans="1:16" ht="15.75" customHeight="1" outlineLevel="2">
      <c r="A404" s="28">
        <v>6</v>
      </c>
      <c r="B404" s="32">
        <v>45464</v>
      </c>
      <c r="C404" s="36" t="s">
        <v>323</v>
      </c>
      <c r="D404" s="43">
        <v>2</v>
      </c>
      <c r="E404" s="48" t="s">
        <v>26</v>
      </c>
      <c r="F404" s="48" t="s">
        <v>23</v>
      </c>
      <c r="G404" s="49">
        <v>7.0000000000000007E-2</v>
      </c>
      <c r="H404" s="10">
        <v>0.14000000000000001</v>
      </c>
      <c r="I404" s="52">
        <v>1</v>
      </c>
      <c r="J404" s="10">
        <v>2</v>
      </c>
      <c r="K404" s="55"/>
      <c r="L404" s="57">
        <v>0.92999999999999994</v>
      </c>
      <c r="M404" s="50">
        <v>1.8599999999999999</v>
      </c>
      <c r="N404" s="61"/>
      <c r="O404" s="50"/>
      <c r="P404" s="52" t="s">
        <v>20</v>
      </c>
    </row>
    <row r="405" spans="1:16" ht="15.75" customHeight="1" outlineLevel="2">
      <c r="A405" s="28">
        <v>6</v>
      </c>
      <c r="B405" s="32">
        <v>45465</v>
      </c>
      <c r="C405" s="36" t="s">
        <v>323</v>
      </c>
      <c r="D405" s="43">
        <v>1</v>
      </c>
      <c r="E405" s="48" t="s">
        <v>26</v>
      </c>
      <c r="F405" s="48" t="s">
        <v>23</v>
      </c>
      <c r="G405" s="49">
        <v>7.0000000000000007E-2</v>
      </c>
      <c r="H405" s="10">
        <v>7.0000000000000007E-2</v>
      </c>
      <c r="I405" s="52">
        <v>1</v>
      </c>
      <c r="J405" s="10">
        <v>1</v>
      </c>
      <c r="K405" s="55"/>
      <c r="L405" s="57">
        <v>0.92999999999999994</v>
      </c>
      <c r="M405" s="50">
        <v>0.92999999999999994</v>
      </c>
      <c r="N405" s="61"/>
      <c r="O405" s="50"/>
      <c r="P405" s="52" t="s">
        <v>20</v>
      </c>
    </row>
    <row r="406" spans="1:16" ht="15.75" customHeight="1" outlineLevel="2">
      <c r="A406" s="28">
        <v>6</v>
      </c>
      <c r="B406" s="32">
        <v>45467</v>
      </c>
      <c r="C406" s="36" t="s">
        <v>334</v>
      </c>
      <c r="D406" s="43">
        <v>3</v>
      </c>
      <c r="E406" s="48" t="s">
        <v>26</v>
      </c>
      <c r="F406" s="48" t="s">
        <v>23</v>
      </c>
      <c r="G406" s="49">
        <v>0.05</v>
      </c>
      <c r="H406" s="10">
        <v>0.15000000000000002</v>
      </c>
      <c r="I406" s="52">
        <v>1</v>
      </c>
      <c r="J406" s="10">
        <v>3</v>
      </c>
      <c r="K406" s="55" t="s">
        <v>30</v>
      </c>
      <c r="L406" s="57">
        <v>0.95000000000000007</v>
      </c>
      <c r="M406" s="50">
        <v>2.85</v>
      </c>
      <c r="N406" s="61"/>
      <c r="O406" s="50"/>
      <c r="P406" s="52" t="s">
        <v>20</v>
      </c>
    </row>
    <row r="407" spans="1:16" ht="15.75" customHeight="1" outlineLevel="2">
      <c r="A407" s="28">
        <v>6</v>
      </c>
      <c r="B407" s="32">
        <v>45468</v>
      </c>
      <c r="C407" s="36" t="s">
        <v>345</v>
      </c>
      <c r="D407" s="43">
        <v>44</v>
      </c>
      <c r="E407" s="48" t="s">
        <v>328</v>
      </c>
      <c r="F407" s="48" t="s">
        <v>23</v>
      </c>
      <c r="G407" s="49">
        <v>0.05</v>
      </c>
      <c r="H407" s="10">
        <v>2.2000000000000002</v>
      </c>
      <c r="I407" s="52">
        <v>1.3640000000000001</v>
      </c>
      <c r="J407" s="10">
        <v>60.016000000000005</v>
      </c>
      <c r="K407" s="55" t="s">
        <v>346</v>
      </c>
      <c r="L407" s="57">
        <v>0.96334310850439875</v>
      </c>
      <c r="M407" s="50">
        <v>57.816000000000003</v>
      </c>
      <c r="N407" s="61"/>
      <c r="O407" s="50"/>
      <c r="P407" s="52" t="s">
        <v>20</v>
      </c>
    </row>
    <row r="408" spans="1:16" ht="15.75" customHeight="1" outlineLevel="2">
      <c r="A408" s="28">
        <v>6</v>
      </c>
      <c r="B408" s="32">
        <v>45469</v>
      </c>
      <c r="C408" s="36" t="s">
        <v>345</v>
      </c>
      <c r="D408" s="43">
        <v>24</v>
      </c>
      <c r="E408" s="48" t="s">
        <v>328</v>
      </c>
      <c r="F408" s="48" t="s">
        <v>23</v>
      </c>
      <c r="G408" s="49">
        <v>0.05</v>
      </c>
      <c r="H408" s="10">
        <v>1.2000000000000002</v>
      </c>
      <c r="I408" s="52">
        <v>1.67</v>
      </c>
      <c r="J408" s="10">
        <v>40.08</v>
      </c>
      <c r="K408" s="55" t="s">
        <v>346</v>
      </c>
      <c r="L408" s="57">
        <v>0.97005988023952083</v>
      </c>
      <c r="M408" s="50">
        <v>38.879999999999995</v>
      </c>
      <c r="N408" s="61"/>
      <c r="O408" s="50"/>
      <c r="P408" s="52" t="s">
        <v>20</v>
      </c>
    </row>
    <row r="409" spans="1:16" ht="15.75" customHeight="1" outlineLevel="2">
      <c r="A409" s="28">
        <v>6</v>
      </c>
      <c r="B409" s="32">
        <v>45469</v>
      </c>
      <c r="C409" s="36" t="s">
        <v>347</v>
      </c>
      <c r="D409" s="43">
        <v>1</v>
      </c>
      <c r="E409" s="48" t="s">
        <v>342</v>
      </c>
      <c r="F409" s="48" t="s">
        <v>23</v>
      </c>
      <c r="G409" s="49">
        <v>60</v>
      </c>
      <c r="H409" s="10">
        <v>60</v>
      </c>
      <c r="I409" s="52">
        <v>100</v>
      </c>
      <c r="J409" s="10">
        <v>100</v>
      </c>
      <c r="K409" s="55"/>
      <c r="L409" s="57">
        <v>0.4</v>
      </c>
      <c r="M409" s="50">
        <v>40</v>
      </c>
      <c r="N409" s="61"/>
      <c r="O409" s="50"/>
      <c r="P409" s="52" t="s">
        <v>20</v>
      </c>
    </row>
    <row r="410" spans="1:16" ht="15.75" customHeight="1" outlineLevel="2">
      <c r="A410" s="28">
        <v>6</v>
      </c>
      <c r="B410" s="32">
        <v>45470</v>
      </c>
      <c r="C410" s="36" t="s">
        <v>345</v>
      </c>
      <c r="D410" s="43">
        <v>5</v>
      </c>
      <c r="E410" s="48" t="s">
        <v>328</v>
      </c>
      <c r="F410" s="48" t="s">
        <v>23</v>
      </c>
      <c r="G410" s="49">
        <v>0.05</v>
      </c>
      <c r="H410" s="10">
        <v>0.25</v>
      </c>
      <c r="I410" s="52">
        <v>2</v>
      </c>
      <c r="J410" s="10">
        <v>10</v>
      </c>
      <c r="K410" s="55" t="s">
        <v>346</v>
      </c>
      <c r="L410" s="57">
        <v>0.97499999999999998</v>
      </c>
      <c r="M410" s="50">
        <v>9.75</v>
      </c>
      <c r="N410" s="61"/>
      <c r="O410" s="50"/>
      <c r="P410" s="52" t="s">
        <v>20</v>
      </c>
    </row>
    <row r="411" spans="1:16" ht="15.75" customHeight="1" outlineLevel="2">
      <c r="A411" s="28">
        <v>6</v>
      </c>
      <c r="B411" s="32">
        <v>45471</v>
      </c>
      <c r="C411" s="36" t="s">
        <v>16</v>
      </c>
      <c r="D411" s="43">
        <v>1</v>
      </c>
      <c r="E411" s="48" t="s">
        <v>26</v>
      </c>
      <c r="F411" s="48" t="s">
        <v>23</v>
      </c>
      <c r="G411" s="49">
        <v>7</v>
      </c>
      <c r="H411" s="10">
        <v>7</v>
      </c>
      <c r="I411" s="52">
        <v>20</v>
      </c>
      <c r="J411" s="10">
        <v>20</v>
      </c>
      <c r="K411" s="55" t="s">
        <v>317</v>
      </c>
      <c r="L411" s="57">
        <v>0.65</v>
      </c>
      <c r="M411" s="50">
        <v>13</v>
      </c>
      <c r="N411" s="61"/>
      <c r="O411" s="50"/>
      <c r="P411" s="52" t="s">
        <v>20</v>
      </c>
    </row>
    <row r="412" spans="1:16" ht="15.75" customHeight="1" outlineLevel="2">
      <c r="A412" s="28">
        <v>6</v>
      </c>
      <c r="B412" s="32">
        <v>45472</v>
      </c>
      <c r="C412" s="36" t="s">
        <v>199</v>
      </c>
      <c r="D412" s="43">
        <v>1</v>
      </c>
      <c r="E412" s="48" t="s">
        <v>348</v>
      </c>
      <c r="F412" s="48" t="s">
        <v>23</v>
      </c>
      <c r="G412" s="49">
        <v>99.9</v>
      </c>
      <c r="H412" s="10">
        <v>99.9</v>
      </c>
      <c r="I412" s="52">
        <v>290</v>
      </c>
      <c r="J412" s="10">
        <v>290</v>
      </c>
      <c r="K412" s="55" t="s">
        <v>317</v>
      </c>
      <c r="L412" s="57">
        <v>0.65551724137931033</v>
      </c>
      <c r="M412" s="50">
        <v>190.1</v>
      </c>
      <c r="N412" s="61"/>
      <c r="O412" s="50"/>
      <c r="P412" s="52" t="s">
        <v>20</v>
      </c>
    </row>
    <row r="413" spans="1:16" ht="15.75" customHeight="1">
      <c r="A413" s="28">
        <v>6</v>
      </c>
      <c r="B413" s="32">
        <v>45472</v>
      </c>
      <c r="C413" s="36" t="s">
        <v>349</v>
      </c>
      <c r="D413" s="43">
        <v>1</v>
      </c>
      <c r="E413" s="48" t="s">
        <v>350</v>
      </c>
      <c r="F413" s="48" t="s">
        <v>23</v>
      </c>
      <c r="G413" s="49">
        <v>40</v>
      </c>
      <c r="H413" s="10">
        <v>40</v>
      </c>
      <c r="I413" s="52">
        <v>50</v>
      </c>
      <c r="J413" s="10">
        <v>50</v>
      </c>
      <c r="K413" s="55" t="s">
        <v>317</v>
      </c>
      <c r="L413" s="57">
        <v>0.2</v>
      </c>
      <c r="M413" s="50">
        <v>10</v>
      </c>
      <c r="N413" s="64"/>
      <c r="O413" s="50"/>
      <c r="P413" s="52" t="s">
        <v>20</v>
      </c>
    </row>
    <row r="414" spans="1:16" ht="15.75" customHeight="1" outlineLevel="1">
      <c r="A414" s="28">
        <v>7</v>
      </c>
      <c r="B414" s="32">
        <v>45474</v>
      </c>
      <c r="C414" s="36" t="s">
        <v>146</v>
      </c>
      <c r="D414" s="43">
        <v>7</v>
      </c>
      <c r="E414" s="48" t="s">
        <v>26</v>
      </c>
      <c r="F414" s="48" t="s">
        <v>23</v>
      </c>
      <c r="G414" s="49">
        <v>7.0000000000000007E-2</v>
      </c>
      <c r="H414" s="10">
        <v>0.49000000000000005</v>
      </c>
      <c r="I414" s="52">
        <v>1</v>
      </c>
      <c r="J414" s="10">
        <v>7</v>
      </c>
      <c r="K414" s="55" t="s">
        <v>317</v>
      </c>
      <c r="L414" s="57">
        <v>0.92999999999999994</v>
      </c>
      <c r="M414" s="50">
        <v>6.51</v>
      </c>
      <c r="N414" s="61"/>
      <c r="O414" s="50"/>
      <c r="P414" s="52" t="s">
        <v>20</v>
      </c>
    </row>
    <row r="415" spans="1:16" ht="15.75" customHeight="1" outlineLevel="1">
      <c r="A415" s="28">
        <v>7</v>
      </c>
      <c r="B415" s="32">
        <v>45474</v>
      </c>
      <c r="C415" s="36" t="s">
        <v>351</v>
      </c>
      <c r="D415" s="43">
        <v>32</v>
      </c>
      <c r="E415" s="48" t="s">
        <v>26</v>
      </c>
      <c r="F415" s="48" t="s">
        <v>23</v>
      </c>
      <c r="G415" s="49">
        <v>0.05</v>
      </c>
      <c r="H415" s="10">
        <v>1.6</v>
      </c>
      <c r="I415" s="52">
        <v>1.5625</v>
      </c>
      <c r="J415" s="10">
        <v>50</v>
      </c>
      <c r="K415" s="55" t="s">
        <v>317</v>
      </c>
      <c r="L415" s="57">
        <v>0.96799999999999997</v>
      </c>
      <c r="M415" s="50">
        <v>48.4</v>
      </c>
      <c r="N415" s="61"/>
      <c r="O415" s="50"/>
      <c r="P415" s="52" t="s">
        <v>20</v>
      </c>
    </row>
    <row r="416" spans="1:16" ht="15.75" customHeight="1" outlineLevel="1">
      <c r="A416" s="28">
        <v>7</v>
      </c>
      <c r="B416" s="32">
        <v>45475</v>
      </c>
      <c r="C416" s="36" t="s">
        <v>351</v>
      </c>
      <c r="D416" s="43">
        <v>2</v>
      </c>
      <c r="E416" s="48" t="s">
        <v>328</v>
      </c>
      <c r="F416" s="48" t="s">
        <v>322</v>
      </c>
      <c r="G416" s="49">
        <v>0.05</v>
      </c>
      <c r="H416" s="10">
        <v>0.1</v>
      </c>
      <c r="I416" s="52">
        <v>2</v>
      </c>
      <c r="J416" s="10">
        <v>4</v>
      </c>
      <c r="K416" s="55" t="s">
        <v>71</v>
      </c>
      <c r="L416" s="57">
        <v>0.97499999999999998</v>
      </c>
      <c r="M416" s="50">
        <v>3.9</v>
      </c>
      <c r="N416" s="61"/>
      <c r="O416" s="50"/>
      <c r="P416" s="52" t="s">
        <v>20</v>
      </c>
    </row>
    <row r="417" spans="1:16" ht="15.75" customHeight="1" outlineLevel="1">
      <c r="A417" s="28">
        <v>7</v>
      </c>
      <c r="B417" s="32">
        <v>45475</v>
      </c>
      <c r="C417" s="36" t="s">
        <v>351</v>
      </c>
      <c r="D417" s="43">
        <v>10</v>
      </c>
      <c r="E417" s="48" t="s">
        <v>328</v>
      </c>
      <c r="F417" s="48" t="s">
        <v>322</v>
      </c>
      <c r="G417" s="49">
        <v>0.05</v>
      </c>
      <c r="H417" s="10">
        <v>0.5</v>
      </c>
      <c r="I417" s="52">
        <v>1.5</v>
      </c>
      <c r="J417" s="10">
        <v>15</v>
      </c>
      <c r="K417" s="55" t="s">
        <v>71</v>
      </c>
      <c r="L417" s="57">
        <v>0.96666666666666667</v>
      </c>
      <c r="M417" s="50">
        <v>14.5</v>
      </c>
      <c r="N417" s="61"/>
      <c r="O417" s="50"/>
      <c r="P417" s="52" t="s">
        <v>20</v>
      </c>
    </row>
    <row r="418" spans="1:16" ht="15.75" customHeight="1" outlineLevel="1">
      <c r="A418" s="28">
        <v>7</v>
      </c>
      <c r="B418" s="32">
        <v>45475</v>
      </c>
      <c r="C418" s="36" t="s">
        <v>269</v>
      </c>
      <c r="D418" s="43">
        <v>2</v>
      </c>
      <c r="E418" s="48" t="s">
        <v>189</v>
      </c>
      <c r="F418" s="48" t="s">
        <v>23</v>
      </c>
      <c r="G418" s="49">
        <v>18</v>
      </c>
      <c r="H418" s="10">
        <v>36</v>
      </c>
      <c r="I418" s="52">
        <v>40</v>
      </c>
      <c r="J418" s="10">
        <v>80</v>
      </c>
      <c r="K418" s="55" t="s">
        <v>71</v>
      </c>
      <c r="L418" s="57">
        <v>0.55000000000000004</v>
      </c>
      <c r="M418" s="50">
        <v>44</v>
      </c>
      <c r="N418" s="61"/>
      <c r="O418" s="50"/>
      <c r="P418" s="52" t="s">
        <v>20</v>
      </c>
    </row>
    <row r="419" spans="1:16" ht="15.75" customHeight="1" outlineLevel="1">
      <c r="A419" s="28">
        <v>7</v>
      </c>
      <c r="B419" s="32">
        <v>45475</v>
      </c>
      <c r="C419" s="36" t="s">
        <v>352</v>
      </c>
      <c r="D419" s="43">
        <v>1</v>
      </c>
      <c r="E419" s="48" t="s">
        <v>353</v>
      </c>
      <c r="F419" s="48" t="s">
        <v>23</v>
      </c>
      <c r="G419" s="49">
        <v>7</v>
      </c>
      <c r="H419" s="10">
        <v>7</v>
      </c>
      <c r="I419" s="52">
        <v>15</v>
      </c>
      <c r="J419" s="10">
        <v>15</v>
      </c>
      <c r="K419" s="55" t="s">
        <v>71</v>
      </c>
      <c r="L419" s="57">
        <v>0.53333333333333333</v>
      </c>
      <c r="M419" s="50">
        <v>8</v>
      </c>
      <c r="N419" s="61"/>
      <c r="O419" s="50"/>
      <c r="P419" s="52" t="s">
        <v>20</v>
      </c>
    </row>
    <row r="420" spans="1:16" ht="15.75" customHeight="1" outlineLevel="1">
      <c r="A420" s="28">
        <v>7</v>
      </c>
      <c r="B420" s="32">
        <v>45475</v>
      </c>
      <c r="C420" s="36" t="s">
        <v>204</v>
      </c>
      <c r="D420" s="43">
        <v>1</v>
      </c>
      <c r="E420" s="48" t="s">
        <v>353</v>
      </c>
      <c r="F420" s="48" t="s">
        <v>23</v>
      </c>
      <c r="G420" s="49">
        <v>6</v>
      </c>
      <c r="H420" s="10">
        <v>6</v>
      </c>
      <c r="I420" s="52">
        <v>10</v>
      </c>
      <c r="J420" s="10">
        <v>10</v>
      </c>
      <c r="K420" s="55" t="s">
        <v>71</v>
      </c>
      <c r="L420" s="57">
        <v>0.4</v>
      </c>
      <c r="M420" s="50">
        <v>4</v>
      </c>
      <c r="N420" s="61"/>
      <c r="O420" s="50"/>
      <c r="P420" s="52" t="s">
        <v>20</v>
      </c>
    </row>
    <row r="421" spans="1:16" ht="15.75" customHeight="1" outlineLevel="1">
      <c r="A421" s="28">
        <v>7</v>
      </c>
      <c r="B421" s="32">
        <v>45476</v>
      </c>
      <c r="C421" s="36" t="s">
        <v>279</v>
      </c>
      <c r="D421" s="43">
        <v>1</v>
      </c>
      <c r="E421" s="48" t="s">
        <v>340</v>
      </c>
      <c r="F421" s="48" t="s">
        <v>23</v>
      </c>
      <c r="G421" s="49">
        <v>0</v>
      </c>
      <c r="H421" s="10">
        <v>0</v>
      </c>
      <c r="I421" s="52">
        <v>60</v>
      </c>
      <c r="J421" s="10">
        <v>60</v>
      </c>
      <c r="K421" s="55"/>
      <c r="L421" s="57">
        <v>1</v>
      </c>
      <c r="M421" s="50">
        <v>60</v>
      </c>
      <c r="N421" s="61"/>
      <c r="O421" s="50"/>
      <c r="P421" s="52" t="s">
        <v>20</v>
      </c>
    </row>
    <row r="422" spans="1:16" ht="15.75" customHeight="1" outlineLevel="1">
      <c r="A422" s="28">
        <v>7</v>
      </c>
      <c r="B422" s="32">
        <v>45476</v>
      </c>
      <c r="C422" s="36" t="s">
        <v>146</v>
      </c>
      <c r="D422" s="43">
        <v>8</v>
      </c>
      <c r="E422" s="48" t="s">
        <v>26</v>
      </c>
      <c r="F422" s="48" t="s">
        <v>23</v>
      </c>
      <c r="G422" s="49">
        <v>7.0000000000000007E-2</v>
      </c>
      <c r="H422" s="10">
        <v>0.56000000000000005</v>
      </c>
      <c r="I422" s="52">
        <v>1</v>
      </c>
      <c r="J422" s="10">
        <v>8</v>
      </c>
      <c r="K422" s="55" t="s">
        <v>317</v>
      </c>
      <c r="L422" s="57">
        <v>0.92999999999999994</v>
      </c>
      <c r="M422" s="50">
        <v>7.4399999999999995</v>
      </c>
      <c r="N422" s="61"/>
      <c r="O422" s="50"/>
      <c r="P422" s="52" t="s">
        <v>20</v>
      </c>
    </row>
    <row r="423" spans="1:16" ht="15.75" customHeight="1" outlineLevel="1">
      <c r="A423" s="28">
        <v>7</v>
      </c>
      <c r="B423" s="32">
        <v>45477</v>
      </c>
      <c r="C423" s="36" t="s">
        <v>243</v>
      </c>
      <c r="D423" s="43">
        <v>2</v>
      </c>
      <c r="E423" s="48" t="s">
        <v>26</v>
      </c>
      <c r="F423" s="48" t="s">
        <v>23</v>
      </c>
      <c r="G423" s="49">
        <v>1</v>
      </c>
      <c r="H423" s="10">
        <v>2</v>
      </c>
      <c r="I423" s="52">
        <v>20</v>
      </c>
      <c r="J423" s="10">
        <v>40</v>
      </c>
      <c r="K423" s="55" t="s">
        <v>71</v>
      </c>
      <c r="L423" s="57">
        <v>0.95</v>
      </c>
      <c r="M423" s="50">
        <v>38</v>
      </c>
      <c r="N423" s="61"/>
      <c r="O423" s="50"/>
      <c r="P423" s="52" t="s">
        <v>20</v>
      </c>
    </row>
    <row r="424" spans="1:16" ht="15.75" customHeight="1" outlineLevel="1">
      <c r="A424" s="28">
        <v>7</v>
      </c>
      <c r="B424" s="32">
        <v>45477</v>
      </c>
      <c r="C424" s="36" t="s">
        <v>55</v>
      </c>
      <c r="D424" s="43">
        <v>1</v>
      </c>
      <c r="E424" s="48" t="s">
        <v>301</v>
      </c>
      <c r="F424" s="48" t="s">
        <v>23</v>
      </c>
      <c r="G424" s="49">
        <v>3</v>
      </c>
      <c r="H424" s="10">
        <v>3</v>
      </c>
      <c r="I424" s="52">
        <v>15</v>
      </c>
      <c r="J424" s="10">
        <v>15</v>
      </c>
      <c r="K424" s="55" t="s">
        <v>71</v>
      </c>
      <c r="L424" s="57">
        <v>0.8</v>
      </c>
      <c r="M424" s="50">
        <v>12</v>
      </c>
      <c r="N424" s="61"/>
      <c r="O424" s="50"/>
      <c r="P424" s="52" t="s">
        <v>20</v>
      </c>
    </row>
    <row r="425" spans="1:16" ht="15.75" customHeight="1" outlineLevel="1">
      <c r="A425" s="28">
        <v>7</v>
      </c>
      <c r="B425" s="32">
        <v>45477</v>
      </c>
      <c r="C425" s="36" t="s">
        <v>354</v>
      </c>
      <c r="D425" s="43">
        <v>1</v>
      </c>
      <c r="E425" s="48" t="s">
        <v>301</v>
      </c>
      <c r="F425" s="48" t="s">
        <v>23</v>
      </c>
      <c r="G425" s="49">
        <v>3.5</v>
      </c>
      <c r="H425" s="10">
        <v>3.5</v>
      </c>
      <c r="I425" s="52">
        <v>10</v>
      </c>
      <c r="J425" s="10">
        <v>10</v>
      </c>
      <c r="K425" s="55" t="s">
        <v>71</v>
      </c>
      <c r="L425" s="57">
        <v>0.65</v>
      </c>
      <c r="M425" s="50">
        <v>6.5</v>
      </c>
      <c r="N425" s="61"/>
      <c r="O425" s="50"/>
      <c r="P425" s="52" t="s">
        <v>20</v>
      </c>
    </row>
    <row r="426" spans="1:16" ht="15.75" customHeight="1" outlineLevel="1">
      <c r="A426" s="28">
        <v>7</v>
      </c>
      <c r="B426" s="32">
        <v>45477</v>
      </c>
      <c r="C426" s="36" t="s">
        <v>343</v>
      </c>
      <c r="D426" s="43">
        <v>1</v>
      </c>
      <c r="E426" s="48" t="s">
        <v>26</v>
      </c>
      <c r="F426" s="48" t="s">
        <v>322</v>
      </c>
      <c r="G426" s="49">
        <v>3</v>
      </c>
      <c r="H426" s="10">
        <v>3</v>
      </c>
      <c r="I426" s="52">
        <v>15</v>
      </c>
      <c r="J426" s="10">
        <v>15</v>
      </c>
      <c r="K426" s="55" t="s">
        <v>71</v>
      </c>
      <c r="L426" s="57">
        <v>0.8</v>
      </c>
      <c r="M426" s="50">
        <v>12</v>
      </c>
      <c r="N426" s="61"/>
      <c r="O426" s="50"/>
      <c r="P426" s="52" t="s">
        <v>20</v>
      </c>
    </row>
    <row r="427" spans="1:16" ht="15.75" customHeight="1" outlineLevel="1">
      <c r="A427" s="28">
        <v>7</v>
      </c>
      <c r="B427" s="32">
        <v>45478</v>
      </c>
      <c r="C427" s="36" t="s">
        <v>111</v>
      </c>
      <c r="D427" s="43">
        <v>2</v>
      </c>
      <c r="E427" s="48" t="s">
        <v>355</v>
      </c>
      <c r="F427" s="48" t="s">
        <v>18</v>
      </c>
      <c r="G427" s="49">
        <v>50</v>
      </c>
      <c r="H427" s="10">
        <v>100</v>
      </c>
      <c r="I427" s="52">
        <v>60</v>
      </c>
      <c r="J427" s="10">
        <v>120</v>
      </c>
      <c r="K427" s="55" t="s">
        <v>346</v>
      </c>
      <c r="L427" s="57">
        <v>0.16666666666666666</v>
      </c>
      <c r="M427" s="50">
        <v>20</v>
      </c>
      <c r="N427" s="61"/>
      <c r="O427" s="50"/>
      <c r="P427" s="52" t="s">
        <v>20</v>
      </c>
    </row>
    <row r="428" spans="1:16" ht="15.75" customHeight="1" outlineLevel="1">
      <c r="A428" s="28">
        <v>7</v>
      </c>
      <c r="B428" s="32">
        <v>45479</v>
      </c>
      <c r="C428" s="36" t="s">
        <v>356</v>
      </c>
      <c r="D428" s="43">
        <v>1</v>
      </c>
      <c r="E428" s="48" t="s">
        <v>357</v>
      </c>
      <c r="F428" s="48" t="s">
        <v>23</v>
      </c>
      <c r="G428" s="49">
        <v>35</v>
      </c>
      <c r="H428" s="10">
        <v>35</v>
      </c>
      <c r="I428" s="52">
        <v>85</v>
      </c>
      <c r="J428" s="10">
        <v>85</v>
      </c>
      <c r="K428" s="55" t="s">
        <v>346</v>
      </c>
      <c r="L428" s="57">
        <v>0.58823529411764708</v>
      </c>
      <c r="M428" s="50">
        <v>50</v>
      </c>
      <c r="N428" s="61"/>
      <c r="O428" s="50"/>
      <c r="P428" s="52" t="s">
        <v>20</v>
      </c>
    </row>
    <row r="429" spans="1:16" ht="15.75" customHeight="1" outlineLevel="1">
      <c r="A429" s="28">
        <v>7</v>
      </c>
      <c r="B429" s="32">
        <v>45479</v>
      </c>
      <c r="C429" s="36" t="s">
        <v>358</v>
      </c>
      <c r="D429" s="43">
        <v>1</v>
      </c>
      <c r="E429" s="48" t="s">
        <v>26</v>
      </c>
      <c r="F429" s="48" t="s">
        <v>23</v>
      </c>
      <c r="G429" s="49">
        <v>10</v>
      </c>
      <c r="H429" s="10">
        <v>10</v>
      </c>
      <c r="I429" s="52">
        <v>25</v>
      </c>
      <c r="J429" s="10">
        <v>25</v>
      </c>
      <c r="K429" s="55" t="s">
        <v>317</v>
      </c>
      <c r="L429" s="57">
        <v>0.6</v>
      </c>
      <c r="M429" s="50">
        <v>15</v>
      </c>
      <c r="N429" s="61"/>
      <c r="O429" s="50"/>
      <c r="P429" s="52" t="s">
        <v>20</v>
      </c>
    </row>
    <row r="430" spans="1:16" ht="15.75" customHeight="1" outlineLevel="1">
      <c r="A430" s="28">
        <v>7</v>
      </c>
      <c r="B430" s="32">
        <v>45479</v>
      </c>
      <c r="C430" s="36" t="s">
        <v>359</v>
      </c>
      <c r="D430" s="43">
        <v>1</v>
      </c>
      <c r="E430" s="48" t="s">
        <v>26</v>
      </c>
      <c r="F430" s="48" t="s">
        <v>23</v>
      </c>
      <c r="G430" s="49">
        <v>11</v>
      </c>
      <c r="H430" s="10">
        <v>11</v>
      </c>
      <c r="I430" s="52">
        <v>25</v>
      </c>
      <c r="J430" s="10">
        <v>25</v>
      </c>
      <c r="K430" s="55" t="s">
        <v>317</v>
      </c>
      <c r="L430" s="57">
        <v>0.56000000000000005</v>
      </c>
      <c r="M430" s="50">
        <v>14</v>
      </c>
      <c r="N430" s="61"/>
      <c r="O430" s="50"/>
      <c r="P430" s="52" t="s">
        <v>20</v>
      </c>
    </row>
    <row r="431" spans="1:16" ht="15.75" customHeight="1" outlineLevel="1">
      <c r="A431" s="28">
        <v>7</v>
      </c>
      <c r="B431" s="32">
        <v>45479</v>
      </c>
      <c r="C431" s="36" t="s">
        <v>351</v>
      </c>
      <c r="D431" s="43">
        <v>1</v>
      </c>
      <c r="E431" s="48" t="s">
        <v>328</v>
      </c>
      <c r="F431" s="48" t="s">
        <v>23</v>
      </c>
      <c r="G431" s="49">
        <v>0.05</v>
      </c>
      <c r="H431" s="10">
        <v>0.05</v>
      </c>
      <c r="I431" s="52">
        <v>2</v>
      </c>
      <c r="J431" s="10">
        <v>2</v>
      </c>
      <c r="K431" s="55" t="s">
        <v>346</v>
      </c>
      <c r="L431" s="57">
        <v>0.97499999999999998</v>
      </c>
      <c r="M431" s="50">
        <v>1.95</v>
      </c>
      <c r="N431" s="61"/>
      <c r="O431" s="50"/>
      <c r="P431" s="52" t="s">
        <v>20</v>
      </c>
    </row>
    <row r="432" spans="1:16" ht="15.75" customHeight="1" outlineLevel="1">
      <c r="A432" s="28">
        <v>7</v>
      </c>
      <c r="B432" s="32">
        <v>45481</v>
      </c>
      <c r="C432" s="36" t="s">
        <v>351</v>
      </c>
      <c r="D432" s="43">
        <v>35</v>
      </c>
      <c r="E432" s="48" t="s">
        <v>328</v>
      </c>
      <c r="F432" s="48" t="s">
        <v>23</v>
      </c>
      <c r="G432" s="49">
        <v>0.05</v>
      </c>
      <c r="H432" s="10">
        <v>1.75</v>
      </c>
      <c r="I432" s="52">
        <v>2</v>
      </c>
      <c r="J432" s="10">
        <v>70</v>
      </c>
      <c r="K432" s="55" t="s">
        <v>346</v>
      </c>
      <c r="L432" s="57">
        <v>0.97499999999999998</v>
      </c>
      <c r="M432" s="50">
        <v>68.25</v>
      </c>
      <c r="N432" s="61"/>
      <c r="O432" s="50"/>
      <c r="P432" s="52" t="s">
        <v>20</v>
      </c>
    </row>
    <row r="433" spans="1:16" ht="15.75" customHeight="1" outlineLevel="1">
      <c r="A433" s="28">
        <v>7</v>
      </c>
      <c r="B433" s="32">
        <v>45482</v>
      </c>
      <c r="C433" s="36" t="s">
        <v>279</v>
      </c>
      <c r="D433" s="43">
        <v>1</v>
      </c>
      <c r="E433" s="48" t="s">
        <v>85</v>
      </c>
      <c r="F433" s="48" t="s">
        <v>23</v>
      </c>
      <c r="G433" s="49">
        <v>0</v>
      </c>
      <c r="H433" s="10">
        <v>0</v>
      </c>
      <c r="I433" s="52">
        <v>20</v>
      </c>
      <c r="J433" s="10">
        <v>20</v>
      </c>
      <c r="K433" s="55" t="s">
        <v>346</v>
      </c>
      <c r="L433" s="57">
        <v>1</v>
      </c>
      <c r="M433" s="50">
        <v>20</v>
      </c>
      <c r="N433" s="61"/>
      <c r="O433" s="50"/>
      <c r="P433" s="52" t="s">
        <v>20</v>
      </c>
    </row>
    <row r="434" spans="1:16" ht="15.75" customHeight="1" outlineLevel="1">
      <c r="A434" s="28">
        <v>7</v>
      </c>
      <c r="B434" s="32">
        <v>45482</v>
      </c>
      <c r="C434" s="36" t="s">
        <v>360</v>
      </c>
      <c r="D434" s="43">
        <v>1</v>
      </c>
      <c r="E434" s="48" t="s">
        <v>361</v>
      </c>
      <c r="F434" s="48" t="s">
        <v>23</v>
      </c>
      <c r="G434" s="49">
        <v>0</v>
      </c>
      <c r="H434" s="10">
        <v>0</v>
      </c>
      <c r="I434" s="52">
        <v>450</v>
      </c>
      <c r="J434" s="10">
        <v>450</v>
      </c>
      <c r="K434" s="55" t="s">
        <v>346</v>
      </c>
      <c r="L434" s="57">
        <v>1</v>
      </c>
      <c r="M434" s="50">
        <v>450</v>
      </c>
      <c r="N434" s="61"/>
      <c r="O434" s="50"/>
      <c r="P434" s="52" t="s">
        <v>20</v>
      </c>
    </row>
    <row r="435" spans="1:16" ht="15.75" customHeight="1" outlineLevel="1">
      <c r="A435" s="28">
        <v>7</v>
      </c>
      <c r="B435" s="32">
        <v>45482</v>
      </c>
      <c r="C435" s="36" t="s">
        <v>343</v>
      </c>
      <c r="D435" s="43">
        <v>2</v>
      </c>
      <c r="E435" s="48" t="s">
        <v>361</v>
      </c>
      <c r="F435" s="48" t="s">
        <v>23</v>
      </c>
      <c r="G435" s="49">
        <v>3</v>
      </c>
      <c r="H435" s="10">
        <v>6</v>
      </c>
      <c r="I435" s="52">
        <v>10</v>
      </c>
      <c r="J435" s="10">
        <v>20</v>
      </c>
      <c r="K435" s="55" t="s">
        <v>346</v>
      </c>
      <c r="L435" s="57">
        <v>0.7</v>
      </c>
      <c r="M435" s="50">
        <v>14</v>
      </c>
      <c r="N435" s="61"/>
      <c r="O435" s="50"/>
      <c r="P435" s="52" t="s">
        <v>20</v>
      </c>
    </row>
    <row r="436" spans="1:16" ht="15.75" customHeight="1" outlineLevel="1">
      <c r="A436" s="28">
        <v>7</v>
      </c>
      <c r="B436" s="32">
        <v>45483</v>
      </c>
      <c r="C436" s="36" t="s">
        <v>323</v>
      </c>
      <c r="D436" s="43">
        <v>1</v>
      </c>
      <c r="E436" s="48" t="s">
        <v>26</v>
      </c>
      <c r="F436" s="48" t="s">
        <v>23</v>
      </c>
      <c r="G436" s="49">
        <v>7.0000000000000007E-2</v>
      </c>
      <c r="H436" s="10">
        <v>7.0000000000000007E-2</v>
      </c>
      <c r="I436" s="52">
        <v>1</v>
      </c>
      <c r="J436" s="10">
        <v>1</v>
      </c>
      <c r="K436" s="55" t="s">
        <v>346</v>
      </c>
      <c r="L436" s="57">
        <v>0.92999999999999994</v>
      </c>
      <c r="M436" s="50">
        <v>0.92999999999999994</v>
      </c>
      <c r="N436" s="61"/>
      <c r="O436" s="50"/>
      <c r="P436" s="52" t="s">
        <v>20</v>
      </c>
    </row>
    <row r="437" spans="1:16" ht="15.75" customHeight="1" outlineLevel="1">
      <c r="A437" s="28">
        <v>7</v>
      </c>
      <c r="B437" s="32">
        <v>45486</v>
      </c>
      <c r="C437" s="36" t="s">
        <v>362</v>
      </c>
      <c r="D437" s="43">
        <v>1</v>
      </c>
      <c r="E437" s="48" t="s">
        <v>26</v>
      </c>
      <c r="F437" s="48" t="s">
        <v>23</v>
      </c>
      <c r="G437" s="49">
        <v>18.8</v>
      </c>
      <c r="H437" s="10">
        <v>18.8</v>
      </c>
      <c r="I437" s="52">
        <v>30</v>
      </c>
      <c r="J437" s="10">
        <v>30</v>
      </c>
      <c r="K437" s="55" t="s">
        <v>30</v>
      </c>
      <c r="L437" s="57">
        <v>0.37333333333333329</v>
      </c>
      <c r="M437" s="50">
        <v>11.2</v>
      </c>
      <c r="N437" s="61"/>
      <c r="O437" s="50"/>
      <c r="P437" s="52" t="s">
        <v>20</v>
      </c>
    </row>
    <row r="438" spans="1:16" ht="15.75" customHeight="1" outlineLevel="1">
      <c r="A438" s="28">
        <v>7</v>
      </c>
      <c r="B438" s="32">
        <v>45486</v>
      </c>
      <c r="C438" s="36" t="s">
        <v>217</v>
      </c>
      <c r="D438" s="43">
        <v>1</v>
      </c>
      <c r="E438" s="48" t="s">
        <v>26</v>
      </c>
      <c r="F438" s="48" t="s">
        <v>23</v>
      </c>
      <c r="G438" s="49">
        <v>15</v>
      </c>
      <c r="H438" s="10">
        <v>15</v>
      </c>
      <c r="I438" s="52">
        <v>30</v>
      </c>
      <c r="J438" s="10">
        <v>30</v>
      </c>
      <c r="K438" s="55" t="s">
        <v>346</v>
      </c>
      <c r="L438" s="57">
        <v>0.5</v>
      </c>
      <c r="M438" s="50">
        <v>15</v>
      </c>
      <c r="N438" s="61"/>
      <c r="O438" s="50"/>
      <c r="P438" s="52" t="s">
        <v>20</v>
      </c>
    </row>
    <row r="439" spans="1:16" ht="15.75" customHeight="1" outlineLevel="1">
      <c r="A439" s="28">
        <v>7</v>
      </c>
      <c r="B439" s="32">
        <v>45487</v>
      </c>
      <c r="C439" s="36" t="s">
        <v>283</v>
      </c>
      <c r="D439" s="43">
        <v>1</v>
      </c>
      <c r="E439" s="48" t="s">
        <v>363</v>
      </c>
      <c r="F439" s="48" t="s">
        <v>23</v>
      </c>
      <c r="G439" s="49">
        <v>18</v>
      </c>
      <c r="H439" s="10">
        <v>18</v>
      </c>
      <c r="I439" s="52">
        <v>30</v>
      </c>
      <c r="J439" s="10">
        <v>30</v>
      </c>
      <c r="K439" s="55" t="s">
        <v>30</v>
      </c>
      <c r="L439" s="57">
        <v>0.4</v>
      </c>
      <c r="M439" s="50">
        <v>12</v>
      </c>
      <c r="N439" s="61"/>
      <c r="O439" s="50"/>
      <c r="P439" s="52" t="s">
        <v>20</v>
      </c>
    </row>
    <row r="440" spans="1:16" ht="15.75" customHeight="1" outlineLevel="1">
      <c r="A440" s="28">
        <v>7</v>
      </c>
      <c r="B440" s="32">
        <v>45487</v>
      </c>
      <c r="C440" s="36" t="s">
        <v>258</v>
      </c>
      <c r="D440" s="43">
        <v>1</v>
      </c>
      <c r="E440" s="48" t="s">
        <v>363</v>
      </c>
      <c r="F440" s="48" t="s">
        <v>23</v>
      </c>
      <c r="G440" s="49">
        <v>11</v>
      </c>
      <c r="H440" s="10">
        <v>11</v>
      </c>
      <c r="I440" s="52">
        <v>30</v>
      </c>
      <c r="J440" s="10">
        <v>30</v>
      </c>
      <c r="K440" s="55" t="s">
        <v>30</v>
      </c>
      <c r="L440" s="57">
        <v>0.6333333333333333</v>
      </c>
      <c r="M440" s="50">
        <v>19</v>
      </c>
      <c r="N440" s="61"/>
      <c r="O440" s="50"/>
      <c r="P440" s="52" t="s">
        <v>20</v>
      </c>
    </row>
    <row r="441" spans="1:16" ht="15.75" customHeight="1" outlineLevel="1">
      <c r="A441" s="28">
        <v>7</v>
      </c>
      <c r="B441" s="32">
        <v>45487</v>
      </c>
      <c r="C441" s="36" t="s">
        <v>364</v>
      </c>
      <c r="D441" s="43">
        <v>1</v>
      </c>
      <c r="E441" s="48" t="s">
        <v>363</v>
      </c>
      <c r="F441" s="48" t="s">
        <v>23</v>
      </c>
      <c r="G441" s="49">
        <v>6</v>
      </c>
      <c r="H441" s="10">
        <v>6</v>
      </c>
      <c r="I441" s="52">
        <v>40</v>
      </c>
      <c r="J441" s="10">
        <v>40</v>
      </c>
      <c r="K441" s="55" t="s">
        <v>30</v>
      </c>
      <c r="L441" s="57">
        <v>0.85</v>
      </c>
      <c r="M441" s="50">
        <v>34</v>
      </c>
      <c r="N441" s="61"/>
      <c r="O441" s="50"/>
      <c r="P441" s="52" t="s">
        <v>20</v>
      </c>
    </row>
    <row r="442" spans="1:16" ht="15.75" customHeight="1" outlineLevel="1">
      <c r="A442" s="28">
        <v>7</v>
      </c>
      <c r="B442" s="32">
        <v>45488</v>
      </c>
      <c r="C442" s="36" t="s">
        <v>323</v>
      </c>
      <c r="D442" s="43">
        <v>1</v>
      </c>
      <c r="E442" s="48" t="s">
        <v>26</v>
      </c>
      <c r="F442" s="48" t="s">
        <v>23</v>
      </c>
      <c r="G442" s="49">
        <v>7.0000000000000007E-2</v>
      </c>
      <c r="H442" s="10">
        <v>7.0000000000000007E-2</v>
      </c>
      <c r="I442" s="52">
        <v>1</v>
      </c>
      <c r="J442" s="10">
        <v>1</v>
      </c>
      <c r="K442" s="55" t="s">
        <v>346</v>
      </c>
      <c r="L442" s="57">
        <v>0.92999999999999994</v>
      </c>
      <c r="M442" s="50">
        <v>0.92999999999999994</v>
      </c>
      <c r="N442" s="61"/>
      <c r="O442" s="50"/>
      <c r="P442" s="52" t="s">
        <v>20</v>
      </c>
    </row>
    <row r="443" spans="1:16" ht="15.75" customHeight="1" outlineLevel="1">
      <c r="A443" s="28">
        <v>7</v>
      </c>
      <c r="B443" s="32">
        <v>45490</v>
      </c>
      <c r="C443" s="36" t="s">
        <v>323</v>
      </c>
      <c r="D443" s="43">
        <v>3</v>
      </c>
      <c r="E443" s="48" t="s">
        <v>365</v>
      </c>
      <c r="F443" s="48" t="s">
        <v>23</v>
      </c>
      <c r="G443" s="49">
        <v>7.0000000000000007E-2</v>
      </c>
      <c r="H443" s="10">
        <v>0.21000000000000002</v>
      </c>
      <c r="I443" s="52">
        <v>1</v>
      </c>
      <c r="J443" s="10">
        <v>3</v>
      </c>
      <c r="K443" s="55" t="s">
        <v>346</v>
      </c>
      <c r="L443" s="57">
        <v>0.93</v>
      </c>
      <c r="M443" s="50">
        <v>2.79</v>
      </c>
      <c r="N443" s="61"/>
      <c r="O443" s="50"/>
      <c r="P443" s="52" t="s">
        <v>20</v>
      </c>
    </row>
    <row r="444" spans="1:16" ht="15.75" customHeight="1" outlineLevel="1">
      <c r="A444" s="28">
        <v>7</v>
      </c>
      <c r="B444" s="32">
        <v>45490</v>
      </c>
      <c r="C444" s="36" t="s">
        <v>366</v>
      </c>
      <c r="D444" s="43">
        <v>1</v>
      </c>
      <c r="E444" s="48" t="s">
        <v>26</v>
      </c>
      <c r="F444" s="48" t="s">
        <v>23</v>
      </c>
      <c r="G444" s="49">
        <v>2.5</v>
      </c>
      <c r="H444" s="10">
        <v>2.5</v>
      </c>
      <c r="I444" s="52">
        <v>10</v>
      </c>
      <c r="J444" s="10">
        <v>10</v>
      </c>
      <c r="K444" s="55" t="s">
        <v>346</v>
      </c>
      <c r="L444" s="57">
        <v>0.75</v>
      </c>
      <c r="M444" s="50">
        <v>7.5</v>
      </c>
      <c r="N444" s="61"/>
      <c r="O444" s="50"/>
      <c r="P444" s="52" t="s">
        <v>20</v>
      </c>
    </row>
    <row r="445" spans="1:16" ht="15.75" customHeight="1" outlineLevel="1">
      <c r="A445" s="28">
        <v>7</v>
      </c>
      <c r="B445" s="32">
        <v>45490</v>
      </c>
      <c r="C445" s="36" t="s">
        <v>169</v>
      </c>
      <c r="D445" s="43">
        <v>1</v>
      </c>
      <c r="E445" s="48" t="s">
        <v>365</v>
      </c>
      <c r="F445" s="48" t="s">
        <v>23</v>
      </c>
      <c r="G445" s="49">
        <v>27.5</v>
      </c>
      <c r="H445" s="10">
        <v>27.5</v>
      </c>
      <c r="I445" s="52">
        <v>50</v>
      </c>
      <c r="J445" s="10">
        <v>50</v>
      </c>
      <c r="K445" s="55" t="s">
        <v>30</v>
      </c>
      <c r="L445" s="57">
        <v>0.45</v>
      </c>
      <c r="M445" s="50">
        <v>22.5</v>
      </c>
      <c r="N445" s="61"/>
      <c r="O445" s="50"/>
      <c r="P445" s="52" t="s">
        <v>20</v>
      </c>
    </row>
    <row r="446" spans="1:16" ht="15.75" customHeight="1" outlineLevel="1">
      <c r="A446" s="28">
        <v>7</v>
      </c>
      <c r="B446" s="32">
        <v>45493</v>
      </c>
      <c r="C446" s="36" t="s">
        <v>323</v>
      </c>
      <c r="D446" s="43">
        <v>2</v>
      </c>
      <c r="E446" s="48" t="s">
        <v>26</v>
      </c>
      <c r="F446" s="48" t="s">
        <v>23</v>
      </c>
      <c r="G446" s="49">
        <v>7.0000000000000007E-2</v>
      </c>
      <c r="H446" s="10">
        <v>0.14000000000000001</v>
      </c>
      <c r="I446" s="52">
        <v>1</v>
      </c>
      <c r="J446" s="10">
        <v>2</v>
      </c>
      <c r="K446" s="55" t="s">
        <v>346</v>
      </c>
      <c r="L446" s="57">
        <v>0.92999999999999994</v>
      </c>
      <c r="M446" s="50">
        <v>1.8599999999999999</v>
      </c>
      <c r="N446" s="61"/>
      <c r="O446" s="50"/>
      <c r="P446" s="52" t="s">
        <v>20</v>
      </c>
    </row>
    <row r="447" spans="1:16" ht="15.75" customHeight="1" outlineLevel="1">
      <c r="A447" s="28">
        <v>7</v>
      </c>
      <c r="B447" s="32">
        <v>45495</v>
      </c>
      <c r="C447" s="36" t="s">
        <v>230</v>
      </c>
      <c r="D447" s="43">
        <v>1</v>
      </c>
      <c r="E447" s="48" t="s">
        <v>26</v>
      </c>
      <c r="F447" s="48" t="s">
        <v>23</v>
      </c>
      <c r="G447" s="49">
        <v>11</v>
      </c>
      <c r="H447" s="10">
        <v>11</v>
      </c>
      <c r="I447" s="52">
        <v>25</v>
      </c>
      <c r="J447" s="10">
        <v>25</v>
      </c>
      <c r="K447" s="55" t="s">
        <v>346</v>
      </c>
      <c r="L447" s="57">
        <v>0.56000000000000005</v>
      </c>
      <c r="M447" s="50">
        <v>14</v>
      </c>
      <c r="N447" s="61"/>
      <c r="O447" s="50"/>
      <c r="P447" s="52" t="s">
        <v>20</v>
      </c>
    </row>
    <row r="448" spans="1:16" ht="15.75" customHeight="1" outlineLevel="1">
      <c r="A448" s="28">
        <v>7</v>
      </c>
      <c r="B448" s="32">
        <v>45495</v>
      </c>
      <c r="C448" s="36" t="s">
        <v>343</v>
      </c>
      <c r="D448" s="43">
        <v>1</v>
      </c>
      <c r="E448" s="48" t="s">
        <v>26</v>
      </c>
      <c r="F448" s="48" t="s">
        <v>23</v>
      </c>
      <c r="G448" s="49">
        <v>3</v>
      </c>
      <c r="H448" s="10">
        <v>3</v>
      </c>
      <c r="I448" s="52">
        <v>15</v>
      </c>
      <c r="J448" s="10">
        <v>15</v>
      </c>
      <c r="K448" s="55" t="s">
        <v>30</v>
      </c>
      <c r="L448" s="57">
        <v>0.8</v>
      </c>
      <c r="M448" s="50">
        <v>12</v>
      </c>
      <c r="N448" s="61"/>
      <c r="O448" s="50"/>
      <c r="P448" s="52" t="s">
        <v>20</v>
      </c>
    </row>
    <row r="449" spans="1:16" ht="15.75" customHeight="1" outlineLevel="1">
      <c r="A449" s="28">
        <v>7</v>
      </c>
      <c r="B449" s="32">
        <v>45496</v>
      </c>
      <c r="C449" s="36" t="s">
        <v>367</v>
      </c>
      <c r="D449" s="43">
        <v>18</v>
      </c>
      <c r="E449" s="48" t="s">
        <v>26</v>
      </c>
      <c r="F449" s="48" t="s">
        <v>23</v>
      </c>
      <c r="G449" s="49">
        <v>0</v>
      </c>
      <c r="H449" s="10">
        <v>0</v>
      </c>
      <c r="I449" s="52">
        <v>1</v>
      </c>
      <c r="J449" s="10">
        <v>18</v>
      </c>
      <c r="K449" s="55" t="s">
        <v>30</v>
      </c>
      <c r="L449" s="57">
        <v>1</v>
      </c>
      <c r="M449" s="50">
        <v>18</v>
      </c>
      <c r="N449" s="61"/>
      <c r="O449" s="50"/>
      <c r="P449" s="52" t="s">
        <v>20</v>
      </c>
    </row>
    <row r="450" spans="1:16" ht="15.75" customHeight="1" outlineLevel="1">
      <c r="A450" s="28">
        <v>7</v>
      </c>
      <c r="B450" s="32">
        <v>45497</v>
      </c>
      <c r="C450" s="36" t="s">
        <v>343</v>
      </c>
      <c r="D450" s="43">
        <v>1</v>
      </c>
      <c r="E450" s="48" t="s">
        <v>26</v>
      </c>
      <c r="F450" s="48" t="s">
        <v>322</v>
      </c>
      <c r="G450" s="49">
        <v>3</v>
      </c>
      <c r="H450" s="10">
        <v>3</v>
      </c>
      <c r="I450" s="52">
        <v>15</v>
      </c>
      <c r="J450" s="10">
        <v>15</v>
      </c>
      <c r="K450" s="55" t="s">
        <v>30</v>
      </c>
      <c r="L450" s="57">
        <v>0.8</v>
      </c>
      <c r="M450" s="50">
        <v>12</v>
      </c>
      <c r="N450" s="61"/>
      <c r="O450" s="50"/>
      <c r="P450" s="52" t="s">
        <v>20</v>
      </c>
    </row>
    <row r="451" spans="1:16" ht="15.75" customHeight="1" outlineLevel="1">
      <c r="A451" s="28">
        <v>7</v>
      </c>
      <c r="B451" s="32">
        <v>45497</v>
      </c>
      <c r="C451" s="36" t="s">
        <v>274</v>
      </c>
      <c r="D451" s="43">
        <v>1</v>
      </c>
      <c r="E451" s="48" t="s">
        <v>26</v>
      </c>
      <c r="F451" s="48" t="s">
        <v>23</v>
      </c>
      <c r="G451" s="49">
        <v>0</v>
      </c>
      <c r="H451" s="10">
        <v>0</v>
      </c>
      <c r="I451" s="52">
        <v>30</v>
      </c>
      <c r="J451" s="10">
        <v>30</v>
      </c>
      <c r="K451" s="55" t="s">
        <v>30</v>
      </c>
      <c r="L451" s="57">
        <v>1</v>
      </c>
      <c r="M451" s="50">
        <v>30</v>
      </c>
      <c r="N451" s="61"/>
      <c r="O451" s="50"/>
      <c r="P451" s="52" t="s">
        <v>20</v>
      </c>
    </row>
    <row r="452" spans="1:16" ht="15.75" customHeight="1" outlineLevel="1">
      <c r="A452" s="28">
        <v>7</v>
      </c>
      <c r="B452" s="32">
        <v>45497</v>
      </c>
      <c r="C452" s="36" t="s">
        <v>274</v>
      </c>
      <c r="D452" s="43">
        <v>1</v>
      </c>
      <c r="E452" s="48" t="s">
        <v>26</v>
      </c>
      <c r="F452" s="48" t="s">
        <v>322</v>
      </c>
      <c r="G452" s="49">
        <v>0</v>
      </c>
      <c r="H452" s="10">
        <v>0</v>
      </c>
      <c r="I452" s="52">
        <v>10</v>
      </c>
      <c r="J452" s="10">
        <v>10</v>
      </c>
      <c r="K452" s="55" t="s">
        <v>30</v>
      </c>
      <c r="L452" s="57">
        <v>1</v>
      </c>
      <c r="M452" s="50">
        <v>10</v>
      </c>
      <c r="N452" s="61"/>
      <c r="O452" s="50"/>
      <c r="P452" s="52" t="s">
        <v>20</v>
      </c>
    </row>
    <row r="453" spans="1:16" ht="15.75" customHeight="1" outlineLevel="1">
      <c r="A453" s="28">
        <v>7</v>
      </c>
      <c r="B453" s="32">
        <v>45499</v>
      </c>
      <c r="C453" s="36" t="s">
        <v>368</v>
      </c>
      <c r="D453" s="43">
        <v>1</v>
      </c>
      <c r="E453" s="48" t="s">
        <v>369</v>
      </c>
      <c r="F453" s="48" t="s">
        <v>23</v>
      </c>
      <c r="G453" s="49">
        <v>25</v>
      </c>
      <c r="H453" s="10">
        <v>25</v>
      </c>
      <c r="I453" s="52">
        <v>50</v>
      </c>
      <c r="J453" s="10">
        <v>50</v>
      </c>
      <c r="K453" s="55" t="s">
        <v>346</v>
      </c>
      <c r="L453" s="57">
        <v>0.5</v>
      </c>
      <c r="M453" s="50">
        <v>25</v>
      </c>
      <c r="N453" s="61"/>
      <c r="O453" s="50"/>
      <c r="P453" s="52" t="s">
        <v>20</v>
      </c>
    </row>
    <row r="454" spans="1:16" ht="15.75" customHeight="1" outlineLevel="1">
      <c r="A454" s="28">
        <v>7</v>
      </c>
      <c r="B454" s="32">
        <v>45499</v>
      </c>
      <c r="C454" s="36" t="s">
        <v>343</v>
      </c>
      <c r="D454" s="43">
        <v>2</v>
      </c>
      <c r="E454" s="48" t="s">
        <v>26</v>
      </c>
      <c r="F454" s="48" t="s">
        <v>18</v>
      </c>
      <c r="G454" s="49">
        <v>3</v>
      </c>
      <c r="H454" s="10">
        <v>6</v>
      </c>
      <c r="I454" s="52">
        <v>15</v>
      </c>
      <c r="J454" s="10">
        <v>30</v>
      </c>
      <c r="K454" s="55" t="s">
        <v>346</v>
      </c>
      <c r="L454" s="57">
        <v>0.8</v>
      </c>
      <c r="M454" s="50">
        <v>24</v>
      </c>
      <c r="N454" s="62"/>
      <c r="O454" s="50">
        <v>30</v>
      </c>
      <c r="P454" s="52" t="s">
        <v>135</v>
      </c>
    </row>
    <row r="455" spans="1:16" ht="15.75" customHeight="1" outlineLevel="1">
      <c r="A455" s="28">
        <v>7</v>
      </c>
      <c r="B455" s="32">
        <v>45499</v>
      </c>
      <c r="C455" s="36" t="s">
        <v>55</v>
      </c>
      <c r="D455" s="43">
        <v>2</v>
      </c>
      <c r="E455" s="48" t="s">
        <v>26</v>
      </c>
      <c r="F455" s="48" t="s">
        <v>18</v>
      </c>
      <c r="G455" s="49">
        <v>3</v>
      </c>
      <c r="H455" s="10">
        <v>6</v>
      </c>
      <c r="I455" s="52">
        <v>15</v>
      </c>
      <c r="J455" s="10">
        <v>30</v>
      </c>
      <c r="K455" s="55" t="s">
        <v>346</v>
      </c>
      <c r="L455" s="57">
        <v>0.8</v>
      </c>
      <c r="M455" s="50">
        <v>24</v>
      </c>
      <c r="N455" s="62"/>
      <c r="O455" s="50">
        <v>30</v>
      </c>
      <c r="P455" s="52" t="s">
        <v>135</v>
      </c>
    </row>
    <row r="456" spans="1:16" ht="15.75" customHeight="1" outlineLevel="1">
      <c r="A456" s="28">
        <v>7</v>
      </c>
      <c r="B456" s="32">
        <v>45499</v>
      </c>
      <c r="C456" s="36" t="s">
        <v>112</v>
      </c>
      <c r="D456" s="43">
        <v>1</v>
      </c>
      <c r="E456" s="48" t="s">
        <v>26</v>
      </c>
      <c r="F456" s="48" t="s">
        <v>18</v>
      </c>
      <c r="G456" s="49">
        <v>12</v>
      </c>
      <c r="H456" s="10">
        <v>12</v>
      </c>
      <c r="I456" s="52">
        <v>30</v>
      </c>
      <c r="J456" s="10">
        <v>30</v>
      </c>
      <c r="K456" s="55" t="s">
        <v>346</v>
      </c>
      <c r="L456" s="57">
        <v>0.6</v>
      </c>
      <c r="M456" s="50">
        <v>18</v>
      </c>
      <c r="N456" s="62"/>
      <c r="O456" s="50">
        <v>30</v>
      </c>
      <c r="P456" s="52" t="s">
        <v>135</v>
      </c>
    </row>
    <row r="457" spans="1:16" ht="15.75" customHeight="1" outlineLevel="1">
      <c r="A457" s="28">
        <v>7</v>
      </c>
      <c r="B457" s="32">
        <v>45499</v>
      </c>
      <c r="C457" s="36" t="s">
        <v>351</v>
      </c>
      <c r="D457" s="43">
        <v>1</v>
      </c>
      <c r="E457" s="48" t="s">
        <v>26</v>
      </c>
      <c r="F457" s="48" t="s">
        <v>23</v>
      </c>
      <c r="G457" s="49">
        <v>0.05</v>
      </c>
      <c r="H457" s="10">
        <v>0.05</v>
      </c>
      <c r="I457" s="52">
        <v>2</v>
      </c>
      <c r="J457" s="10">
        <v>2</v>
      </c>
      <c r="K457" s="55" t="s">
        <v>346</v>
      </c>
      <c r="L457" s="57">
        <v>0.97499999999999998</v>
      </c>
      <c r="M457" s="50">
        <v>1.95</v>
      </c>
      <c r="N457" s="61"/>
      <c r="O457" s="50"/>
      <c r="P457" s="52" t="s">
        <v>20</v>
      </c>
    </row>
    <row r="458" spans="1:16" ht="15.75" customHeight="1" outlineLevel="1">
      <c r="A458" s="28">
        <v>7</v>
      </c>
      <c r="B458" s="32">
        <v>45500</v>
      </c>
      <c r="C458" s="36" t="s">
        <v>370</v>
      </c>
      <c r="D458" s="43">
        <v>1</v>
      </c>
      <c r="E458" s="48" t="s">
        <v>277</v>
      </c>
      <c r="F458" s="48" t="s">
        <v>23</v>
      </c>
      <c r="G458" s="49">
        <v>77</v>
      </c>
      <c r="H458" s="10">
        <v>77</v>
      </c>
      <c r="I458" s="52">
        <v>130</v>
      </c>
      <c r="J458" s="10">
        <v>130</v>
      </c>
      <c r="K458" s="55" t="s">
        <v>30</v>
      </c>
      <c r="L458" s="57">
        <v>0.40769230769230769</v>
      </c>
      <c r="M458" s="50">
        <v>53</v>
      </c>
      <c r="N458" s="61"/>
      <c r="O458" s="50"/>
      <c r="P458" s="52" t="s">
        <v>20</v>
      </c>
    </row>
    <row r="459" spans="1:16" ht="15.75" customHeight="1" outlineLevel="1">
      <c r="A459" s="28">
        <v>7</v>
      </c>
      <c r="B459" s="32">
        <v>45500</v>
      </c>
      <c r="C459" s="36" t="s">
        <v>309</v>
      </c>
      <c r="D459" s="43">
        <v>1</v>
      </c>
      <c r="E459" s="48" t="s">
        <v>277</v>
      </c>
      <c r="F459" s="48" t="s">
        <v>23</v>
      </c>
      <c r="G459" s="49">
        <v>8</v>
      </c>
      <c r="H459" s="10">
        <v>8</v>
      </c>
      <c r="I459" s="52">
        <v>20</v>
      </c>
      <c r="J459" s="10">
        <v>20</v>
      </c>
      <c r="K459" s="55" t="s">
        <v>30</v>
      </c>
      <c r="L459" s="57">
        <v>0.6</v>
      </c>
      <c r="M459" s="50">
        <v>12</v>
      </c>
      <c r="N459" s="61"/>
      <c r="O459" s="50"/>
      <c r="P459" s="52" t="s">
        <v>20</v>
      </c>
    </row>
    <row r="460" spans="1:16" ht="15.75" customHeight="1" outlineLevel="1">
      <c r="A460" s="28">
        <v>7</v>
      </c>
      <c r="B460" s="32">
        <v>45502</v>
      </c>
      <c r="C460" s="36" t="s">
        <v>323</v>
      </c>
      <c r="D460" s="43">
        <v>2</v>
      </c>
      <c r="E460" s="48" t="s">
        <v>26</v>
      </c>
      <c r="F460" s="48" t="s">
        <v>23</v>
      </c>
      <c r="G460" s="49">
        <v>7.0000000000000007E-2</v>
      </c>
      <c r="H460" s="10">
        <v>0.14000000000000001</v>
      </c>
      <c r="I460" s="52">
        <v>1</v>
      </c>
      <c r="J460" s="10">
        <v>2</v>
      </c>
      <c r="K460" s="55" t="s">
        <v>346</v>
      </c>
      <c r="L460" s="57">
        <v>0.92999999999999994</v>
      </c>
      <c r="M460" s="50">
        <v>1.8599999999999999</v>
      </c>
      <c r="N460" s="61"/>
      <c r="O460" s="50"/>
      <c r="P460" s="52" t="s">
        <v>20</v>
      </c>
    </row>
    <row r="461" spans="1:16" ht="15.75" customHeight="1" outlineLevel="1">
      <c r="A461" s="28">
        <v>7</v>
      </c>
      <c r="B461" s="32">
        <v>45503</v>
      </c>
      <c r="C461" s="36" t="s">
        <v>371</v>
      </c>
      <c r="D461" s="43">
        <v>1</v>
      </c>
      <c r="E461" s="48" t="s">
        <v>26</v>
      </c>
      <c r="F461" s="48" t="s">
        <v>23</v>
      </c>
      <c r="G461" s="49">
        <v>4</v>
      </c>
      <c r="H461" s="10">
        <v>4</v>
      </c>
      <c r="I461" s="52">
        <v>15</v>
      </c>
      <c r="J461" s="10">
        <v>15</v>
      </c>
      <c r="K461" s="55" t="s">
        <v>30</v>
      </c>
      <c r="L461" s="57">
        <v>0.73333333333333328</v>
      </c>
      <c r="M461" s="50">
        <v>11</v>
      </c>
      <c r="N461" s="61"/>
      <c r="O461" s="50"/>
      <c r="P461" s="52" t="s">
        <v>20</v>
      </c>
    </row>
    <row r="462" spans="1:16" ht="15.75" customHeight="1" outlineLevel="1">
      <c r="A462" s="28">
        <v>7</v>
      </c>
      <c r="B462" s="32">
        <v>45504</v>
      </c>
      <c r="C462" s="36" t="s">
        <v>278</v>
      </c>
      <c r="D462" s="43">
        <v>1</v>
      </c>
      <c r="E462" s="48" t="s">
        <v>26</v>
      </c>
      <c r="F462" s="48" t="s">
        <v>23</v>
      </c>
      <c r="G462" s="49">
        <v>15</v>
      </c>
      <c r="H462" s="10">
        <v>15</v>
      </c>
      <c r="I462" s="52">
        <v>40</v>
      </c>
      <c r="J462" s="10">
        <v>40</v>
      </c>
      <c r="K462" s="55" t="s">
        <v>346</v>
      </c>
      <c r="L462" s="57">
        <v>0.625</v>
      </c>
      <c r="M462" s="50">
        <v>25</v>
      </c>
      <c r="N462" s="61"/>
      <c r="O462" s="50"/>
      <c r="P462" s="52" t="s">
        <v>20</v>
      </c>
    </row>
    <row r="463" spans="1:16" ht="15.75" customHeight="1">
      <c r="A463" s="28">
        <v>7</v>
      </c>
      <c r="B463" s="32">
        <v>45504</v>
      </c>
      <c r="C463" s="36" t="s">
        <v>323</v>
      </c>
      <c r="D463" s="43">
        <v>2</v>
      </c>
      <c r="E463" s="48" t="s">
        <v>365</v>
      </c>
      <c r="F463" s="48" t="s">
        <v>23</v>
      </c>
      <c r="G463" s="49">
        <v>7.0000000000000007E-2</v>
      </c>
      <c r="H463" s="10">
        <v>0.14000000000000001</v>
      </c>
      <c r="I463" s="52">
        <v>1</v>
      </c>
      <c r="J463" s="10">
        <v>2</v>
      </c>
      <c r="K463" s="55" t="s">
        <v>346</v>
      </c>
      <c r="L463" s="57">
        <v>0.92999999999999994</v>
      </c>
      <c r="M463" s="50">
        <v>1.8599999999999999</v>
      </c>
      <c r="N463" s="64"/>
      <c r="O463" s="50"/>
      <c r="P463" s="52" t="s">
        <v>20</v>
      </c>
    </row>
    <row r="464" spans="1:16" ht="15.75" customHeight="1" outlineLevel="2">
      <c r="A464" s="28">
        <v>8</v>
      </c>
      <c r="B464" s="32">
        <v>45505</v>
      </c>
      <c r="C464" s="36" t="s">
        <v>290</v>
      </c>
      <c r="D464" s="43">
        <v>1</v>
      </c>
      <c r="E464" s="48" t="s">
        <v>26</v>
      </c>
      <c r="F464" s="48" t="s">
        <v>23</v>
      </c>
      <c r="G464" s="49">
        <v>11.5</v>
      </c>
      <c r="H464" s="10">
        <v>11.5</v>
      </c>
      <c r="I464" s="52">
        <v>20</v>
      </c>
      <c r="J464" s="10">
        <v>20</v>
      </c>
      <c r="K464" s="55" t="s">
        <v>346</v>
      </c>
      <c r="L464" s="57">
        <v>0.42499999999999999</v>
      </c>
      <c r="M464" s="50">
        <v>8.5</v>
      </c>
      <c r="N464" s="61"/>
      <c r="O464" s="50"/>
      <c r="P464" s="52" t="s">
        <v>20</v>
      </c>
    </row>
    <row r="465" spans="1:16" ht="15.75" customHeight="1" outlineLevel="2">
      <c r="A465" s="28">
        <v>8</v>
      </c>
      <c r="B465" s="32">
        <v>45506</v>
      </c>
      <c r="C465" s="36" t="s">
        <v>243</v>
      </c>
      <c r="D465" s="43">
        <v>1</v>
      </c>
      <c r="E465" s="48" t="s">
        <v>26</v>
      </c>
      <c r="F465" s="48" t="s">
        <v>23</v>
      </c>
      <c r="G465" s="49">
        <v>1</v>
      </c>
      <c r="H465" s="10">
        <v>1</v>
      </c>
      <c r="I465" s="52">
        <v>10</v>
      </c>
      <c r="J465" s="10">
        <v>10</v>
      </c>
      <c r="K465" s="55" t="s">
        <v>346</v>
      </c>
      <c r="L465" s="57">
        <v>0.9</v>
      </c>
      <c r="M465" s="50">
        <v>9</v>
      </c>
      <c r="N465" s="61"/>
      <c r="O465" s="50"/>
      <c r="P465" s="52" t="s">
        <v>20</v>
      </c>
    </row>
    <row r="466" spans="1:16" ht="15.75" customHeight="1" outlineLevel="2">
      <c r="A466" s="28">
        <v>8</v>
      </c>
      <c r="B466" s="32">
        <v>45506</v>
      </c>
      <c r="C466" s="36" t="s">
        <v>372</v>
      </c>
      <c r="D466" s="43">
        <v>1</v>
      </c>
      <c r="E466" s="48" t="s">
        <v>26</v>
      </c>
      <c r="F466" s="48" t="s">
        <v>23</v>
      </c>
      <c r="G466" s="49">
        <v>41.49</v>
      </c>
      <c r="H466" s="10">
        <v>41.49</v>
      </c>
      <c r="I466" s="52">
        <v>120</v>
      </c>
      <c r="J466" s="10">
        <v>120</v>
      </c>
      <c r="K466" s="55" t="s">
        <v>346</v>
      </c>
      <c r="L466" s="57">
        <v>0.65424999999999989</v>
      </c>
      <c r="M466" s="50">
        <v>78.509999999999991</v>
      </c>
      <c r="N466" s="61"/>
      <c r="O466" s="50"/>
      <c r="P466" s="52" t="s">
        <v>20</v>
      </c>
    </row>
    <row r="467" spans="1:16" ht="15.75" customHeight="1" outlineLevel="2">
      <c r="A467" s="28">
        <v>8</v>
      </c>
      <c r="B467" s="32">
        <v>45507</v>
      </c>
      <c r="C467" s="36" t="s">
        <v>373</v>
      </c>
      <c r="D467" s="43">
        <v>1</v>
      </c>
      <c r="E467" s="48" t="s">
        <v>374</v>
      </c>
      <c r="F467" s="48" t="s">
        <v>23</v>
      </c>
      <c r="G467" s="49">
        <v>24</v>
      </c>
      <c r="H467" s="10">
        <v>24</v>
      </c>
      <c r="I467" s="52">
        <v>60</v>
      </c>
      <c r="J467" s="10">
        <v>60</v>
      </c>
      <c r="K467" s="55" t="s">
        <v>346</v>
      </c>
      <c r="L467" s="57">
        <v>0.6</v>
      </c>
      <c r="M467" s="50">
        <v>36</v>
      </c>
      <c r="N467" s="61"/>
      <c r="O467" s="50"/>
      <c r="P467" s="52" t="s">
        <v>20</v>
      </c>
    </row>
    <row r="468" spans="1:16" ht="15.75" customHeight="1" outlineLevel="2">
      <c r="A468" s="28">
        <v>8</v>
      </c>
      <c r="B468" s="32">
        <v>45507</v>
      </c>
      <c r="C468" s="36" t="s">
        <v>323</v>
      </c>
      <c r="D468" s="43">
        <v>9</v>
      </c>
      <c r="E468" s="48" t="s">
        <v>26</v>
      </c>
      <c r="F468" s="48" t="s">
        <v>23</v>
      </c>
      <c r="G468" s="49">
        <v>7.0000000000000007E-2</v>
      </c>
      <c r="H468" s="10">
        <v>0.63000000000000012</v>
      </c>
      <c r="I468" s="52">
        <v>1</v>
      </c>
      <c r="J468" s="10">
        <v>9</v>
      </c>
      <c r="K468" s="55" t="s">
        <v>346</v>
      </c>
      <c r="L468" s="57">
        <v>0.92999999999999994</v>
      </c>
      <c r="M468" s="50">
        <v>8.3699999999999992</v>
      </c>
      <c r="N468" s="61"/>
      <c r="O468" s="50"/>
      <c r="P468" s="52" t="s">
        <v>20</v>
      </c>
    </row>
    <row r="469" spans="1:16" ht="15.75" customHeight="1" outlineLevel="2">
      <c r="A469" s="28">
        <v>8</v>
      </c>
      <c r="B469" s="32">
        <v>45509</v>
      </c>
      <c r="C469" s="36" t="s">
        <v>323</v>
      </c>
      <c r="D469" s="43">
        <v>1</v>
      </c>
      <c r="E469" s="48" t="s">
        <v>26</v>
      </c>
      <c r="F469" s="48" t="s">
        <v>23</v>
      </c>
      <c r="G469" s="49">
        <v>7.0000000000000007E-2</v>
      </c>
      <c r="H469" s="10">
        <v>7.0000000000000007E-2</v>
      </c>
      <c r="I469" s="52">
        <v>1</v>
      </c>
      <c r="J469" s="10">
        <v>1</v>
      </c>
      <c r="K469" s="55" t="s">
        <v>346</v>
      </c>
      <c r="L469" s="57">
        <v>0.92999999999999994</v>
      </c>
      <c r="M469" s="50">
        <v>0.92999999999999994</v>
      </c>
      <c r="N469" s="61"/>
      <c r="O469" s="50"/>
      <c r="P469" s="52" t="s">
        <v>20</v>
      </c>
    </row>
    <row r="470" spans="1:16" ht="15.75" customHeight="1" outlineLevel="2">
      <c r="A470" s="28">
        <v>8</v>
      </c>
      <c r="B470" s="32">
        <v>45509</v>
      </c>
      <c r="C470" s="36" t="s">
        <v>375</v>
      </c>
      <c r="D470" s="43">
        <v>1</v>
      </c>
      <c r="E470" s="48" t="s">
        <v>26</v>
      </c>
      <c r="F470" s="48" t="s">
        <v>23</v>
      </c>
      <c r="G470" s="49">
        <v>14</v>
      </c>
      <c r="H470" s="10">
        <v>14</v>
      </c>
      <c r="I470" s="52">
        <v>30</v>
      </c>
      <c r="J470" s="10">
        <v>30</v>
      </c>
      <c r="K470" s="55" t="s">
        <v>346</v>
      </c>
      <c r="L470" s="57">
        <v>0.53333333333333333</v>
      </c>
      <c r="M470" s="50">
        <v>16</v>
      </c>
      <c r="N470" s="61"/>
      <c r="O470" s="50"/>
      <c r="P470" s="52" t="s">
        <v>20</v>
      </c>
    </row>
    <row r="471" spans="1:16" ht="15.75" customHeight="1" outlineLevel="2">
      <c r="A471" s="28">
        <v>8</v>
      </c>
      <c r="B471" s="32">
        <v>45509</v>
      </c>
      <c r="C471" s="36" t="s">
        <v>243</v>
      </c>
      <c r="D471" s="43">
        <v>2</v>
      </c>
      <c r="E471" s="48" t="s">
        <v>26</v>
      </c>
      <c r="F471" s="48" t="s">
        <v>23</v>
      </c>
      <c r="G471" s="49">
        <v>1</v>
      </c>
      <c r="H471" s="10">
        <v>2</v>
      </c>
      <c r="I471" s="52">
        <v>10</v>
      </c>
      <c r="J471" s="10">
        <v>20</v>
      </c>
      <c r="K471" s="55" t="s">
        <v>346</v>
      </c>
      <c r="L471" s="57">
        <v>0.9</v>
      </c>
      <c r="M471" s="50">
        <v>18</v>
      </c>
      <c r="N471" s="61"/>
      <c r="O471" s="50"/>
      <c r="P471" s="52" t="s">
        <v>20</v>
      </c>
    </row>
    <row r="472" spans="1:16" ht="15.75" customHeight="1" outlineLevel="2">
      <c r="A472" s="28">
        <v>8</v>
      </c>
      <c r="B472" s="32">
        <v>45509</v>
      </c>
      <c r="C472" s="36" t="s">
        <v>376</v>
      </c>
      <c r="D472" s="43">
        <v>1</v>
      </c>
      <c r="E472" s="48" t="s">
        <v>26</v>
      </c>
      <c r="F472" s="48" t="s">
        <v>23</v>
      </c>
      <c r="G472" s="49">
        <v>17</v>
      </c>
      <c r="H472" s="10">
        <v>17</v>
      </c>
      <c r="I472" s="52">
        <v>30</v>
      </c>
      <c r="J472" s="10">
        <v>30</v>
      </c>
      <c r="K472" s="55" t="s">
        <v>346</v>
      </c>
      <c r="L472" s="57">
        <v>0.43333333333333335</v>
      </c>
      <c r="M472" s="50">
        <v>13</v>
      </c>
      <c r="N472" s="61"/>
      <c r="O472" s="50"/>
      <c r="P472" s="52" t="s">
        <v>20</v>
      </c>
    </row>
    <row r="473" spans="1:16" ht="15.75" customHeight="1" outlineLevel="2">
      <c r="A473" s="28">
        <v>8</v>
      </c>
      <c r="B473" s="32">
        <v>45510</v>
      </c>
      <c r="C473" s="36" t="s">
        <v>323</v>
      </c>
      <c r="D473" s="43">
        <v>1</v>
      </c>
      <c r="E473" s="48" t="s">
        <v>26</v>
      </c>
      <c r="F473" s="48" t="s">
        <v>23</v>
      </c>
      <c r="G473" s="49">
        <v>7.0000000000000007E-2</v>
      </c>
      <c r="H473" s="10">
        <v>7.0000000000000007E-2</v>
      </c>
      <c r="I473" s="52">
        <v>1</v>
      </c>
      <c r="J473" s="10">
        <v>1</v>
      </c>
      <c r="K473" s="55" t="s">
        <v>346</v>
      </c>
      <c r="L473" s="57">
        <v>0.92999999999999994</v>
      </c>
      <c r="M473" s="50">
        <v>0.92999999999999994</v>
      </c>
      <c r="N473" s="61"/>
      <c r="O473" s="50"/>
      <c r="P473" s="52" t="s">
        <v>20</v>
      </c>
    </row>
    <row r="474" spans="1:16" ht="15.75" customHeight="1" outlineLevel="2">
      <c r="A474" s="28">
        <v>8</v>
      </c>
      <c r="B474" s="32">
        <v>45510</v>
      </c>
      <c r="C474" s="36" t="s">
        <v>183</v>
      </c>
      <c r="D474" s="43">
        <v>1</v>
      </c>
      <c r="E474" s="48" t="s">
        <v>330</v>
      </c>
      <c r="F474" s="48" t="s">
        <v>18</v>
      </c>
      <c r="G474" s="49">
        <v>5</v>
      </c>
      <c r="H474" s="10">
        <v>5</v>
      </c>
      <c r="I474" s="52">
        <v>10</v>
      </c>
      <c r="J474" s="10">
        <v>10</v>
      </c>
      <c r="K474" s="55" t="s">
        <v>346</v>
      </c>
      <c r="L474" s="57">
        <v>0.5</v>
      </c>
      <c r="M474" s="50">
        <v>5</v>
      </c>
      <c r="N474" s="62"/>
      <c r="O474" s="50">
        <v>10</v>
      </c>
      <c r="P474" s="52" t="s">
        <v>135</v>
      </c>
    </row>
    <row r="475" spans="1:16" ht="15.75" customHeight="1" outlineLevel="2">
      <c r="A475" s="28">
        <v>8</v>
      </c>
      <c r="B475" s="32">
        <v>45511</v>
      </c>
      <c r="C475" s="36" t="s">
        <v>377</v>
      </c>
      <c r="D475" s="43">
        <v>1</v>
      </c>
      <c r="E475" s="48" t="s">
        <v>374</v>
      </c>
      <c r="F475" s="48" t="s">
        <v>23</v>
      </c>
      <c r="G475" s="49">
        <v>18</v>
      </c>
      <c r="H475" s="10">
        <v>18</v>
      </c>
      <c r="I475" s="52">
        <v>60</v>
      </c>
      <c r="J475" s="10">
        <v>60</v>
      </c>
      <c r="K475" s="55" t="s">
        <v>346</v>
      </c>
      <c r="L475" s="57">
        <v>0.7</v>
      </c>
      <c r="M475" s="50">
        <v>42</v>
      </c>
      <c r="N475" s="61"/>
      <c r="O475" s="50"/>
      <c r="P475" s="52" t="s">
        <v>20</v>
      </c>
    </row>
    <row r="476" spans="1:16" ht="15.75" customHeight="1" outlineLevel="2">
      <c r="A476" s="28">
        <v>8</v>
      </c>
      <c r="B476" s="32">
        <v>45511</v>
      </c>
      <c r="C476" s="36" t="s">
        <v>283</v>
      </c>
      <c r="D476" s="43">
        <v>1</v>
      </c>
      <c r="E476" s="48" t="s">
        <v>26</v>
      </c>
      <c r="F476" s="48" t="s">
        <v>18</v>
      </c>
      <c r="G476" s="49">
        <v>18</v>
      </c>
      <c r="H476" s="10">
        <v>18</v>
      </c>
      <c r="I476" s="52">
        <v>30</v>
      </c>
      <c r="J476" s="10">
        <v>30</v>
      </c>
      <c r="K476" s="55" t="s">
        <v>346</v>
      </c>
      <c r="L476" s="57">
        <v>0.4</v>
      </c>
      <c r="M476" s="50">
        <v>12</v>
      </c>
      <c r="N476" s="62"/>
      <c r="O476" s="50">
        <v>30</v>
      </c>
      <c r="P476" s="52" t="s">
        <v>135</v>
      </c>
    </row>
    <row r="477" spans="1:16" ht="15.75" customHeight="1" outlineLevel="2">
      <c r="A477" s="28">
        <v>8</v>
      </c>
      <c r="B477" s="32">
        <v>45511</v>
      </c>
      <c r="C477" s="36" t="s">
        <v>378</v>
      </c>
      <c r="D477" s="43">
        <v>1</v>
      </c>
      <c r="E477" s="48" t="s">
        <v>26</v>
      </c>
      <c r="F477" s="48" t="s">
        <v>23</v>
      </c>
      <c r="G477" s="49">
        <v>11</v>
      </c>
      <c r="H477" s="10">
        <v>11</v>
      </c>
      <c r="I477" s="52">
        <v>30</v>
      </c>
      <c r="J477" s="10">
        <v>30</v>
      </c>
      <c r="K477" s="55" t="s">
        <v>346</v>
      </c>
      <c r="L477" s="57">
        <v>0.6333333333333333</v>
      </c>
      <c r="M477" s="50">
        <v>19</v>
      </c>
      <c r="N477" s="61"/>
      <c r="O477" s="50"/>
      <c r="P477" s="52" t="s">
        <v>20</v>
      </c>
    </row>
    <row r="478" spans="1:16" ht="15.75" customHeight="1" outlineLevel="2">
      <c r="A478" s="28">
        <v>8</v>
      </c>
      <c r="B478" s="32">
        <v>45512</v>
      </c>
      <c r="C478" s="36" t="s">
        <v>323</v>
      </c>
      <c r="D478" s="43">
        <v>4</v>
      </c>
      <c r="E478" s="48" t="s">
        <v>26</v>
      </c>
      <c r="F478" s="48" t="s">
        <v>23</v>
      </c>
      <c r="G478" s="49">
        <v>7.0000000000000007E-2</v>
      </c>
      <c r="H478" s="10">
        <v>0.28000000000000003</v>
      </c>
      <c r="I478" s="52">
        <v>1</v>
      </c>
      <c r="J478" s="10">
        <v>4</v>
      </c>
      <c r="K478" s="55" t="s">
        <v>346</v>
      </c>
      <c r="L478" s="57">
        <v>0.92999999999999994</v>
      </c>
      <c r="M478" s="50">
        <v>3.7199999999999998</v>
      </c>
      <c r="N478" s="61"/>
      <c r="O478" s="50"/>
      <c r="P478" s="52" t="s">
        <v>20</v>
      </c>
    </row>
    <row r="479" spans="1:16" ht="15.75" customHeight="1" outlineLevel="2">
      <c r="A479" s="28">
        <v>8</v>
      </c>
      <c r="B479" s="32">
        <v>45512</v>
      </c>
      <c r="C479" s="36" t="s">
        <v>334</v>
      </c>
      <c r="D479" s="43">
        <v>3</v>
      </c>
      <c r="E479" s="48" t="s">
        <v>26</v>
      </c>
      <c r="F479" s="48" t="s">
        <v>23</v>
      </c>
      <c r="G479" s="49">
        <v>0.05</v>
      </c>
      <c r="H479" s="10">
        <v>0.15000000000000002</v>
      </c>
      <c r="I479" s="52">
        <v>1</v>
      </c>
      <c r="J479" s="10">
        <v>3</v>
      </c>
      <c r="K479" s="55" t="s">
        <v>346</v>
      </c>
      <c r="L479" s="57">
        <v>0.95000000000000007</v>
      </c>
      <c r="M479" s="50">
        <v>2.85</v>
      </c>
      <c r="N479" s="61"/>
      <c r="O479" s="50"/>
      <c r="P479" s="52" t="s">
        <v>20</v>
      </c>
    </row>
    <row r="480" spans="1:16" ht="15.75" customHeight="1" outlineLevel="2">
      <c r="A480" s="28">
        <v>8</v>
      </c>
      <c r="B480" s="32">
        <v>45512</v>
      </c>
      <c r="C480" s="36" t="s">
        <v>274</v>
      </c>
      <c r="D480" s="43">
        <v>1</v>
      </c>
      <c r="E480" s="48" t="s">
        <v>26</v>
      </c>
      <c r="F480" s="48" t="s">
        <v>23</v>
      </c>
      <c r="G480" s="49">
        <v>0</v>
      </c>
      <c r="H480" s="10">
        <v>0</v>
      </c>
      <c r="I480" s="52">
        <v>10</v>
      </c>
      <c r="J480" s="10">
        <v>10</v>
      </c>
      <c r="K480" s="55" t="s">
        <v>346</v>
      </c>
      <c r="L480" s="57">
        <v>1</v>
      </c>
      <c r="M480" s="50">
        <v>10</v>
      </c>
      <c r="N480" s="61"/>
      <c r="O480" s="50"/>
      <c r="P480" s="52" t="s">
        <v>20</v>
      </c>
    </row>
    <row r="481" spans="1:16" ht="15.75" customHeight="1" outlineLevel="2">
      <c r="A481" s="28">
        <v>8</v>
      </c>
      <c r="B481" s="32">
        <v>45512</v>
      </c>
      <c r="C481" s="36" t="s">
        <v>274</v>
      </c>
      <c r="D481" s="43">
        <v>1</v>
      </c>
      <c r="E481" s="48" t="s">
        <v>26</v>
      </c>
      <c r="F481" s="48" t="s">
        <v>322</v>
      </c>
      <c r="G481" s="49">
        <v>0</v>
      </c>
      <c r="H481" s="10">
        <v>0</v>
      </c>
      <c r="I481" s="52">
        <v>100</v>
      </c>
      <c r="J481" s="10">
        <v>100</v>
      </c>
      <c r="K481" s="55" t="s">
        <v>346</v>
      </c>
      <c r="L481" s="57">
        <v>1</v>
      </c>
      <c r="M481" s="50">
        <v>100</v>
      </c>
      <c r="N481" s="61"/>
      <c r="O481" s="50"/>
      <c r="P481" s="52" t="s">
        <v>20</v>
      </c>
    </row>
    <row r="482" spans="1:16" ht="15.75" customHeight="1" outlineLevel="2">
      <c r="A482" s="28">
        <v>8</v>
      </c>
      <c r="B482" s="32">
        <v>45512</v>
      </c>
      <c r="C482" s="36" t="s">
        <v>274</v>
      </c>
      <c r="D482" s="43">
        <v>1</v>
      </c>
      <c r="E482" s="48" t="s">
        <v>26</v>
      </c>
      <c r="F482" s="48" t="s">
        <v>18</v>
      </c>
      <c r="G482" s="49">
        <v>0</v>
      </c>
      <c r="H482" s="10">
        <v>0</v>
      </c>
      <c r="I482" s="52">
        <v>306</v>
      </c>
      <c r="J482" s="10">
        <v>306</v>
      </c>
      <c r="K482" s="55" t="s">
        <v>346</v>
      </c>
      <c r="L482" s="57">
        <v>1</v>
      </c>
      <c r="M482" s="50">
        <v>306</v>
      </c>
      <c r="N482" s="61"/>
      <c r="O482" s="50"/>
      <c r="P482" s="52" t="s">
        <v>20</v>
      </c>
    </row>
    <row r="483" spans="1:16" ht="15.75" customHeight="1" outlineLevel="2">
      <c r="A483" s="28">
        <v>8</v>
      </c>
      <c r="B483" s="32">
        <v>45512</v>
      </c>
      <c r="C483" s="36" t="s">
        <v>375</v>
      </c>
      <c r="D483" s="43">
        <v>1</v>
      </c>
      <c r="E483" s="48" t="s">
        <v>26</v>
      </c>
      <c r="F483" s="48" t="s">
        <v>379</v>
      </c>
      <c r="G483" s="49">
        <v>14</v>
      </c>
      <c r="H483" s="10">
        <v>14</v>
      </c>
      <c r="I483" s="52">
        <v>30</v>
      </c>
      <c r="J483" s="10">
        <v>30</v>
      </c>
      <c r="K483" s="55" t="s">
        <v>346</v>
      </c>
      <c r="L483" s="57">
        <v>0.53333333333333333</v>
      </c>
      <c r="M483" s="50">
        <v>16</v>
      </c>
      <c r="N483" s="61"/>
      <c r="O483" s="50"/>
      <c r="P483" s="52" t="s">
        <v>20</v>
      </c>
    </row>
    <row r="484" spans="1:16" ht="15.75" customHeight="1" outlineLevel="2">
      <c r="A484" s="28">
        <v>8</v>
      </c>
      <c r="B484" s="32">
        <v>45516</v>
      </c>
      <c r="C484" s="36" t="s">
        <v>323</v>
      </c>
      <c r="D484" s="43">
        <v>1</v>
      </c>
      <c r="E484" s="48" t="s">
        <v>26</v>
      </c>
      <c r="F484" s="48" t="s">
        <v>23</v>
      </c>
      <c r="G484" s="49">
        <v>7.0000000000000007E-2</v>
      </c>
      <c r="H484" s="10">
        <v>7.0000000000000007E-2</v>
      </c>
      <c r="I484" s="52">
        <v>1</v>
      </c>
      <c r="J484" s="10">
        <v>1</v>
      </c>
      <c r="K484" s="55" t="s">
        <v>346</v>
      </c>
      <c r="L484" s="57">
        <v>0.92999999999999994</v>
      </c>
      <c r="M484" s="50">
        <v>0.92999999999999994</v>
      </c>
      <c r="N484" s="61"/>
      <c r="O484" s="50"/>
      <c r="P484" s="52" t="s">
        <v>20</v>
      </c>
    </row>
    <row r="485" spans="1:16" ht="15.75" customHeight="1" outlineLevel="2">
      <c r="A485" s="28">
        <v>8</v>
      </c>
      <c r="B485" s="32">
        <v>45516</v>
      </c>
      <c r="C485" s="36" t="s">
        <v>356</v>
      </c>
      <c r="D485" s="43">
        <v>1</v>
      </c>
      <c r="E485" s="48" t="s">
        <v>380</v>
      </c>
      <c r="F485" s="48" t="s">
        <v>23</v>
      </c>
      <c r="G485" s="49">
        <v>35</v>
      </c>
      <c r="H485" s="10">
        <v>35</v>
      </c>
      <c r="I485" s="52">
        <v>70</v>
      </c>
      <c r="J485" s="10">
        <v>70</v>
      </c>
      <c r="K485" s="55" t="s">
        <v>346</v>
      </c>
      <c r="L485" s="57">
        <v>0.5</v>
      </c>
      <c r="M485" s="50">
        <v>35</v>
      </c>
      <c r="N485" s="61"/>
      <c r="O485" s="50"/>
      <c r="P485" s="52" t="s">
        <v>20</v>
      </c>
    </row>
    <row r="486" spans="1:16" ht="15.75" customHeight="1" outlineLevel="2">
      <c r="A486" s="28">
        <v>8</v>
      </c>
      <c r="B486" s="32">
        <v>45517</v>
      </c>
      <c r="C486" s="36" t="s">
        <v>323</v>
      </c>
      <c r="D486" s="43">
        <v>6</v>
      </c>
      <c r="E486" s="48" t="s">
        <v>381</v>
      </c>
      <c r="F486" s="48" t="s">
        <v>23</v>
      </c>
      <c r="G486" s="49">
        <v>7.0000000000000007E-2</v>
      </c>
      <c r="H486" s="10">
        <v>0.42000000000000004</v>
      </c>
      <c r="I486" s="52">
        <v>1</v>
      </c>
      <c r="J486" s="10">
        <v>6</v>
      </c>
      <c r="K486" s="55" t="s">
        <v>30</v>
      </c>
      <c r="L486" s="57">
        <v>0.93</v>
      </c>
      <c r="M486" s="50">
        <v>5.58</v>
      </c>
      <c r="N486" s="61"/>
      <c r="O486" s="50"/>
      <c r="P486" s="52" t="s">
        <v>20</v>
      </c>
    </row>
    <row r="487" spans="1:16" ht="15.75" customHeight="1" outlineLevel="2">
      <c r="A487" s="28">
        <v>8</v>
      </c>
      <c r="B487" s="32">
        <v>45517</v>
      </c>
      <c r="C487" s="36" t="s">
        <v>382</v>
      </c>
      <c r="D487" s="43">
        <v>1</v>
      </c>
      <c r="E487" s="48" t="s">
        <v>26</v>
      </c>
      <c r="F487" s="48" t="s">
        <v>23</v>
      </c>
      <c r="G487" s="49">
        <v>10</v>
      </c>
      <c r="H487" s="10">
        <v>10</v>
      </c>
      <c r="I487" s="52">
        <v>22.5</v>
      </c>
      <c r="J487" s="10">
        <v>22.5</v>
      </c>
      <c r="K487" s="55" t="s">
        <v>30</v>
      </c>
      <c r="L487" s="57">
        <v>0.55555555555555558</v>
      </c>
      <c r="M487" s="50">
        <v>12.5</v>
      </c>
      <c r="N487" s="61"/>
      <c r="O487" s="50"/>
      <c r="P487" s="52" t="s">
        <v>20</v>
      </c>
    </row>
    <row r="488" spans="1:16" ht="15.75" customHeight="1" outlineLevel="2">
      <c r="A488" s="28">
        <v>8</v>
      </c>
      <c r="B488" s="32">
        <v>45519</v>
      </c>
      <c r="C488" s="36" t="s">
        <v>364</v>
      </c>
      <c r="D488" s="43">
        <v>1</v>
      </c>
      <c r="E488" s="48" t="s">
        <v>383</v>
      </c>
      <c r="F488" s="48" t="s">
        <v>23</v>
      </c>
      <c r="G488" s="49">
        <v>6</v>
      </c>
      <c r="H488" s="10">
        <v>6</v>
      </c>
      <c r="I488" s="52">
        <v>25</v>
      </c>
      <c r="J488" s="10">
        <v>25</v>
      </c>
      <c r="K488" s="55" t="s">
        <v>346</v>
      </c>
      <c r="L488" s="57">
        <v>0.76</v>
      </c>
      <c r="M488" s="50">
        <v>19</v>
      </c>
      <c r="N488" s="61"/>
      <c r="O488" s="50"/>
      <c r="P488" s="52" t="s">
        <v>20</v>
      </c>
    </row>
    <row r="489" spans="1:16" ht="15.75" customHeight="1" outlineLevel="2">
      <c r="A489" s="28">
        <v>8</v>
      </c>
      <c r="B489" s="32">
        <v>45519</v>
      </c>
      <c r="C489" s="36" t="s">
        <v>378</v>
      </c>
      <c r="D489" s="43">
        <v>1</v>
      </c>
      <c r="E489" s="48" t="s">
        <v>383</v>
      </c>
      <c r="F489" s="48" t="s">
        <v>23</v>
      </c>
      <c r="G489" s="49">
        <v>11</v>
      </c>
      <c r="H489" s="10">
        <v>11</v>
      </c>
      <c r="I489" s="52">
        <v>25</v>
      </c>
      <c r="J489" s="10">
        <v>25</v>
      </c>
      <c r="K489" s="55" t="s">
        <v>346</v>
      </c>
      <c r="L489" s="57">
        <v>0.56000000000000005</v>
      </c>
      <c r="M489" s="50">
        <v>14</v>
      </c>
      <c r="N489" s="61"/>
      <c r="O489" s="50"/>
      <c r="P489" s="52" t="s">
        <v>20</v>
      </c>
    </row>
    <row r="490" spans="1:16" ht="15.75" customHeight="1" outlineLevel="2">
      <c r="A490" s="28">
        <v>8</v>
      </c>
      <c r="B490" s="32">
        <v>45519</v>
      </c>
      <c r="C490" s="36" t="s">
        <v>343</v>
      </c>
      <c r="D490" s="43">
        <v>1</v>
      </c>
      <c r="E490" s="48" t="s">
        <v>383</v>
      </c>
      <c r="F490" s="48" t="s">
        <v>23</v>
      </c>
      <c r="G490" s="49">
        <v>3</v>
      </c>
      <c r="H490" s="10">
        <v>3</v>
      </c>
      <c r="I490" s="52">
        <v>15</v>
      </c>
      <c r="J490" s="10">
        <v>15</v>
      </c>
      <c r="K490" s="55" t="s">
        <v>346</v>
      </c>
      <c r="L490" s="57">
        <v>0.8</v>
      </c>
      <c r="M490" s="50">
        <v>12</v>
      </c>
      <c r="N490" s="61"/>
      <c r="O490" s="50"/>
      <c r="P490" s="52" t="s">
        <v>20</v>
      </c>
    </row>
    <row r="491" spans="1:16" ht="15.75" customHeight="1" outlineLevel="2">
      <c r="A491" s="28">
        <v>8</v>
      </c>
      <c r="B491" s="32">
        <v>45519</v>
      </c>
      <c r="C491" s="36" t="s">
        <v>334</v>
      </c>
      <c r="D491" s="43">
        <v>6</v>
      </c>
      <c r="E491" s="48" t="s">
        <v>26</v>
      </c>
      <c r="F491" s="48" t="s">
        <v>23</v>
      </c>
      <c r="G491" s="49">
        <v>0.05</v>
      </c>
      <c r="H491" s="10">
        <v>0.30000000000000004</v>
      </c>
      <c r="I491" s="52">
        <v>1</v>
      </c>
      <c r="J491" s="10">
        <v>6</v>
      </c>
      <c r="K491" s="55" t="s">
        <v>346</v>
      </c>
      <c r="L491" s="57">
        <v>0.95000000000000007</v>
      </c>
      <c r="M491" s="50">
        <v>5.7</v>
      </c>
      <c r="N491" s="61"/>
      <c r="O491" s="50"/>
      <c r="P491" s="52" t="s">
        <v>20</v>
      </c>
    </row>
    <row r="492" spans="1:16" ht="15.75" customHeight="1" outlineLevel="2">
      <c r="A492" s="28">
        <v>8</v>
      </c>
      <c r="B492" s="32">
        <v>45519</v>
      </c>
      <c r="C492" s="36" t="s">
        <v>323</v>
      </c>
      <c r="D492" s="43">
        <v>6</v>
      </c>
      <c r="E492" s="48" t="s">
        <v>26</v>
      </c>
      <c r="F492" s="48" t="s">
        <v>23</v>
      </c>
      <c r="G492" s="49">
        <v>7.0000000000000007E-2</v>
      </c>
      <c r="H492" s="10">
        <v>0.42000000000000004</v>
      </c>
      <c r="I492" s="52">
        <v>1</v>
      </c>
      <c r="J492" s="10">
        <v>6</v>
      </c>
      <c r="K492" s="55" t="s">
        <v>346</v>
      </c>
      <c r="L492" s="57">
        <v>0.93</v>
      </c>
      <c r="M492" s="50">
        <v>5.58</v>
      </c>
      <c r="N492" s="61"/>
      <c r="O492" s="50"/>
      <c r="P492" s="52" t="s">
        <v>20</v>
      </c>
    </row>
    <row r="493" spans="1:16" ht="15.75" customHeight="1" outlineLevel="2">
      <c r="A493" s="28">
        <v>8</v>
      </c>
      <c r="B493" s="32">
        <v>45520</v>
      </c>
      <c r="C493" s="36" t="s">
        <v>384</v>
      </c>
      <c r="D493" s="43">
        <v>1</v>
      </c>
      <c r="E493" s="48" t="s">
        <v>348</v>
      </c>
      <c r="F493" s="48" t="s">
        <v>23</v>
      </c>
      <c r="G493" s="49">
        <v>24.5</v>
      </c>
      <c r="H493" s="10">
        <v>24.5</v>
      </c>
      <c r="I493" s="52">
        <v>40</v>
      </c>
      <c r="J493" s="10">
        <v>40</v>
      </c>
      <c r="K493" s="55" t="s">
        <v>346</v>
      </c>
      <c r="L493" s="57">
        <v>0.38750000000000001</v>
      </c>
      <c r="M493" s="50">
        <v>15.5</v>
      </c>
      <c r="N493" s="61"/>
      <c r="O493" s="50"/>
      <c r="P493" s="52" t="s">
        <v>20</v>
      </c>
    </row>
    <row r="494" spans="1:16" ht="15.75" customHeight="1" outlineLevel="2">
      <c r="A494" s="28">
        <v>8</v>
      </c>
      <c r="B494" s="32">
        <v>45520</v>
      </c>
      <c r="C494" s="36" t="s">
        <v>323</v>
      </c>
      <c r="D494" s="43">
        <v>9</v>
      </c>
      <c r="E494" s="48" t="s">
        <v>365</v>
      </c>
      <c r="F494" s="48" t="s">
        <v>23</v>
      </c>
      <c r="G494" s="49">
        <v>7.0000000000000007E-2</v>
      </c>
      <c r="H494" s="10">
        <v>0.63000000000000012</v>
      </c>
      <c r="I494" s="52">
        <v>1</v>
      </c>
      <c r="J494" s="10">
        <v>9</v>
      </c>
      <c r="K494" s="55" t="s">
        <v>346</v>
      </c>
      <c r="L494" s="57">
        <v>0.92999999999999994</v>
      </c>
      <c r="M494" s="50">
        <v>8.3699999999999992</v>
      </c>
      <c r="N494" s="61"/>
      <c r="O494" s="50"/>
      <c r="P494" s="52" t="s">
        <v>20</v>
      </c>
    </row>
    <row r="495" spans="1:16" ht="15.75" customHeight="1" outlineLevel="2">
      <c r="A495" s="28">
        <v>8</v>
      </c>
      <c r="B495" s="32">
        <v>45520</v>
      </c>
      <c r="C495" s="36" t="s">
        <v>323</v>
      </c>
      <c r="D495" s="43">
        <v>9</v>
      </c>
      <c r="E495" s="48" t="s">
        <v>26</v>
      </c>
      <c r="F495" s="48" t="s">
        <v>23</v>
      </c>
      <c r="G495" s="49">
        <v>7.0000000000000007E-2</v>
      </c>
      <c r="H495" s="10">
        <v>0.63000000000000012</v>
      </c>
      <c r="I495" s="52">
        <v>1</v>
      </c>
      <c r="J495" s="10">
        <v>9</v>
      </c>
      <c r="K495" s="55" t="s">
        <v>346</v>
      </c>
      <c r="L495" s="57">
        <v>0.92999999999999994</v>
      </c>
      <c r="M495" s="50">
        <v>8.3699999999999992</v>
      </c>
      <c r="N495" s="61"/>
      <c r="O495" s="50"/>
      <c r="P495" s="52" t="s">
        <v>20</v>
      </c>
    </row>
    <row r="496" spans="1:16" ht="15.75" customHeight="1" outlineLevel="2">
      <c r="A496" s="28">
        <v>8</v>
      </c>
      <c r="B496" s="32">
        <v>45521</v>
      </c>
      <c r="C496" s="36" t="s">
        <v>358</v>
      </c>
      <c r="D496" s="43">
        <v>1</v>
      </c>
      <c r="E496" s="48" t="s">
        <v>385</v>
      </c>
      <c r="F496" s="48" t="s">
        <v>23</v>
      </c>
      <c r="G496" s="49">
        <v>10</v>
      </c>
      <c r="H496" s="10">
        <v>10</v>
      </c>
      <c r="I496" s="52">
        <v>30</v>
      </c>
      <c r="J496" s="10">
        <v>30</v>
      </c>
      <c r="K496" s="55" t="s">
        <v>346</v>
      </c>
      <c r="L496" s="57">
        <v>0.66666666666666663</v>
      </c>
      <c r="M496" s="50">
        <v>20</v>
      </c>
      <c r="N496" s="61"/>
      <c r="O496" s="50"/>
      <c r="P496" s="52" t="s">
        <v>20</v>
      </c>
    </row>
    <row r="497" spans="1:16" ht="15.75" customHeight="1" outlineLevel="2">
      <c r="A497" s="28">
        <v>8</v>
      </c>
      <c r="B497" s="32">
        <v>45521</v>
      </c>
      <c r="C497" s="36" t="s">
        <v>323</v>
      </c>
      <c r="D497" s="43">
        <v>4</v>
      </c>
      <c r="E497" s="48" t="s">
        <v>26</v>
      </c>
      <c r="F497" s="48" t="s">
        <v>23</v>
      </c>
      <c r="G497" s="49">
        <v>7.0000000000000007E-2</v>
      </c>
      <c r="H497" s="10">
        <v>0.28000000000000003</v>
      </c>
      <c r="I497" s="52">
        <v>1</v>
      </c>
      <c r="J497" s="10">
        <v>4</v>
      </c>
      <c r="K497" s="55" t="s">
        <v>346</v>
      </c>
      <c r="L497" s="57">
        <v>0.92999999999999994</v>
      </c>
      <c r="M497" s="50">
        <v>3.7199999999999998</v>
      </c>
      <c r="N497" s="61"/>
      <c r="O497" s="50"/>
      <c r="P497" s="52" t="s">
        <v>20</v>
      </c>
    </row>
    <row r="498" spans="1:16" ht="15.75" customHeight="1" outlineLevel="2">
      <c r="A498" s="28">
        <v>8</v>
      </c>
      <c r="B498" s="32">
        <v>45521</v>
      </c>
      <c r="C498" s="36" t="s">
        <v>351</v>
      </c>
      <c r="D498" s="43">
        <v>1</v>
      </c>
      <c r="E498" s="48" t="s">
        <v>26</v>
      </c>
      <c r="F498" s="48" t="s">
        <v>23</v>
      </c>
      <c r="G498" s="49">
        <v>0.05</v>
      </c>
      <c r="H498" s="10">
        <v>0.05</v>
      </c>
      <c r="I498" s="52">
        <v>2</v>
      </c>
      <c r="J498" s="10">
        <v>2</v>
      </c>
      <c r="K498" s="55" t="s">
        <v>346</v>
      </c>
      <c r="L498" s="57">
        <v>0.97499999999999998</v>
      </c>
      <c r="M498" s="50">
        <v>1.95</v>
      </c>
      <c r="N498" s="61"/>
      <c r="O498" s="50"/>
      <c r="P498" s="52" t="s">
        <v>20</v>
      </c>
    </row>
    <row r="499" spans="1:16" ht="16.5" customHeight="1" outlineLevel="2">
      <c r="A499" s="28">
        <v>8</v>
      </c>
      <c r="B499" s="32">
        <v>45521</v>
      </c>
      <c r="C499" s="36" t="s">
        <v>323</v>
      </c>
      <c r="D499" s="43">
        <v>2</v>
      </c>
      <c r="E499" s="48" t="s">
        <v>26</v>
      </c>
      <c r="F499" s="48" t="s">
        <v>23</v>
      </c>
      <c r="G499" s="49">
        <v>7.0000000000000007E-2</v>
      </c>
      <c r="H499" s="10">
        <v>0.14000000000000001</v>
      </c>
      <c r="I499" s="52">
        <v>1</v>
      </c>
      <c r="J499" s="10">
        <v>2</v>
      </c>
      <c r="K499" s="55" t="s">
        <v>386</v>
      </c>
      <c r="L499" s="57">
        <v>0.92999999999999994</v>
      </c>
      <c r="M499" s="50">
        <v>1.8599999999999999</v>
      </c>
      <c r="N499" s="61"/>
      <c r="O499" s="50"/>
      <c r="P499" s="52" t="s">
        <v>20</v>
      </c>
    </row>
    <row r="500" spans="1:16" ht="15.75" customHeight="1" outlineLevel="2">
      <c r="A500" s="28">
        <v>8</v>
      </c>
      <c r="B500" s="32">
        <v>45523</v>
      </c>
      <c r="C500" s="36" t="s">
        <v>334</v>
      </c>
      <c r="D500" s="43">
        <v>5</v>
      </c>
      <c r="E500" s="48" t="s">
        <v>26</v>
      </c>
      <c r="F500" s="48" t="s">
        <v>23</v>
      </c>
      <c r="G500" s="49">
        <v>0.05</v>
      </c>
      <c r="H500" s="10">
        <v>0.25</v>
      </c>
      <c r="I500" s="52">
        <v>1</v>
      </c>
      <c r="J500" s="10">
        <v>5</v>
      </c>
      <c r="K500" s="55" t="s">
        <v>346</v>
      </c>
      <c r="L500" s="57">
        <v>0.95</v>
      </c>
      <c r="M500" s="50">
        <v>4.75</v>
      </c>
      <c r="N500" s="61"/>
      <c r="O500" s="50"/>
      <c r="P500" s="52" t="s">
        <v>20</v>
      </c>
    </row>
    <row r="501" spans="1:16" ht="15.75" customHeight="1" outlineLevel="2">
      <c r="A501" s="28">
        <v>8</v>
      </c>
      <c r="B501" s="32">
        <v>45523</v>
      </c>
      <c r="C501" s="36" t="s">
        <v>323</v>
      </c>
      <c r="D501" s="43">
        <v>1</v>
      </c>
      <c r="E501" s="48" t="s">
        <v>26</v>
      </c>
      <c r="F501" s="48" t="s">
        <v>23</v>
      </c>
      <c r="G501" s="49">
        <v>7.0000000000000007E-2</v>
      </c>
      <c r="H501" s="10">
        <v>7.0000000000000007E-2</v>
      </c>
      <c r="I501" s="52">
        <v>1</v>
      </c>
      <c r="J501" s="10">
        <v>1</v>
      </c>
      <c r="K501" s="55" t="s">
        <v>346</v>
      </c>
      <c r="L501" s="57">
        <v>0.92999999999999994</v>
      </c>
      <c r="M501" s="50">
        <v>0.92999999999999994</v>
      </c>
      <c r="N501" s="61"/>
      <c r="O501" s="50"/>
      <c r="P501" s="52" t="s">
        <v>20</v>
      </c>
    </row>
    <row r="502" spans="1:16" ht="15.75" customHeight="1" outlineLevel="2">
      <c r="A502" s="28">
        <v>8</v>
      </c>
      <c r="B502" s="32">
        <v>45523</v>
      </c>
      <c r="C502" s="36" t="s">
        <v>334</v>
      </c>
      <c r="D502" s="43">
        <v>8</v>
      </c>
      <c r="E502" s="48" t="s">
        <v>26</v>
      </c>
      <c r="F502" s="48" t="s">
        <v>23</v>
      </c>
      <c r="G502" s="49">
        <v>0.05</v>
      </c>
      <c r="H502" s="10">
        <v>0.4</v>
      </c>
      <c r="I502" s="52">
        <v>0.5</v>
      </c>
      <c r="J502" s="10">
        <v>4</v>
      </c>
      <c r="K502" s="55" t="s">
        <v>346</v>
      </c>
      <c r="L502" s="57">
        <v>0.9</v>
      </c>
      <c r="M502" s="50">
        <v>3.6</v>
      </c>
      <c r="N502" s="61"/>
      <c r="O502" s="50"/>
      <c r="P502" s="52" t="s">
        <v>20</v>
      </c>
    </row>
    <row r="503" spans="1:16" ht="15.75" customHeight="1" outlineLevel="2">
      <c r="A503" s="28">
        <v>8</v>
      </c>
      <c r="B503" s="32">
        <v>45524</v>
      </c>
      <c r="C503" s="36" t="s">
        <v>323</v>
      </c>
      <c r="D503" s="43">
        <v>2</v>
      </c>
      <c r="E503" s="48" t="s">
        <v>26</v>
      </c>
      <c r="F503" s="48" t="s">
        <v>23</v>
      </c>
      <c r="G503" s="49">
        <v>7.0000000000000007E-2</v>
      </c>
      <c r="H503" s="10">
        <v>0.14000000000000001</v>
      </c>
      <c r="I503" s="52">
        <v>1</v>
      </c>
      <c r="J503" s="10">
        <v>2</v>
      </c>
      <c r="K503" s="55" t="s">
        <v>346</v>
      </c>
      <c r="L503" s="57">
        <v>0.92999999999999994</v>
      </c>
      <c r="M503" s="50">
        <v>1.8599999999999999</v>
      </c>
      <c r="N503" s="61"/>
      <c r="O503" s="50"/>
      <c r="P503" s="52" t="s">
        <v>20</v>
      </c>
    </row>
    <row r="504" spans="1:16" ht="15.75" customHeight="1" outlineLevel="2">
      <c r="A504" s="28">
        <v>8</v>
      </c>
      <c r="B504" s="32">
        <v>45524</v>
      </c>
      <c r="C504" s="36" t="s">
        <v>387</v>
      </c>
      <c r="D504" s="43">
        <v>1</v>
      </c>
      <c r="E504" s="48" t="s">
        <v>26</v>
      </c>
      <c r="F504" s="48" t="s">
        <v>23</v>
      </c>
      <c r="G504" s="49">
        <v>17</v>
      </c>
      <c r="H504" s="10">
        <v>17</v>
      </c>
      <c r="I504" s="52">
        <v>23.5</v>
      </c>
      <c r="J504" s="10">
        <v>23.5</v>
      </c>
      <c r="K504" s="55" t="s">
        <v>346</v>
      </c>
      <c r="L504" s="57">
        <v>0.27659574468085107</v>
      </c>
      <c r="M504" s="50">
        <v>6.5</v>
      </c>
      <c r="N504" s="61"/>
      <c r="O504" s="50"/>
      <c r="P504" s="52" t="s">
        <v>20</v>
      </c>
    </row>
    <row r="505" spans="1:16" ht="15.75" customHeight="1" outlineLevel="2">
      <c r="A505" s="28">
        <v>8</v>
      </c>
      <c r="B505" s="32">
        <v>45524</v>
      </c>
      <c r="C505" s="36" t="s">
        <v>388</v>
      </c>
      <c r="D505" s="43">
        <v>2</v>
      </c>
      <c r="E505" s="48" t="s">
        <v>26</v>
      </c>
      <c r="F505" s="48" t="s">
        <v>23</v>
      </c>
      <c r="G505" s="49">
        <v>2.5</v>
      </c>
      <c r="H505" s="10">
        <v>5</v>
      </c>
      <c r="I505" s="52">
        <v>5</v>
      </c>
      <c r="J505" s="10">
        <v>10</v>
      </c>
      <c r="K505" s="55"/>
      <c r="L505" s="57">
        <v>0.5</v>
      </c>
      <c r="M505" s="50">
        <v>5</v>
      </c>
      <c r="N505" s="61"/>
      <c r="O505" s="50"/>
      <c r="P505" s="52" t="s">
        <v>20</v>
      </c>
    </row>
    <row r="506" spans="1:16" ht="15.75" customHeight="1" outlineLevel="2">
      <c r="A506" s="28">
        <v>8</v>
      </c>
      <c r="B506" s="32">
        <v>45524</v>
      </c>
      <c r="C506" s="36" t="s">
        <v>253</v>
      </c>
      <c r="D506" s="43">
        <v>1</v>
      </c>
      <c r="E506" s="48" t="s">
        <v>348</v>
      </c>
      <c r="F506" s="48" t="s">
        <v>23</v>
      </c>
      <c r="G506" s="49">
        <v>3.5</v>
      </c>
      <c r="H506" s="10">
        <v>3.5</v>
      </c>
      <c r="I506" s="52">
        <v>15</v>
      </c>
      <c r="J506" s="10">
        <v>15</v>
      </c>
      <c r="K506" s="55" t="s">
        <v>346</v>
      </c>
      <c r="L506" s="57">
        <v>0.76666666666666672</v>
      </c>
      <c r="M506" s="50">
        <v>11.5</v>
      </c>
      <c r="N506" s="61"/>
      <c r="O506" s="50"/>
      <c r="P506" s="52" t="s">
        <v>20</v>
      </c>
    </row>
    <row r="507" spans="1:16" ht="15.75" customHeight="1" outlineLevel="2">
      <c r="A507" s="28">
        <v>8</v>
      </c>
      <c r="B507" s="32">
        <v>45524</v>
      </c>
      <c r="C507" s="36" t="s">
        <v>323</v>
      </c>
      <c r="D507" s="43">
        <v>20</v>
      </c>
      <c r="E507" s="48" t="s">
        <v>26</v>
      </c>
      <c r="F507" s="48" t="s">
        <v>23</v>
      </c>
      <c r="G507" s="49">
        <v>7.0000000000000007E-2</v>
      </c>
      <c r="H507" s="10">
        <v>1.4000000000000001</v>
      </c>
      <c r="I507" s="52">
        <v>1</v>
      </c>
      <c r="J507" s="10">
        <v>20</v>
      </c>
      <c r="K507" s="55" t="s">
        <v>346</v>
      </c>
      <c r="L507" s="57">
        <v>0.93</v>
      </c>
      <c r="M507" s="50">
        <v>18.600000000000001</v>
      </c>
      <c r="N507" s="61"/>
      <c r="O507" s="50"/>
      <c r="P507" s="52" t="s">
        <v>20</v>
      </c>
    </row>
    <row r="508" spans="1:16" ht="15.75" customHeight="1" outlineLevel="2">
      <c r="A508" s="28">
        <v>8</v>
      </c>
      <c r="B508" s="32">
        <v>45524</v>
      </c>
      <c r="C508" s="36" t="s">
        <v>389</v>
      </c>
      <c r="D508" s="43">
        <v>1</v>
      </c>
      <c r="E508" s="48" t="s">
        <v>26</v>
      </c>
      <c r="F508" s="48" t="s">
        <v>23</v>
      </c>
      <c r="G508" s="49">
        <v>8</v>
      </c>
      <c r="H508" s="10">
        <v>8</v>
      </c>
      <c r="I508" s="52">
        <v>15</v>
      </c>
      <c r="J508" s="10">
        <v>15</v>
      </c>
      <c r="K508" s="55" t="s">
        <v>346</v>
      </c>
      <c r="L508" s="57">
        <v>0.46666666666666667</v>
      </c>
      <c r="M508" s="50">
        <v>7</v>
      </c>
      <c r="N508" s="61"/>
      <c r="O508" s="50"/>
      <c r="P508" s="52" t="s">
        <v>20</v>
      </c>
    </row>
    <row r="509" spans="1:16" ht="15.75" customHeight="1" outlineLevel="2">
      <c r="A509" s="28">
        <v>8</v>
      </c>
      <c r="B509" s="32">
        <v>45525</v>
      </c>
      <c r="C509" s="36" t="s">
        <v>390</v>
      </c>
      <c r="D509" s="43">
        <v>1</v>
      </c>
      <c r="E509" s="48" t="s">
        <v>342</v>
      </c>
      <c r="F509" s="48" t="s">
        <v>23</v>
      </c>
      <c r="G509" s="49">
        <v>0</v>
      </c>
      <c r="H509" s="10">
        <v>0</v>
      </c>
      <c r="I509" s="52">
        <v>150</v>
      </c>
      <c r="J509" s="10">
        <v>150</v>
      </c>
      <c r="K509" s="55" t="s">
        <v>346</v>
      </c>
      <c r="L509" s="57">
        <v>1</v>
      </c>
      <c r="M509" s="50">
        <v>150</v>
      </c>
      <c r="N509" s="61"/>
      <c r="O509" s="50"/>
      <c r="P509" s="52" t="s">
        <v>20</v>
      </c>
    </row>
    <row r="510" spans="1:16" ht="15.75" customHeight="1" outlineLevel="2">
      <c r="A510" s="28">
        <v>8</v>
      </c>
      <c r="B510" s="32">
        <v>45525</v>
      </c>
      <c r="C510" s="36" t="s">
        <v>274</v>
      </c>
      <c r="D510" s="43">
        <v>1</v>
      </c>
      <c r="E510" s="48" t="s">
        <v>391</v>
      </c>
      <c r="F510" s="48" t="s">
        <v>23</v>
      </c>
      <c r="G510" s="49">
        <v>0</v>
      </c>
      <c r="H510" s="10">
        <v>0</v>
      </c>
      <c r="I510" s="52">
        <v>16</v>
      </c>
      <c r="J510" s="10">
        <v>16</v>
      </c>
      <c r="K510" s="55" t="s">
        <v>346</v>
      </c>
      <c r="L510" s="57">
        <v>1</v>
      </c>
      <c r="M510" s="50">
        <v>16</v>
      </c>
      <c r="N510" s="61"/>
      <c r="O510" s="50"/>
      <c r="P510" s="52" t="s">
        <v>20</v>
      </c>
    </row>
    <row r="511" spans="1:16" ht="15.75" customHeight="1" outlineLevel="2">
      <c r="A511" s="28">
        <v>8</v>
      </c>
      <c r="B511" s="32">
        <v>45526</v>
      </c>
      <c r="C511" s="36" t="s">
        <v>274</v>
      </c>
      <c r="D511" s="43">
        <v>1</v>
      </c>
      <c r="E511" s="48" t="s">
        <v>348</v>
      </c>
      <c r="F511" s="48" t="s">
        <v>23</v>
      </c>
      <c r="G511" s="49">
        <v>0</v>
      </c>
      <c r="H511" s="10">
        <v>0</v>
      </c>
      <c r="I511" s="52">
        <v>20</v>
      </c>
      <c r="J511" s="10">
        <v>20</v>
      </c>
      <c r="K511" s="55" t="s">
        <v>346</v>
      </c>
      <c r="L511" s="57">
        <v>1</v>
      </c>
      <c r="M511" s="50">
        <v>20</v>
      </c>
      <c r="N511" s="61"/>
      <c r="O511" s="50"/>
      <c r="P511" s="52" t="s">
        <v>20</v>
      </c>
    </row>
    <row r="512" spans="1:16" ht="15.75" customHeight="1" outlineLevel="2">
      <c r="A512" s="28">
        <v>8</v>
      </c>
      <c r="B512" s="32">
        <v>45527</v>
      </c>
      <c r="C512" s="36" t="s">
        <v>323</v>
      </c>
      <c r="D512" s="43">
        <v>1</v>
      </c>
      <c r="E512" s="48" t="s">
        <v>392</v>
      </c>
      <c r="F512" s="48" t="s">
        <v>23</v>
      </c>
      <c r="G512" s="49">
        <v>7.0000000000000007E-2</v>
      </c>
      <c r="H512" s="10">
        <v>7.0000000000000007E-2</v>
      </c>
      <c r="I512" s="52">
        <v>1</v>
      </c>
      <c r="J512" s="10">
        <v>1</v>
      </c>
      <c r="K512" s="55" t="s">
        <v>346</v>
      </c>
      <c r="L512" s="57">
        <v>0.92999999999999994</v>
      </c>
      <c r="M512" s="50">
        <v>0.92999999999999994</v>
      </c>
      <c r="N512" s="61"/>
      <c r="O512" s="50"/>
      <c r="P512" s="52" t="s">
        <v>20</v>
      </c>
    </row>
    <row r="513" spans="1:16" ht="15.75" customHeight="1" outlineLevel="2">
      <c r="A513" s="28">
        <v>8</v>
      </c>
      <c r="B513" s="32">
        <v>45528</v>
      </c>
      <c r="C513" s="36" t="s">
        <v>243</v>
      </c>
      <c r="D513" s="43">
        <v>2</v>
      </c>
      <c r="E513" s="48" t="s">
        <v>393</v>
      </c>
      <c r="F513" s="48" t="s">
        <v>23</v>
      </c>
      <c r="G513" s="49">
        <v>1</v>
      </c>
      <c r="H513" s="10">
        <v>2</v>
      </c>
      <c r="I513" s="52">
        <v>10</v>
      </c>
      <c r="J513" s="10">
        <v>20</v>
      </c>
      <c r="K513" s="55" t="s">
        <v>346</v>
      </c>
      <c r="L513" s="57">
        <v>0.9</v>
      </c>
      <c r="M513" s="50">
        <v>18</v>
      </c>
      <c r="N513" s="61"/>
      <c r="O513" s="50"/>
      <c r="P513" s="52" t="s">
        <v>20</v>
      </c>
    </row>
    <row r="514" spans="1:16" ht="15.75" customHeight="1" outlineLevel="2">
      <c r="A514" s="28">
        <v>8</v>
      </c>
      <c r="B514" s="32">
        <v>45527</v>
      </c>
      <c r="C514" s="36" t="s">
        <v>345</v>
      </c>
      <c r="D514" s="43">
        <v>1</v>
      </c>
      <c r="E514" s="48" t="s">
        <v>392</v>
      </c>
      <c r="F514" s="48" t="s">
        <v>23</v>
      </c>
      <c r="G514" s="49">
        <v>0.05</v>
      </c>
      <c r="H514" s="10">
        <v>0.05</v>
      </c>
      <c r="I514" s="52">
        <v>2</v>
      </c>
      <c r="J514" s="10">
        <v>2</v>
      </c>
      <c r="K514" s="55" t="s">
        <v>346</v>
      </c>
      <c r="L514" s="57">
        <v>0.97499999999999998</v>
      </c>
      <c r="M514" s="50">
        <v>1.95</v>
      </c>
      <c r="N514" s="61"/>
      <c r="O514" s="50"/>
      <c r="P514" s="52" t="s">
        <v>20</v>
      </c>
    </row>
    <row r="515" spans="1:16" ht="15.75" customHeight="1" outlineLevel="2">
      <c r="A515" s="28">
        <v>8</v>
      </c>
      <c r="B515" s="32">
        <v>45530</v>
      </c>
      <c r="C515" s="36" t="s">
        <v>323</v>
      </c>
      <c r="D515" s="43">
        <v>1</v>
      </c>
      <c r="E515" s="48" t="s">
        <v>394</v>
      </c>
      <c r="F515" s="48" t="s">
        <v>23</v>
      </c>
      <c r="G515" s="49">
        <v>7.0000000000000007E-2</v>
      </c>
      <c r="H515" s="10">
        <v>7.0000000000000007E-2</v>
      </c>
      <c r="I515" s="52">
        <v>1</v>
      </c>
      <c r="J515" s="10">
        <v>1</v>
      </c>
      <c r="K515" s="55" t="s">
        <v>346</v>
      </c>
      <c r="L515" s="57">
        <v>0.92999999999999994</v>
      </c>
      <c r="M515" s="50">
        <v>0.92999999999999994</v>
      </c>
      <c r="N515" s="61"/>
      <c r="O515" s="50"/>
      <c r="P515" s="52" t="s">
        <v>20</v>
      </c>
    </row>
    <row r="516" spans="1:16" ht="15.75" customHeight="1" outlineLevel="2">
      <c r="A516" s="28">
        <v>8</v>
      </c>
      <c r="B516" s="32">
        <v>45530</v>
      </c>
      <c r="C516" s="36" t="s">
        <v>323</v>
      </c>
      <c r="D516" s="43">
        <v>1</v>
      </c>
      <c r="E516" s="48" t="s">
        <v>395</v>
      </c>
      <c r="F516" s="48" t="s">
        <v>23</v>
      </c>
      <c r="G516" s="49">
        <v>7.0000000000000007E-2</v>
      </c>
      <c r="H516" s="10">
        <v>7.0000000000000007E-2</v>
      </c>
      <c r="I516" s="52">
        <v>1</v>
      </c>
      <c r="J516" s="10">
        <v>1</v>
      </c>
      <c r="K516" s="55" t="s">
        <v>346</v>
      </c>
      <c r="L516" s="57">
        <v>0.92999999999999994</v>
      </c>
      <c r="M516" s="50">
        <v>0.92999999999999994</v>
      </c>
      <c r="N516" s="61"/>
      <c r="O516" s="50"/>
      <c r="P516" s="52" t="s">
        <v>20</v>
      </c>
    </row>
    <row r="517" spans="1:16" ht="15.75" customHeight="1" outlineLevel="2">
      <c r="A517" s="28">
        <v>8</v>
      </c>
      <c r="B517" s="32">
        <v>45531</v>
      </c>
      <c r="C517" s="36" t="s">
        <v>323</v>
      </c>
      <c r="D517" s="43">
        <v>1</v>
      </c>
      <c r="E517" s="48" t="s">
        <v>394</v>
      </c>
      <c r="F517" s="48" t="s">
        <v>23</v>
      </c>
      <c r="G517" s="49">
        <v>7.0000000000000007E-2</v>
      </c>
      <c r="H517" s="10">
        <v>7.0000000000000007E-2</v>
      </c>
      <c r="I517" s="52">
        <v>1</v>
      </c>
      <c r="J517" s="10">
        <v>1</v>
      </c>
      <c r="K517" s="55" t="s">
        <v>346</v>
      </c>
      <c r="L517" s="57">
        <v>0.92999999999999994</v>
      </c>
      <c r="M517" s="50">
        <v>0.92999999999999994</v>
      </c>
      <c r="N517" s="61"/>
      <c r="O517" s="50"/>
      <c r="P517" s="52" t="s">
        <v>20</v>
      </c>
    </row>
    <row r="518" spans="1:16" ht="15.75" customHeight="1" outlineLevel="2">
      <c r="A518" s="28">
        <v>8</v>
      </c>
      <c r="B518" s="32">
        <v>45531</v>
      </c>
      <c r="C518" s="36" t="s">
        <v>334</v>
      </c>
      <c r="D518" s="43">
        <v>1</v>
      </c>
      <c r="E518" s="48" t="s">
        <v>239</v>
      </c>
      <c r="F518" s="48" t="s">
        <v>23</v>
      </c>
      <c r="G518" s="49">
        <v>0.05</v>
      </c>
      <c r="H518" s="10">
        <v>0.05</v>
      </c>
      <c r="I518" s="52">
        <v>0.5</v>
      </c>
      <c r="J518" s="10">
        <v>0.5</v>
      </c>
      <c r="K518" s="55" t="s">
        <v>346</v>
      </c>
      <c r="L518" s="57">
        <v>0.9</v>
      </c>
      <c r="M518" s="50">
        <v>0.45</v>
      </c>
      <c r="N518" s="61"/>
      <c r="O518" s="50"/>
      <c r="P518" s="52" t="s">
        <v>20</v>
      </c>
    </row>
    <row r="519" spans="1:16" ht="15.75" customHeight="1" outlineLevel="2">
      <c r="A519" s="28">
        <v>8</v>
      </c>
      <c r="B519" s="32">
        <v>45531</v>
      </c>
      <c r="C519" s="36" t="s">
        <v>334</v>
      </c>
      <c r="D519" s="43">
        <v>10</v>
      </c>
      <c r="E519" s="48" t="s">
        <v>239</v>
      </c>
      <c r="F519" s="48" t="s">
        <v>23</v>
      </c>
      <c r="G519" s="49">
        <v>0.05</v>
      </c>
      <c r="H519" s="10">
        <v>0.5</v>
      </c>
      <c r="I519" s="52">
        <v>0.5</v>
      </c>
      <c r="J519" s="10">
        <v>5</v>
      </c>
      <c r="K519" s="55" t="s">
        <v>346</v>
      </c>
      <c r="L519" s="57">
        <v>0.9</v>
      </c>
      <c r="M519" s="50">
        <v>4.5</v>
      </c>
      <c r="N519" s="61"/>
      <c r="O519" s="50"/>
      <c r="P519" s="52" t="s">
        <v>20</v>
      </c>
    </row>
    <row r="520" spans="1:16" ht="15.75" customHeight="1" outlineLevel="2">
      <c r="A520" s="28">
        <v>8</v>
      </c>
      <c r="B520" s="32">
        <v>45531</v>
      </c>
      <c r="C520" s="36" t="s">
        <v>323</v>
      </c>
      <c r="D520" s="43">
        <v>1</v>
      </c>
      <c r="E520" s="48" t="s">
        <v>147</v>
      </c>
      <c r="F520" s="48" t="s">
        <v>23</v>
      </c>
      <c r="G520" s="49">
        <v>7.0000000000000007E-2</v>
      </c>
      <c r="H520" s="10">
        <v>7.0000000000000007E-2</v>
      </c>
      <c r="I520" s="52">
        <v>1</v>
      </c>
      <c r="J520" s="10">
        <v>1</v>
      </c>
      <c r="K520" s="55" t="s">
        <v>346</v>
      </c>
      <c r="L520" s="57">
        <v>0.92999999999999994</v>
      </c>
      <c r="M520" s="50">
        <v>0.92999999999999994</v>
      </c>
      <c r="N520" s="61"/>
      <c r="O520" s="50"/>
      <c r="P520" s="52" t="s">
        <v>20</v>
      </c>
    </row>
    <row r="521" spans="1:16" ht="15.75" customHeight="1" outlineLevel="2">
      <c r="A521" s="28">
        <v>8</v>
      </c>
      <c r="B521" s="32">
        <v>45532</v>
      </c>
      <c r="C521" s="36" t="s">
        <v>323</v>
      </c>
      <c r="D521" s="43">
        <v>2</v>
      </c>
      <c r="E521" s="48" t="s">
        <v>26</v>
      </c>
      <c r="F521" s="48" t="s">
        <v>23</v>
      </c>
      <c r="G521" s="49">
        <v>7.0000000000000007E-2</v>
      </c>
      <c r="H521" s="10">
        <v>0.14000000000000001</v>
      </c>
      <c r="I521" s="52">
        <v>1</v>
      </c>
      <c r="J521" s="10">
        <v>2</v>
      </c>
      <c r="K521" s="55" t="s">
        <v>346</v>
      </c>
      <c r="L521" s="57">
        <v>0.92999999999999994</v>
      </c>
      <c r="M521" s="50">
        <v>1.8599999999999999</v>
      </c>
      <c r="N521" s="61"/>
      <c r="O521" s="50"/>
      <c r="P521" s="52" t="s">
        <v>20</v>
      </c>
    </row>
    <row r="522" spans="1:16" ht="15.75" customHeight="1" outlineLevel="2">
      <c r="A522" s="28">
        <v>8</v>
      </c>
      <c r="B522" s="32">
        <v>45534</v>
      </c>
      <c r="C522" s="36" t="s">
        <v>334</v>
      </c>
      <c r="D522" s="43">
        <v>4</v>
      </c>
      <c r="E522" s="48" t="s">
        <v>26</v>
      </c>
      <c r="F522" s="48" t="s">
        <v>23</v>
      </c>
      <c r="G522" s="49">
        <v>0.05</v>
      </c>
      <c r="H522" s="10">
        <v>0.2</v>
      </c>
      <c r="I522" s="52">
        <v>0.5</v>
      </c>
      <c r="J522" s="10">
        <v>2</v>
      </c>
      <c r="K522" s="55" t="s">
        <v>346</v>
      </c>
      <c r="L522" s="57">
        <v>0.9</v>
      </c>
      <c r="M522" s="50">
        <v>1.8</v>
      </c>
      <c r="N522" s="61"/>
      <c r="O522" s="50"/>
      <c r="P522" s="52" t="s">
        <v>20</v>
      </c>
    </row>
    <row r="523" spans="1:16" ht="15.75" customHeight="1" outlineLevel="2">
      <c r="A523" s="28">
        <v>8</v>
      </c>
      <c r="B523" s="32">
        <v>45534</v>
      </c>
      <c r="C523" s="36" t="s">
        <v>396</v>
      </c>
      <c r="D523" s="43">
        <v>1</v>
      </c>
      <c r="E523" s="48" t="s">
        <v>26</v>
      </c>
      <c r="F523" s="48" t="s">
        <v>23</v>
      </c>
      <c r="G523" s="49">
        <v>0</v>
      </c>
      <c r="H523" s="10">
        <v>0</v>
      </c>
      <c r="I523" s="52">
        <v>100</v>
      </c>
      <c r="J523" s="10">
        <v>100</v>
      </c>
      <c r="K523" s="55"/>
      <c r="L523" s="57">
        <v>1</v>
      </c>
      <c r="M523" s="50">
        <v>100</v>
      </c>
      <c r="N523" s="61"/>
      <c r="O523" s="50"/>
      <c r="P523" s="52" t="s">
        <v>20</v>
      </c>
    </row>
    <row r="524" spans="1:16" ht="15.75" customHeight="1" outlineLevel="2">
      <c r="A524" s="28">
        <v>8</v>
      </c>
      <c r="B524" s="32">
        <v>45535</v>
      </c>
      <c r="C524" s="36" t="s">
        <v>397</v>
      </c>
      <c r="D524" s="43">
        <v>2</v>
      </c>
      <c r="E524" s="48" t="s">
        <v>26</v>
      </c>
      <c r="F524" s="48" t="s">
        <v>23</v>
      </c>
      <c r="G524" s="49">
        <v>13</v>
      </c>
      <c r="H524" s="10">
        <v>26</v>
      </c>
      <c r="I524" s="52">
        <v>25</v>
      </c>
      <c r="J524" s="10">
        <v>50</v>
      </c>
      <c r="K524" s="55" t="s">
        <v>346</v>
      </c>
      <c r="L524" s="57">
        <v>0.48</v>
      </c>
      <c r="M524" s="50">
        <v>24</v>
      </c>
      <c r="N524" s="61"/>
      <c r="O524" s="50"/>
      <c r="P524" s="52" t="s">
        <v>20</v>
      </c>
    </row>
    <row r="525" spans="1:16" ht="15.75" customHeight="1" outlineLevel="2">
      <c r="A525" s="28">
        <v>8</v>
      </c>
      <c r="B525" s="32">
        <v>45535</v>
      </c>
      <c r="C525" s="36" t="s">
        <v>323</v>
      </c>
      <c r="D525" s="43">
        <v>1</v>
      </c>
      <c r="E525" s="48" t="s">
        <v>26</v>
      </c>
      <c r="F525" s="48" t="s">
        <v>23</v>
      </c>
      <c r="G525" s="49">
        <v>7.0000000000000007E-2</v>
      </c>
      <c r="H525" s="10">
        <v>7.0000000000000007E-2</v>
      </c>
      <c r="I525" s="52">
        <v>1</v>
      </c>
      <c r="J525" s="10">
        <v>1</v>
      </c>
      <c r="K525" s="55" t="s">
        <v>346</v>
      </c>
      <c r="L525" s="57">
        <v>0.92999999999999994</v>
      </c>
      <c r="M525" s="50">
        <v>0.92999999999999994</v>
      </c>
      <c r="N525" s="61"/>
      <c r="O525" s="50"/>
      <c r="P525" s="52" t="s">
        <v>20</v>
      </c>
    </row>
    <row r="526" spans="1:16" ht="15.75" customHeight="1" outlineLevel="2">
      <c r="A526" s="28">
        <v>8</v>
      </c>
      <c r="B526" s="32">
        <v>45535</v>
      </c>
      <c r="C526" s="36" t="s">
        <v>274</v>
      </c>
      <c r="D526" s="43">
        <v>1</v>
      </c>
      <c r="E526" s="48" t="s">
        <v>26</v>
      </c>
      <c r="F526" s="48" t="s">
        <v>23</v>
      </c>
      <c r="G526" s="49">
        <v>0</v>
      </c>
      <c r="H526" s="10">
        <v>0</v>
      </c>
      <c r="I526" s="52">
        <v>20</v>
      </c>
      <c r="J526" s="10">
        <v>20</v>
      </c>
      <c r="K526" s="55" t="s">
        <v>346</v>
      </c>
      <c r="L526" s="57">
        <v>1</v>
      </c>
      <c r="M526" s="50">
        <v>20</v>
      </c>
      <c r="N526" s="61"/>
      <c r="O526" s="50"/>
      <c r="P526" s="52" t="s">
        <v>20</v>
      </c>
    </row>
    <row r="527" spans="1:16" ht="15.75" customHeight="1" outlineLevel="2">
      <c r="A527" s="28">
        <v>8</v>
      </c>
      <c r="B527" s="32">
        <v>45535</v>
      </c>
      <c r="C527" s="36" t="s">
        <v>274</v>
      </c>
      <c r="D527" s="43">
        <v>1</v>
      </c>
      <c r="E527" s="48" t="s">
        <v>26</v>
      </c>
      <c r="F527" s="48" t="s">
        <v>23</v>
      </c>
      <c r="G527" s="49">
        <v>0</v>
      </c>
      <c r="H527" s="10">
        <v>0</v>
      </c>
      <c r="I527" s="52">
        <v>15</v>
      </c>
      <c r="J527" s="10">
        <v>15</v>
      </c>
      <c r="K527" s="55" t="s">
        <v>346</v>
      </c>
      <c r="L527" s="57">
        <v>1</v>
      </c>
      <c r="M527" s="50">
        <v>15</v>
      </c>
      <c r="N527" s="61"/>
      <c r="O527" s="50"/>
      <c r="P527" s="52" t="s">
        <v>20</v>
      </c>
    </row>
    <row r="528" spans="1:16" ht="15.75" customHeight="1" outlineLevel="2">
      <c r="A528" s="28">
        <v>8</v>
      </c>
      <c r="B528" s="32">
        <v>45535</v>
      </c>
      <c r="C528" s="36" t="s">
        <v>351</v>
      </c>
      <c r="D528" s="43">
        <v>10</v>
      </c>
      <c r="E528" s="48" t="s">
        <v>26</v>
      </c>
      <c r="F528" s="48" t="s">
        <v>23</v>
      </c>
      <c r="G528" s="49">
        <v>0.05</v>
      </c>
      <c r="H528" s="10">
        <v>0.5</v>
      </c>
      <c r="I528" s="52">
        <v>0.9</v>
      </c>
      <c r="J528" s="10">
        <v>9</v>
      </c>
      <c r="K528" s="55" t="s">
        <v>346</v>
      </c>
      <c r="L528" s="57">
        <v>0.94444444444444442</v>
      </c>
      <c r="M528" s="50">
        <v>8.5</v>
      </c>
      <c r="N528" s="61"/>
      <c r="O528" s="50"/>
      <c r="P528" s="52" t="s">
        <v>20</v>
      </c>
    </row>
    <row r="529" spans="1:16" ht="15.75" customHeight="1" outlineLevel="2">
      <c r="A529" s="28">
        <v>8</v>
      </c>
      <c r="B529" s="32">
        <v>45535</v>
      </c>
      <c r="C529" s="36" t="s">
        <v>398</v>
      </c>
      <c r="D529" s="43">
        <v>1</v>
      </c>
      <c r="E529" s="48" t="s">
        <v>26</v>
      </c>
      <c r="F529" s="48" t="s">
        <v>23</v>
      </c>
      <c r="G529" s="49">
        <v>0.39549999999999996</v>
      </c>
      <c r="H529" s="10">
        <v>0.39549999999999996</v>
      </c>
      <c r="I529" s="52">
        <v>1</v>
      </c>
      <c r="J529" s="10">
        <v>1</v>
      </c>
      <c r="K529" s="55" t="s">
        <v>346</v>
      </c>
      <c r="L529" s="57">
        <v>0.60450000000000004</v>
      </c>
      <c r="M529" s="50">
        <v>0.60450000000000004</v>
      </c>
      <c r="N529" s="61"/>
      <c r="O529" s="50"/>
      <c r="P529" s="52" t="s">
        <v>20</v>
      </c>
    </row>
    <row r="530" spans="1:16" ht="15.75" customHeight="1" outlineLevel="2">
      <c r="A530" s="28">
        <v>8</v>
      </c>
      <c r="B530" s="32">
        <v>45535</v>
      </c>
      <c r="C530" s="36" t="s">
        <v>323</v>
      </c>
      <c r="D530" s="43">
        <v>8</v>
      </c>
      <c r="E530" s="48" t="s">
        <v>26</v>
      </c>
      <c r="F530" s="48" t="s">
        <v>23</v>
      </c>
      <c r="G530" s="49">
        <v>7.0000000000000007E-2</v>
      </c>
      <c r="H530" s="10">
        <v>0.56000000000000005</v>
      </c>
      <c r="I530" s="52">
        <v>1</v>
      </c>
      <c r="J530" s="10">
        <v>8</v>
      </c>
      <c r="K530" s="55" t="s">
        <v>346</v>
      </c>
      <c r="L530" s="57">
        <v>0.92999999999999994</v>
      </c>
      <c r="M530" s="50">
        <v>7.4399999999999995</v>
      </c>
      <c r="N530" s="61"/>
      <c r="O530" s="50"/>
      <c r="P530" s="52" t="s">
        <v>20</v>
      </c>
    </row>
    <row r="531" spans="1:16" ht="15.75" customHeight="1" outlineLevel="2">
      <c r="A531" s="28">
        <v>8</v>
      </c>
      <c r="B531" s="32">
        <v>45535</v>
      </c>
      <c r="C531" s="36" t="s">
        <v>399</v>
      </c>
      <c r="D531" s="43">
        <v>1</v>
      </c>
      <c r="E531" s="48" t="s">
        <v>400</v>
      </c>
      <c r="F531" s="48" t="s">
        <v>23</v>
      </c>
      <c r="G531" s="49">
        <v>130</v>
      </c>
      <c r="H531" s="10">
        <v>130</v>
      </c>
      <c r="I531" s="52">
        <v>300</v>
      </c>
      <c r="J531" s="10">
        <v>300</v>
      </c>
      <c r="K531" s="55" t="s">
        <v>346</v>
      </c>
      <c r="L531" s="57">
        <v>0.56666666666666665</v>
      </c>
      <c r="M531" s="50">
        <v>170</v>
      </c>
      <c r="N531" s="61"/>
      <c r="O531" s="50"/>
      <c r="P531" s="52" t="s">
        <v>20</v>
      </c>
    </row>
    <row r="532" spans="1:16" ht="15.75" customHeight="1" outlineLevel="2">
      <c r="A532" s="28">
        <v>8</v>
      </c>
      <c r="B532" s="32">
        <v>45535</v>
      </c>
      <c r="C532" s="36" t="s">
        <v>401</v>
      </c>
      <c r="D532" s="43">
        <v>1</v>
      </c>
      <c r="E532" s="48" t="s">
        <v>400</v>
      </c>
      <c r="F532" s="48" t="s">
        <v>23</v>
      </c>
      <c r="G532" s="49">
        <v>10</v>
      </c>
      <c r="H532" s="10">
        <v>10</v>
      </c>
      <c r="I532" s="52">
        <v>20</v>
      </c>
      <c r="J532" s="10">
        <v>20</v>
      </c>
      <c r="K532" s="55"/>
      <c r="L532" s="57">
        <v>0.5</v>
      </c>
      <c r="M532" s="50">
        <v>10</v>
      </c>
      <c r="N532" s="61"/>
      <c r="O532" s="50"/>
      <c r="P532" s="52" t="s">
        <v>20</v>
      </c>
    </row>
    <row r="533" spans="1:16" ht="15.75" customHeight="1">
      <c r="A533" s="28">
        <v>9</v>
      </c>
      <c r="B533" s="32">
        <v>45537</v>
      </c>
      <c r="C533" s="36" t="s">
        <v>323</v>
      </c>
      <c r="D533" s="43">
        <v>6</v>
      </c>
      <c r="E533" s="48" t="s">
        <v>26</v>
      </c>
      <c r="F533" s="48" t="s">
        <v>23</v>
      </c>
      <c r="G533" s="49">
        <v>7.0000000000000007E-2</v>
      </c>
      <c r="H533" s="10">
        <v>0.42000000000000004</v>
      </c>
      <c r="I533" s="52">
        <v>1</v>
      </c>
      <c r="J533" s="10">
        <v>6</v>
      </c>
      <c r="K533" s="55" t="s">
        <v>346</v>
      </c>
      <c r="L533" s="57">
        <v>0.93</v>
      </c>
      <c r="M533" s="50">
        <v>5.58</v>
      </c>
      <c r="N533" s="64"/>
      <c r="O533" s="50"/>
      <c r="P533" s="52" t="s">
        <v>20</v>
      </c>
    </row>
    <row r="534" spans="1:16" ht="15.75" customHeight="1" outlineLevel="1">
      <c r="A534" s="28">
        <v>9</v>
      </c>
      <c r="B534" s="32">
        <v>45538</v>
      </c>
      <c r="C534" s="36" t="s">
        <v>274</v>
      </c>
      <c r="D534" s="43">
        <v>2</v>
      </c>
      <c r="E534" s="48" t="s">
        <v>402</v>
      </c>
      <c r="F534" s="48" t="s">
        <v>23</v>
      </c>
      <c r="G534" s="49">
        <v>0</v>
      </c>
      <c r="H534" s="10">
        <v>0</v>
      </c>
      <c r="I534" s="52">
        <v>200</v>
      </c>
      <c r="J534" s="10">
        <v>400</v>
      </c>
      <c r="K534" s="55" t="s">
        <v>346</v>
      </c>
      <c r="L534" s="57">
        <v>1</v>
      </c>
      <c r="M534" s="50">
        <v>400</v>
      </c>
      <c r="N534" s="61"/>
      <c r="O534" s="50"/>
      <c r="P534" s="52" t="s">
        <v>20</v>
      </c>
    </row>
    <row r="535" spans="1:16" ht="15.75" customHeight="1" outlineLevel="1">
      <c r="A535" s="28">
        <v>9</v>
      </c>
      <c r="B535" s="32">
        <v>45539</v>
      </c>
      <c r="C535" s="36" t="s">
        <v>334</v>
      </c>
      <c r="D535" s="43">
        <v>1</v>
      </c>
      <c r="E535" s="48" t="s">
        <v>58</v>
      </c>
      <c r="F535" s="48" t="s">
        <v>23</v>
      </c>
      <c r="G535" s="49">
        <v>0.05</v>
      </c>
      <c r="H535" s="10">
        <v>0.05</v>
      </c>
      <c r="I535" s="52">
        <v>0.5</v>
      </c>
      <c r="J535" s="10">
        <v>0.5</v>
      </c>
      <c r="K535" s="55" t="s">
        <v>346</v>
      </c>
      <c r="L535" s="57">
        <v>0.9</v>
      </c>
      <c r="M535" s="50">
        <v>0.45</v>
      </c>
      <c r="N535" s="61"/>
      <c r="O535" s="50"/>
      <c r="P535" s="52" t="s">
        <v>20</v>
      </c>
    </row>
    <row r="536" spans="1:16" ht="15.75" customHeight="1" outlineLevel="1">
      <c r="A536" s="28">
        <v>9</v>
      </c>
      <c r="B536" s="32">
        <v>45539</v>
      </c>
      <c r="C536" s="36" t="s">
        <v>401</v>
      </c>
      <c r="D536" s="43">
        <v>1</v>
      </c>
      <c r="E536" s="48" t="s">
        <v>26</v>
      </c>
      <c r="F536" s="48" t="s">
        <v>23</v>
      </c>
      <c r="G536" s="49">
        <v>10</v>
      </c>
      <c r="H536" s="10">
        <v>10</v>
      </c>
      <c r="I536" s="52">
        <v>20</v>
      </c>
      <c r="J536" s="10">
        <v>20</v>
      </c>
      <c r="K536" s="55" t="s">
        <v>346</v>
      </c>
      <c r="L536" s="57">
        <v>0.5</v>
      </c>
      <c r="M536" s="50">
        <v>10</v>
      </c>
      <c r="N536" s="61"/>
      <c r="O536" s="50"/>
      <c r="P536" s="52" t="s">
        <v>20</v>
      </c>
    </row>
    <row r="537" spans="1:16" ht="15.75" customHeight="1" outlineLevel="1">
      <c r="A537" s="28">
        <v>9</v>
      </c>
      <c r="B537" s="32">
        <v>45539</v>
      </c>
      <c r="C537" s="36" t="s">
        <v>403</v>
      </c>
      <c r="D537" s="43">
        <v>1</v>
      </c>
      <c r="E537" s="48" t="s">
        <v>404</v>
      </c>
      <c r="F537" s="48" t="s">
        <v>23</v>
      </c>
      <c r="G537" s="49">
        <v>35</v>
      </c>
      <c r="H537" s="10">
        <v>35</v>
      </c>
      <c r="I537" s="52">
        <v>50</v>
      </c>
      <c r="J537" s="10">
        <v>50</v>
      </c>
      <c r="K537" s="55" t="s">
        <v>30</v>
      </c>
      <c r="L537" s="57">
        <v>0.3</v>
      </c>
      <c r="M537" s="50">
        <v>15</v>
      </c>
      <c r="N537" s="61"/>
      <c r="O537" s="50"/>
      <c r="P537" s="52" t="s">
        <v>20</v>
      </c>
    </row>
    <row r="538" spans="1:16" ht="15.75" customHeight="1" outlineLevel="1">
      <c r="A538" s="28">
        <v>9</v>
      </c>
      <c r="B538" s="32">
        <v>45540</v>
      </c>
      <c r="C538" s="36" t="s">
        <v>405</v>
      </c>
      <c r="D538" s="43">
        <v>1</v>
      </c>
      <c r="E538" s="48" t="s">
        <v>406</v>
      </c>
      <c r="F538" s="48" t="s">
        <v>23</v>
      </c>
      <c r="G538" s="49">
        <v>15</v>
      </c>
      <c r="H538" s="10">
        <v>15</v>
      </c>
      <c r="I538" s="52">
        <v>25</v>
      </c>
      <c r="J538" s="10">
        <v>25</v>
      </c>
      <c r="K538" s="55" t="s">
        <v>346</v>
      </c>
      <c r="L538" s="57">
        <v>0.4</v>
      </c>
      <c r="M538" s="50">
        <v>10</v>
      </c>
      <c r="N538" s="61"/>
      <c r="O538" s="50"/>
      <c r="P538" s="52" t="s">
        <v>20</v>
      </c>
    </row>
    <row r="539" spans="1:16" ht="15.75" customHeight="1" outlineLevel="1">
      <c r="A539" s="28">
        <v>9</v>
      </c>
      <c r="B539" s="32">
        <v>45540</v>
      </c>
      <c r="C539" s="36" t="s">
        <v>323</v>
      </c>
      <c r="D539" s="43">
        <v>1</v>
      </c>
      <c r="E539" s="48" t="s">
        <v>395</v>
      </c>
      <c r="F539" s="48" t="s">
        <v>23</v>
      </c>
      <c r="G539" s="49">
        <v>7.0000000000000007E-2</v>
      </c>
      <c r="H539" s="10">
        <v>7.0000000000000007E-2</v>
      </c>
      <c r="I539" s="52">
        <v>1</v>
      </c>
      <c r="J539" s="10">
        <v>1</v>
      </c>
      <c r="K539" s="55" t="s">
        <v>346</v>
      </c>
      <c r="L539" s="57">
        <v>0.92999999999999994</v>
      </c>
      <c r="M539" s="50">
        <v>0.92999999999999994</v>
      </c>
      <c r="N539" s="61"/>
      <c r="O539" s="50"/>
      <c r="P539" s="52" t="s">
        <v>20</v>
      </c>
    </row>
    <row r="540" spans="1:16" ht="15.75" customHeight="1" outlineLevel="1">
      <c r="A540" s="28">
        <v>9</v>
      </c>
      <c r="B540" s="32">
        <v>45540</v>
      </c>
      <c r="C540" s="36" t="s">
        <v>407</v>
      </c>
      <c r="D540" s="43">
        <v>1</v>
      </c>
      <c r="E540" s="48" t="s">
        <v>239</v>
      </c>
      <c r="F540" s="48" t="s">
        <v>23</v>
      </c>
      <c r="G540" s="49">
        <v>24.82</v>
      </c>
      <c r="H540" s="10">
        <v>24.82</v>
      </c>
      <c r="I540" s="52">
        <v>80</v>
      </c>
      <c r="J540" s="10">
        <v>80</v>
      </c>
      <c r="K540" s="55" t="s">
        <v>346</v>
      </c>
      <c r="L540" s="57">
        <v>0.68974999999999997</v>
      </c>
      <c r="M540" s="50">
        <v>55.18</v>
      </c>
      <c r="N540" s="61"/>
      <c r="O540" s="50"/>
      <c r="P540" s="52" t="s">
        <v>20</v>
      </c>
    </row>
    <row r="541" spans="1:16" ht="15.75" customHeight="1" outlineLevel="1">
      <c r="A541" s="28">
        <v>9</v>
      </c>
      <c r="B541" s="32">
        <v>45540</v>
      </c>
      <c r="C541" s="36" t="s">
        <v>408</v>
      </c>
      <c r="D541" s="43">
        <v>1</v>
      </c>
      <c r="E541" s="48" t="s">
        <v>409</v>
      </c>
      <c r="F541" s="48" t="s">
        <v>23</v>
      </c>
      <c r="G541" s="49">
        <v>11</v>
      </c>
      <c r="H541" s="10">
        <v>11</v>
      </c>
      <c r="I541" s="52">
        <v>25</v>
      </c>
      <c r="J541" s="10">
        <v>25</v>
      </c>
      <c r="K541" s="55" t="s">
        <v>346</v>
      </c>
      <c r="L541" s="57">
        <v>0.56000000000000005</v>
      </c>
      <c r="M541" s="50">
        <v>14</v>
      </c>
      <c r="N541" s="61"/>
      <c r="O541" s="50"/>
      <c r="P541" s="52" t="s">
        <v>20</v>
      </c>
    </row>
    <row r="542" spans="1:16" ht="15.75" customHeight="1" outlineLevel="1">
      <c r="A542" s="28">
        <v>9</v>
      </c>
      <c r="B542" s="32">
        <v>45540</v>
      </c>
      <c r="C542" s="36" t="s">
        <v>329</v>
      </c>
      <c r="D542" s="43">
        <v>1</v>
      </c>
      <c r="E542" s="48" t="s">
        <v>402</v>
      </c>
      <c r="F542" s="48" t="s">
        <v>23</v>
      </c>
      <c r="G542" s="49">
        <v>15</v>
      </c>
      <c r="H542" s="10">
        <v>15</v>
      </c>
      <c r="I542" s="52">
        <v>30</v>
      </c>
      <c r="J542" s="10">
        <v>30</v>
      </c>
      <c r="K542" s="55" t="s">
        <v>346</v>
      </c>
      <c r="L542" s="57">
        <v>0.5</v>
      </c>
      <c r="M542" s="50">
        <v>15</v>
      </c>
      <c r="N542" s="61"/>
      <c r="O542" s="50"/>
      <c r="P542" s="52" t="s">
        <v>20</v>
      </c>
    </row>
    <row r="543" spans="1:16" ht="15.75" customHeight="1" outlineLevel="1">
      <c r="A543" s="28">
        <v>9</v>
      </c>
      <c r="B543" s="32">
        <v>45540</v>
      </c>
      <c r="C543" s="36" t="s">
        <v>410</v>
      </c>
      <c r="D543" s="43">
        <v>1</v>
      </c>
      <c r="E543" s="48" t="s">
        <v>402</v>
      </c>
      <c r="F543" s="48" t="s">
        <v>23</v>
      </c>
      <c r="G543" s="49">
        <v>15</v>
      </c>
      <c r="H543" s="10">
        <v>15</v>
      </c>
      <c r="I543" s="52">
        <v>30</v>
      </c>
      <c r="J543" s="10">
        <v>30</v>
      </c>
      <c r="K543" s="55" t="s">
        <v>346</v>
      </c>
      <c r="L543" s="57">
        <v>0.5</v>
      </c>
      <c r="M543" s="50">
        <v>15</v>
      </c>
      <c r="N543" s="61"/>
      <c r="O543" s="50"/>
      <c r="P543" s="52" t="s">
        <v>20</v>
      </c>
    </row>
    <row r="544" spans="1:16" ht="15.75" customHeight="1" outlineLevel="1">
      <c r="A544" s="28">
        <v>9</v>
      </c>
      <c r="B544" s="32">
        <v>45540</v>
      </c>
      <c r="C544" s="36" t="s">
        <v>269</v>
      </c>
      <c r="D544" s="43">
        <v>1</v>
      </c>
      <c r="E544" s="48" t="s">
        <v>402</v>
      </c>
      <c r="F544" s="48" t="s">
        <v>23</v>
      </c>
      <c r="G544" s="49">
        <v>18</v>
      </c>
      <c r="H544" s="10">
        <v>18</v>
      </c>
      <c r="I544" s="52">
        <v>40</v>
      </c>
      <c r="J544" s="10">
        <v>40</v>
      </c>
      <c r="K544" s="55" t="s">
        <v>346</v>
      </c>
      <c r="L544" s="57">
        <v>0.55000000000000004</v>
      </c>
      <c r="M544" s="50">
        <v>22</v>
      </c>
      <c r="N544" s="61"/>
      <c r="O544" s="50"/>
      <c r="P544" s="52" t="s">
        <v>20</v>
      </c>
    </row>
    <row r="545" spans="1:16" ht="15.75" customHeight="1" outlineLevel="1">
      <c r="A545" s="28">
        <v>9</v>
      </c>
      <c r="B545" s="32">
        <v>45540</v>
      </c>
      <c r="C545" s="36" t="s">
        <v>274</v>
      </c>
      <c r="D545" s="43">
        <v>1</v>
      </c>
      <c r="E545" s="48" t="s">
        <v>402</v>
      </c>
      <c r="F545" s="48" t="s">
        <v>23</v>
      </c>
      <c r="G545" s="49">
        <v>0</v>
      </c>
      <c r="H545" s="10">
        <v>0</v>
      </c>
      <c r="I545" s="52">
        <v>20</v>
      </c>
      <c r="J545" s="10">
        <v>20</v>
      </c>
      <c r="K545" s="55" t="s">
        <v>346</v>
      </c>
      <c r="L545" s="57">
        <v>1</v>
      </c>
      <c r="M545" s="50">
        <v>20</v>
      </c>
      <c r="N545" s="61"/>
      <c r="O545" s="50"/>
      <c r="P545" s="52" t="s">
        <v>20</v>
      </c>
    </row>
    <row r="546" spans="1:16" ht="15.75" customHeight="1" outlineLevel="1">
      <c r="A546" s="28">
        <v>9</v>
      </c>
      <c r="B546" s="32">
        <v>45541</v>
      </c>
      <c r="C546" s="36" t="s">
        <v>411</v>
      </c>
      <c r="D546" s="43">
        <v>1</v>
      </c>
      <c r="E546" s="48" t="s">
        <v>43</v>
      </c>
      <c r="F546" s="48" t="s">
        <v>23</v>
      </c>
      <c r="G546" s="49">
        <v>10.99</v>
      </c>
      <c r="H546" s="10">
        <v>10.99</v>
      </c>
      <c r="I546" s="52">
        <v>20</v>
      </c>
      <c r="J546" s="10">
        <v>20</v>
      </c>
      <c r="K546" s="55" t="s">
        <v>346</v>
      </c>
      <c r="L546" s="57">
        <v>0.45050000000000001</v>
      </c>
      <c r="M546" s="50">
        <v>9.01</v>
      </c>
      <c r="N546" s="61"/>
      <c r="O546" s="50"/>
      <c r="P546" s="52" t="s">
        <v>20</v>
      </c>
    </row>
    <row r="547" spans="1:16" ht="15.75" customHeight="1" outlineLevel="1">
      <c r="A547" s="28">
        <v>9</v>
      </c>
      <c r="B547" s="32">
        <v>45541</v>
      </c>
      <c r="C547" s="36" t="s">
        <v>412</v>
      </c>
      <c r="D547" s="43">
        <v>1</v>
      </c>
      <c r="E547" s="48" t="s">
        <v>43</v>
      </c>
      <c r="F547" s="48" t="s">
        <v>23</v>
      </c>
      <c r="G547" s="49">
        <v>5</v>
      </c>
      <c r="H547" s="10">
        <v>5</v>
      </c>
      <c r="I547" s="52">
        <v>10</v>
      </c>
      <c r="J547" s="10">
        <v>10</v>
      </c>
      <c r="K547" s="55" t="s">
        <v>346</v>
      </c>
      <c r="L547" s="57">
        <v>0.5</v>
      </c>
      <c r="M547" s="50">
        <v>5</v>
      </c>
      <c r="N547" s="61"/>
      <c r="O547" s="50"/>
      <c r="P547" s="52" t="s">
        <v>20</v>
      </c>
    </row>
    <row r="548" spans="1:16" ht="15.75" customHeight="1" outlineLevel="1">
      <c r="A548" s="28">
        <v>9</v>
      </c>
      <c r="B548" s="32">
        <v>45541</v>
      </c>
      <c r="C548" s="36" t="s">
        <v>413</v>
      </c>
      <c r="D548" s="43">
        <v>1</v>
      </c>
      <c r="E548" s="48" t="s">
        <v>43</v>
      </c>
      <c r="F548" s="48" t="s">
        <v>23</v>
      </c>
      <c r="G548" s="49">
        <v>4.5999999999999996</v>
      </c>
      <c r="H548" s="10">
        <v>4.5999999999999996</v>
      </c>
      <c r="I548" s="52">
        <v>10</v>
      </c>
      <c r="J548" s="10">
        <v>10</v>
      </c>
      <c r="K548" s="55" t="s">
        <v>346</v>
      </c>
      <c r="L548" s="57">
        <v>0.54</v>
      </c>
      <c r="M548" s="50">
        <v>5.4</v>
      </c>
      <c r="N548" s="61"/>
      <c r="O548" s="50"/>
      <c r="P548" s="52" t="s">
        <v>20</v>
      </c>
    </row>
    <row r="549" spans="1:16" ht="15.75" customHeight="1" outlineLevel="1">
      <c r="A549" s="28">
        <v>9</v>
      </c>
      <c r="B549" s="32">
        <v>45541</v>
      </c>
      <c r="C549" s="36" t="s">
        <v>16</v>
      </c>
      <c r="D549" s="43">
        <v>1</v>
      </c>
      <c r="E549" s="48" t="s">
        <v>414</v>
      </c>
      <c r="F549" s="48" t="s">
        <v>23</v>
      </c>
      <c r="G549" s="49">
        <v>7</v>
      </c>
      <c r="H549" s="10">
        <v>7</v>
      </c>
      <c r="I549" s="52">
        <v>20</v>
      </c>
      <c r="J549" s="10">
        <v>20</v>
      </c>
      <c r="K549" s="55" t="s">
        <v>346</v>
      </c>
      <c r="L549" s="57">
        <v>0.65</v>
      </c>
      <c r="M549" s="50">
        <v>13</v>
      </c>
      <c r="N549" s="61"/>
      <c r="O549" s="50"/>
      <c r="P549" s="52" t="s">
        <v>20</v>
      </c>
    </row>
    <row r="550" spans="1:16" ht="15.75" customHeight="1" outlineLevel="1">
      <c r="A550" s="28">
        <v>9</v>
      </c>
      <c r="B550" s="32">
        <v>45541</v>
      </c>
      <c r="C550" s="36" t="s">
        <v>415</v>
      </c>
      <c r="D550" s="43">
        <v>2</v>
      </c>
      <c r="E550" s="48" t="s">
        <v>26</v>
      </c>
      <c r="F550" s="48" t="s">
        <v>23</v>
      </c>
      <c r="G550" s="49">
        <v>10</v>
      </c>
      <c r="H550" s="10">
        <v>20</v>
      </c>
      <c r="I550" s="52">
        <v>20</v>
      </c>
      <c r="J550" s="10">
        <v>40</v>
      </c>
      <c r="K550" s="55"/>
      <c r="L550" s="57">
        <v>0.5</v>
      </c>
      <c r="M550" s="50">
        <v>20</v>
      </c>
      <c r="N550" s="61"/>
      <c r="O550" s="50"/>
      <c r="P550" s="52" t="s">
        <v>20</v>
      </c>
    </row>
    <row r="551" spans="1:16" ht="15.75" customHeight="1" outlineLevel="1">
      <c r="A551" s="28">
        <v>9</v>
      </c>
      <c r="B551" s="32">
        <v>45541</v>
      </c>
      <c r="C551" s="36" t="s">
        <v>323</v>
      </c>
      <c r="D551" s="43">
        <v>1</v>
      </c>
      <c r="E551" s="48" t="s">
        <v>58</v>
      </c>
      <c r="F551" s="48" t="s">
        <v>23</v>
      </c>
      <c r="G551" s="49">
        <v>7.0000000000000007E-2</v>
      </c>
      <c r="H551" s="10">
        <v>7.0000000000000007E-2</v>
      </c>
      <c r="I551" s="52">
        <v>1</v>
      </c>
      <c r="J551" s="10">
        <v>1</v>
      </c>
      <c r="K551" s="55" t="s">
        <v>346</v>
      </c>
      <c r="L551" s="57">
        <v>0.92999999999999994</v>
      </c>
      <c r="M551" s="50">
        <v>0.92999999999999994</v>
      </c>
      <c r="N551" s="61"/>
      <c r="O551" s="50"/>
      <c r="P551" s="52" t="s">
        <v>20</v>
      </c>
    </row>
    <row r="552" spans="1:16" ht="15.75" customHeight="1" outlineLevel="1">
      <c r="A552" s="28">
        <v>9</v>
      </c>
      <c r="B552" s="32">
        <v>45541</v>
      </c>
      <c r="C552" s="36" t="s">
        <v>323</v>
      </c>
      <c r="D552" s="43">
        <v>1</v>
      </c>
      <c r="E552" s="48" t="s">
        <v>26</v>
      </c>
      <c r="F552" s="48" t="s">
        <v>23</v>
      </c>
      <c r="G552" s="49">
        <v>7.0000000000000007E-2</v>
      </c>
      <c r="H552" s="10">
        <v>7.0000000000000007E-2</v>
      </c>
      <c r="I552" s="52">
        <v>1</v>
      </c>
      <c r="J552" s="10">
        <v>1</v>
      </c>
      <c r="K552" s="55" t="s">
        <v>346</v>
      </c>
      <c r="L552" s="57">
        <v>0.92999999999999994</v>
      </c>
      <c r="M552" s="50">
        <v>0.92999999999999994</v>
      </c>
      <c r="N552" s="61"/>
      <c r="O552" s="50"/>
      <c r="P552" s="52" t="s">
        <v>20</v>
      </c>
    </row>
    <row r="553" spans="1:16" ht="15.75" customHeight="1" outlineLevel="1">
      <c r="A553" s="28">
        <v>9</v>
      </c>
      <c r="B553" s="32">
        <v>45541</v>
      </c>
      <c r="C553" s="36" t="s">
        <v>334</v>
      </c>
      <c r="D553" s="43">
        <v>1</v>
      </c>
      <c r="E553" s="48" t="s">
        <v>26</v>
      </c>
      <c r="F553" s="48" t="s">
        <v>23</v>
      </c>
      <c r="G553" s="49">
        <v>0.05</v>
      </c>
      <c r="H553" s="10">
        <v>0.05</v>
      </c>
      <c r="I553" s="52">
        <v>0.5</v>
      </c>
      <c r="J553" s="10">
        <v>0.5</v>
      </c>
      <c r="K553" s="55" t="s">
        <v>346</v>
      </c>
      <c r="L553" s="57">
        <v>0.9</v>
      </c>
      <c r="M553" s="50">
        <v>0.45</v>
      </c>
      <c r="N553" s="61"/>
      <c r="O553" s="50"/>
      <c r="P553" s="52" t="s">
        <v>20</v>
      </c>
    </row>
    <row r="554" spans="1:16" ht="15.75" customHeight="1" outlineLevel="1">
      <c r="A554" s="28">
        <v>9</v>
      </c>
      <c r="B554" s="32">
        <v>45542</v>
      </c>
      <c r="C554" s="36" t="s">
        <v>416</v>
      </c>
      <c r="D554" s="43">
        <v>1</v>
      </c>
      <c r="E554" s="48" t="s">
        <v>26</v>
      </c>
      <c r="F554" s="48" t="s">
        <v>23</v>
      </c>
      <c r="G554" s="49">
        <v>3.5</v>
      </c>
      <c r="H554" s="10">
        <v>3.5</v>
      </c>
      <c r="I554" s="52">
        <v>10</v>
      </c>
      <c r="J554" s="10">
        <v>10</v>
      </c>
      <c r="K554" s="55" t="s">
        <v>346</v>
      </c>
      <c r="L554" s="57">
        <v>0.65</v>
      </c>
      <c r="M554" s="50">
        <v>6.5</v>
      </c>
      <c r="N554" s="61"/>
      <c r="O554" s="50"/>
      <c r="P554" s="52" t="s">
        <v>20</v>
      </c>
    </row>
    <row r="555" spans="1:16" ht="15.75" customHeight="1" outlineLevel="1">
      <c r="A555" s="28">
        <v>9</v>
      </c>
      <c r="B555" s="32">
        <v>45542</v>
      </c>
      <c r="C555" s="36" t="s">
        <v>354</v>
      </c>
      <c r="D555" s="43">
        <v>1</v>
      </c>
      <c r="E555" s="48" t="s">
        <v>26</v>
      </c>
      <c r="F555" s="48" t="s">
        <v>23</v>
      </c>
      <c r="G555" s="49">
        <v>3.5</v>
      </c>
      <c r="H555" s="10">
        <v>3.5</v>
      </c>
      <c r="I555" s="52">
        <v>10</v>
      </c>
      <c r="J555" s="10">
        <v>10</v>
      </c>
      <c r="K555" s="55" t="s">
        <v>346</v>
      </c>
      <c r="L555" s="57">
        <v>0.65</v>
      </c>
      <c r="M555" s="50">
        <v>6.5</v>
      </c>
      <c r="N555" s="61"/>
      <c r="O555" s="50"/>
      <c r="P555" s="52" t="s">
        <v>20</v>
      </c>
    </row>
    <row r="556" spans="1:16" ht="15.75" customHeight="1" outlineLevel="1">
      <c r="A556" s="28">
        <v>9</v>
      </c>
      <c r="B556" s="32">
        <v>45542</v>
      </c>
      <c r="C556" s="36" t="s">
        <v>323</v>
      </c>
      <c r="D556" s="43">
        <v>2</v>
      </c>
      <c r="E556" s="48" t="s">
        <v>26</v>
      </c>
      <c r="F556" s="48" t="s">
        <v>23</v>
      </c>
      <c r="G556" s="49">
        <v>7.0000000000000007E-2</v>
      </c>
      <c r="H556" s="10">
        <v>0.14000000000000001</v>
      </c>
      <c r="I556" s="52">
        <v>1</v>
      </c>
      <c r="J556" s="10">
        <v>2</v>
      </c>
      <c r="K556" s="55" t="s">
        <v>346</v>
      </c>
      <c r="L556" s="57">
        <v>0.92999999999999994</v>
      </c>
      <c r="M556" s="50">
        <v>1.8599999999999999</v>
      </c>
      <c r="N556" s="61"/>
      <c r="O556" s="50"/>
      <c r="P556" s="52" t="s">
        <v>20</v>
      </c>
    </row>
    <row r="557" spans="1:16" ht="15.75" customHeight="1" outlineLevel="1">
      <c r="A557" s="28">
        <v>9</v>
      </c>
      <c r="B557" s="32">
        <v>45542</v>
      </c>
      <c r="C557" s="36" t="s">
        <v>345</v>
      </c>
      <c r="D557" s="43">
        <v>1</v>
      </c>
      <c r="E557" s="48" t="s">
        <v>26</v>
      </c>
      <c r="F557" s="48" t="s">
        <v>23</v>
      </c>
      <c r="G557" s="49">
        <v>0.05</v>
      </c>
      <c r="H557" s="10">
        <v>0.05</v>
      </c>
      <c r="I557" s="52">
        <v>1</v>
      </c>
      <c r="J557" s="10">
        <v>1</v>
      </c>
      <c r="K557" s="55" t="s">
        <v>346</v>
      </c>
      <c r="L557" s="57">
        <v>0.95</v>
      </c>
      <c r="M557" s="50">
        <v>0.95</v>
      </c>
      <c r="N557" s="61"/>
      <c r="O557" s="50"/>
      <c r="P557" s="52" t="s">
        <v>20</v>
      </c>
    </row>
    <row r="558" spans="1:16" ht="15.75" customHeight="1" outlineLevel="1">
      <c r="A558" s="28">
        <v>9</v>
      </c>
      <c r="B558" s="32">
        <v>45542</v>
      </c>
      <c r="C558" s="36" t="s">
        <v>323</v>
      </c>
      <c r="D558" s="43">
        <v>2</v>
      </c>
      <c r="E558" s="48" t="s">
        <v>26</v>
      </c>
      <c r="F558" s="48" t="s">
        <v>23</v>
      </c>
      <c r="G558" s="49">
        <v>7.0000000000000007E-2</v>
      </c>
      <c r="H558" s="10">
        <v>0.14000000000000001</v>
      </c>
      <c r="I558" s="52">
        <v>1</v>
      </c>
      <c r="J558" s="10">
        <v>2</v>
      </c>
      <c r="K558" s="55" t="s">
        <v>346</v>
      </c>
      <c r="L558" s="57">
        <v>0.92999999999999994</v>
      </c>
      <c r="M558" s="50">
        <v>1.8599999999999999</v>
      </c>
      <c r="N558" s="61"/>
      <c r="O558" s="50"/>
      <c r="P558" s="52" t="s">
        <v>20</v>
      </c>
    </row>
    <row r="559" spans="1:16" ht="15.75" customHeight="1" outlineLevel="1">
      <c r="A559" s="28">
        <v>9</v>
      </c>
      <c r="B559" s="32">
        <v>45542</v>
      </c>
      <c r="C559" s="36" t="s">
        <v>417</v>
      </c>
      <c r="D559" s="43">
        <v>1</v>
      </c>
      <c r="E559" s="48" t="s">
        <v>418</v>
      </c>
      <c r="F559" s="48" t="s">
        <v>23</v>
      </c>
      <c r="G559" s="49">
        <v>20</v>
      </c>
      <c r="H559" s="10">
        <v>20</v>
      </c>
      <c r="I559" s="52">
        <v>40</v>
      </c>
      <c r="J559" s="10">
        <v>40</v>
      </c>
      <c r="K559" s="55" t="s">
        <v>346</v>
      </c>
      <c r="L559" s="57">
        <v>0.5</v>
      </c>
      <c r="M559" s="50">
        <v>20</v>
      </c>
      <c r="N559" s="61"/>
      <c r="O559" s="50"/>
      <c r="P559" s="52" t="s">
        <v>20</v>
      </c>
    </row>
    <row r="560" spans="1:16" ht="15.75" customHeight="1" outlineLevel="1">
      <c r="A560" s="28">
        <v>9</v>
      </c>
      <c r="B560" s="32">
        <v>45544</v>
      </c>
      <c r="C560" s="36" t="s">
        <v>334</v>
      </c>
      <c r="D560" s="43">
        <v>1</v>
      </c>
      <c r="E560" s="48" t="s">
        <v>26</v>
      </c>
      <c r="F560" s="48" t="s">
        <v>23</v>
      </c>
      <c r="G560" s="49">
        <v>0.05</v>
      </c>
      <c r="H560" s="10">
        <v>0.05</v>
      </c>
      <c r="I560" s="52">
        <v>0.5</v>
      </c>
      <c r="J560" s="10">
        <v>0.5</v>
      </c>
      <c r="K560" s="55" t="s">
        <v>346</v>
      </c>
      <c r="L560" s="57">
        <v>0.9</v>
      </c>
      <c r="M560" s="50">
        <v>0.45</v>
      </c>
      <c r="N560" s="61"/>
      <c r="O560" s="50"/>
      <c r="P560" s="52" t="s">
        <v>20</v>
      </c>
    </row>
    <row r="561" spans="1:16" ht="15.75" customHeight="1" outlineLevel="1">
      <c r="A561" s="28">
        <v>9</v>
      </c>
      <c r="B561" s="32">
        <v>45544</v>
      </c>
      <c r="C561" s="36" t="s">
        <v>419</v>
      </c>
      <c r="D561" s="43">
        <v>1</v>
      </c>
      <c r="E561" s="48" t="s">
        <v>420</v>
      </c>
      <c r="F561" s="48" t="s">
        <v>23</v>
      </c>
      <c r="G561" s="49">
        <v>0.24285714285714285</v>
      </c>
      <c r="H561" s="10">
        <v>0.24285714285714285</v>
      </c>
      <c r="I561" s="52">
        <v>0.5</v>
      </c>
      <c r="J561" s="10">
        <v>0.5</v>
      </c>
      <c r="K561" s="55" t="s">
        <v>346</v>
      </c>
      <c r="L561" s="57">
        <v>0.51428571428571423</v>
      </c>
      <c r="M561" s="50">
        <v>0.25714285714285712</v>
      </c>
      <c r="N561" s="61"/>
      <c r="O561" s="50"/>
      <c r="P561" s="52" t="s">
        <v>20</v>
      </c>
    </row>
    <row r="562" spans="1:16" ht="15.75" customHeight="1" outlineLevel="1">
      <c r="A562" s="28">
        <v>9</v>
      </c>
      <c r="B562" s="32">
        <v>45544</v>
      </c>
      <c r="C562" s="36" t="s">
        <v>334</v>
      </c>
      <c r="D562" s="43">
        <v>2</v>
      </c>
      <c r="E562" s="48" t="s">
        <v>421</v>
      </c>
      <c r="F562" s="48" t="s">
        <v>23</v>
      </c>
      <c r="G562" s="49">
        <v>0.05</v>
      </c>
      <c r="H562" s="10">
        <v>0.1</v>
      </c>
      <c r="I562" s="52">
        <v>0.5</v>
      </c>
      <c r="J562" s="10">
        <v>1</v>
      </c>
      <c r="K562" s="55" t="s">
        <v>346</v>
      </c>
      <c r="L562" s="57">
        <v>0.9</v>
      </c>
      <c r="M562" s="50">
        <v>0.9</v>
      </c>
      <c r="N562" s="61"/>
      <c r="O562" s="50"/>
      <c r="P562" s="52" t="s">
        <v>20</v>
      </c>
    </row>
    <row r="563" spans="1:16" ht="15.75" customHeight="1" outlineLevel="1">
      <c r="A563" s="28">
        <v>9</v>
      </c>
      <c r="B563" s="32">
        <v>45544</v>
      </c>
      <c r="C563" s="36" t="s">
        <v>419</v>
      </c>
      <c r="D563" s="43">
        <v>1</v>
      </c>
      <c r="E563" s="48" t="s">
        <v>58</v>
      </c>
      <c r="F563" s="48" t="s">
        <v>23</v>
      </c>
      <c r="G563" s="49">
        <v>0.24285714285714285</v>
      </c>
      <c r="H563" s="10">
        <v>0.24285714285714285</v>
      </c>
      <c r="I563" s="52">
        <v>0.5</v>
      </c>
      <c r="J563" s="10">
        <v>0.5</v>
      </c>
      <c r="K563" s="55" t="s">
        <v>346</v>
      </c>
      <c r="L563" s="57">
        <v>0.51428571428571423</v>
      </c>
      <c r="M563" s="50">
        <v>0.25714285714285712</v>
      </c>
      <c r="N563" s="61"/>
      <c r="O563" s="50"/>
      <c r="P563" s="52" t="s">
        <v>20</v>
      </c>
    </row>
    <row r="564" spans="1:16" ht="15.75" customHeight="1" outlineLevel="1">
      <c r="A564" s="28">
        <v>9</v>
      </c>
      <c r="B564" s="32">
        <v>45544</v>
      </c>
      <c r="C564" s="36" t="s">
        <v>422</v>
      </c>
      <c r="D564" s="43">
        <v>1</v>
      </c>
      <c r="E564" s="48" t="s">
        <v>26</v>
      </c>
      <c r="F564" s="48" t="s">
        <v>23</v>
      </c>
      <c r="G564" s="49">
        <v>15</v>
      </c>
      <c r="H564" s="10">
        <v>15</v>
      </c>
      <c r="I564" s="52">
        <v>15</v>
      </c>
      <c r="J564" s="10">
        <v>15</v>
      </c>
      <c r="K564" s="55" t="s">
        <v>346</v>
      </c>
      <c r="L564" s="57">
        <v>0</v>
      </c>
      <c r="M564" s="50">
        <v>0</v>
      </c>
      <c r="N564" s="61"/>
      <c r="O564" s="50"/>
      <c r="P564" s="52" t="s">
        <v>20</v>
      </c>
    </row>
    <row r="565" spans="1:16" ht="15.75" customHeight="1" outlineLevel="1">
      <c r="A565" s="28">
        <v>9</v>
      </c>
      <c r="B565" s="32">
        <v>45544</v>
      </c>
      <c r="C565" s="36" t="s">
        <v>112</v>
      </c>
      <c r="D565" s="43">
        <v>1</v>
      </c>
      <c r="E565" s="48" t="s">
        <v>26</v>
      </c>
      <c r="F565" s="48" t="s">
        <v>23</v>
      </c>
      <c r="G565" s="49">
        <v>12</v>
      </c>
      <c r="H565" s="10">
        <v>12</v>
      </c>
      <c r="I565" s="52">
        <v>30</v>
      </c>
      <c r="J565" s="10">
        <v>30</v>
      </c>
      <c r="K565" s="55" t="s">
        <v>346</v>
      </c>
      <c r="L565" s="57">
        <v>0.6</v>
      </c>
      <c r="M565" s="50">
        <v>18</v>
      </c>
      <c r="N565" s="61"/>
      <c r="O565" s="50"/>
      <c r="P565" s="52" t="s">
        <v>20</v>
      </c>
    </row>
    <row r="566" spans="1:16" ht="15.75" customHeight="1" outlineLevel="1">
      <c r="A566" s="28">
        <v>9</v>
      </c>
      <c r="B566" s="32">
        <v>45545</v>
      </c>
      <c r="C566" s="36" t="s">
        <v>323</v>
      </c>
      <c r="D566" s="43">
        <v>1</v>
      </c>
      <c r="E566" s="48" t="s">
        <v>395</v>
      </c>
      <c r="F566" s="48" t="s">
        <v>23</v>
      </c>
      <c r="G566" s="49">
        <v>7.0000000000000007E-2</v>
      </c>
      <c r="H566" s="10">
        <v>7.0000000000000007E-2</v>
      </c>
      <c r="I566" s="52">
        <v>1</v>
      </c>
      <c r="J566" s="10">
        <v>1</v>
      </c>
      <c r="K566" s="55" t="s">
        <v>346</v>
      </c>
      <c r="L566" s="57">
        <v>0.92999999999999994</v>
      </c>
      <c r="M566" s="50">
        <v>0.92999999999999994</v>
      </c>
      <c r="N566" s="61"/>
      <c r="O566" s="50"/>
      <c r="P566" s="52" t="s">
        <v>20</v>
      </c>
    </row>
    <row r="567" spans="1:16" ht="15.75" customHeight="1" outlineLevel="1">
      <c r="A567" s="28">
        <v>9</v>
      </c>
      <c r="B567" s="32">
        <v>45545</v>
      </c>
      <c r="C567" s="36" t="s">
        <v>419</v>
      </c>
      <c r="D567" s="43">
        <v>1</v>
      </c>
      <c r="E567" s="48" t="s">
        <v>239</v>
      </c>
      <c r="F567" s="48" t="s">
        <v>23</v>
      </c>
      <c r="G567" s="49">
        <v>0.24285714285714285</v>
      </c>
      <c r="H567" s="10">
        <v>0.24285714285714285</v>
      </c>
      <c r="I567" s="52">
        <v>0.5</v>
      </c>
      <c r="J567" s="10">
        <v>0.5</v>
      </c>
      <c r="K567" s="55" t="s">
        <v>346</v>
      </c>
      <c r="L567" s="57">
        <v>0.51428571428571423</v>
      </c>
      <c r="M567" s="50">
        <v>0.25714285714285712</v>
      </c>
      <c r="N567" s="61"/>
      <c r="O567" s="50"/>
      <c r="P567" s="52" t="s">
        <v>20</v>
      </c>
    </row>
    <row r="568" spans="1:16" ht="15.75" customHeight="1" outlineLevel="1">
      <c r="A568" s="28">
        <v>9</v>
      </c>
      <c r="B568" s="32">
        <v>45545</v>
      </c>
      <c r="C568" s="36" t="s">
        <v>423</v>
      </c>
      <c r="D568" s="43">
        <v>1</v>
      </c>
      <c r="E568" s="48" t="s">
        <v>147</v>
      </c>
      <c r="F568" s="48" t="s">
        <v>23</v>
      </c>
      <c r="G568" s="49">
        <v>41</v>
      </c>
      <c r="H568" s="10">
        <v>41</v>
      </c>
      <c r="I568" s="52">
        <v>75</v>
      </c>
      <c r="J568" s="10">
        <v>75</v>
      </c>
      <c r="K568" s="55" t="s">
        <v>346</v>
      </c>
      <c r="L568" s="57">
        <v>0.45333333333333331</v>
      </c>
      <c r="M568" s="50">
        <v>34</v>
      </c>
      <c r="N568" s="61"/>
      <c r="O568" s="50"/>
      <c r="P568" s="52" t="s">
        <v>20</v>
      </c>
    </row>
    <row r="569" spans="1:16" ht="15.75" customHeight="1" outlineLevel="1">
      <c r="A569" s="28">
        <v>9</v>
      </c>
      <c r="B569" s="32">
        <v>45545</v>
      </c>
      <c r="C569" s="36" t="s">
        <v>424</v>
      </c>
      <c r="D569" s="43">
        <v>1</v>
      </c>
      <c r="E569" s="48" t="s">
        <v>147</v>
      </c>
      <c r="F569" s="48" t="s">
        <v>23</v>
      </c>
      <c r="G569" s="49">
        <v>6</v>
      </c>
      <c r="H569" s="10">
        <v>6</v>
      </c>
      <c r="I569" s="52">
        <v>10</v>
      </c>
      <c r="J569" s="10">
        <v>10</v>
      </c>
      <c r="K569" s="55" t="s">
        <v>346</v>
      </c>
      <c r="L569" s="57">
        <v>0.4</v>
      </c>
      <c r="M569" s="50">
        <v>4</v>
      </c>
      <c r="N569" s="61"/>
      <c r="O569" s="50"/>
      <c r="P569" s="52" t="s">
        <v>20</v>
      </c>
    </row>
    <row r="570" spans="1:16" ht="15.75" customHeight="1" outlineLevel="1">
      <c r="A570" s="28">
        <v>9</v>
      </c>
      <c r="B570" s="32">
        <v>45545</v>
      </c>
      <c r="C570" s="36" t="s">
        <v>55</v>
      </c>
      <c r="D570" s="43">
        <v>1</v>
      </c>
      <c r="E570" s="48" t="s">
        <v>425</v>
      </c>
      <c r="F570" s="48" t="s">
        <v>23</v>
      </c>
      <c r="G570" s="49">
        <v>3</v>
      </c>
      <c r="H570" s="10">
        <v>3</v>
      </c>
      <c r="I570" s="52">
        <v>10</v>
      </c>
      <c r="J570" s="10">
        <v>10</v>
      </c>
      <c r="K570" s="55" t="s">
        <v>346</v>
      </c>
      <c r="L570" s="57">
        <v>0.7</v>
      </c>
      <c r="M570" s="50">
        <v>7</v>
      </c>
      <c r="N570" s="61"/>
      <c r="O570" s="50"/>
      <c r="P570" s="52" t="s">
        <v>20</v>
      </c>
    </row>
    <row r="571" spans="1:16" ht="15.75" customHeight="1" outlineLevel="1">
      <c r="A571" s="28">
        <v>9</v>
      </c>
      <c r="B571" s="32">
        <v>45545</v>
      </c>
      <c r="C571" s="36" t="s">
        <v>419</v>
      </c>
      <c r="D571" s="43">
        <v>1</v>
      </c>
      <c r="E571" s="48" t="s">
        <v>239</v>
      </c>
      <c r="F571" s="48" t="s">
        <v>23</v>
      </c>
      <c r="G571" s="49">
        <v>0.24285714285714285</v>
      </c>
      <c r="H571" s="10">
        <v>0.24285714285714285</v>
      </c>
      <c r="I571" s="52">
        <v>0.5</v>
      </c>
      <c r="J571" s="10">
        <v>0.5</v>
      </c>
      <c r="K571" s="55" t="s">
        <v>346</v>
      </c>
      <c r="L571" s="57">
        <v>0.51428571428571423</v>
      </c>
      <c r="M571" s="50">
        <v>0.25714285714285712</v>
      </c>
      <c r="N571" s="61"/>
      <c r="O571" s="50"/>
      <c r="P571" s="52" t="s">
        <v>20</v>
      </c>
    </row>
    <row r="572" spans="1:16" ht="15.75" customHeight="1" outlineLevel="1">
      <c r="A572" s="28">
        <v>9</v>
      </c>
      <c r="B572" s="32">
        <v>45545</v>
      </c>
      <c r="C572" s="36" t="s">
        <v>423</v>
      </c>
      <c r="D572" s="43">
        <v>1</v>
      </c>
      <c r="E572" s="48" t="s">
        <v>342</v>
      </c>
      <c r="F572" s="48" t="s">
        <v>23</v>
      </c>
      <c r="G572" s="49">
        <v>41</v>
      </c>
      <c r="H572" s="10">
        <v>41</v>
      </c>
      <c r="I572" s="52">
        <v>75</v>
      </c>
      <c r="J572" s="10">
        <v>75</v>
      </c>
      <c r="K572" s="55" t="s">
        <v>346</v>
      </c>
      <c r="L572" s="57">
        <v>0.45333333333333331</v>
      </c>
      <c r="M572" s="50">
        <v>34</v>
      </c>
      <c r="N572" s="61"/>
      <c r="O572" s="50"/>
      <c r="P572" s="52" t="s">
        <v>20</v>
      </c>
    </row>
    <row r="573" spans="1:16" ht="15.75" customHeight="1" outlineLevel="1">
      <c r="A573" s="28">
        <v>9</v>
      </c>
      <c r="B573" s="32">
        <v>45546</v>
      </c>
      <c r="C573" s="36" t="s">
        <v>323</v>
      </c>
      <c r="D573" s="43">
        <v>2</v>
      </c>
      <c r="E573" s="48" t="s">
        <v>26</v>
      </c>
      <c r="F573" s="48" t="s">
        <v>23</v>
      </c>
      <c r="G573" s="49">
        <v>7.0000000000000007E-2</v>
      </c>
      <c r="H573" s="10">
        <v>0.14000000000000001</v>
      </c>
      <c r="I573" s="52">
        <v>1</v>
      </c>
      <c r="J573" s="10">
        <v>2</v>
      </c>
      <c r="K573" s="55" t="s">
        <v>346</v>
      </c>
      <c r="L573" s="57">
        <v>0.92999999999999994</v>
      </c>
      <c r="M573" s="50">
        <v>1.8599999999999999</v>
      </c>
      <c r="N573" s="61"/>
      <c r="O573" s="50"/>
      <c r="P573" s="52" t="s">
        <v>20</v>
      </c>
    </row>
    <row r="574" spans="1:16" ht="15.75" customHeight="1" outlineLevel="1">
      <c r="A574" s="28">
        <v>9</v>
      </c>
      <c r="B574" s="32">
        <v>45546</v>
      </c>
      <c r="C574" s="36" t="s">
        <v>364</v>
      </c>
      <c r="D574" s="43">
        <v>1</v>
      </c>
      <c r="E574" s="48" t="s">
        <v>125</v>
      </c>
      <c r="F574" s="48" t="s">
        <v>23</v>
      </c>
      <c r="G574" s="49">
        <v>6</v>
      </c>
      <c r="H574" s="10">
        <v>6</v>
      </c>
      <c r="I574" s="52">
        <v>20</v>
      </c>
      <c r="J574" s="10">
        <v>20</v>
      </c>
      <c r="K574" s="55" t="s">
        <v>346</v>
      </c>
      <c r="L574" s="57">
        <v>0.7</v>
      </c>
      <c r="M574" s="50">
        <v>14</v>
      </c>
      <c r="N574" s="61"/>
      <c r="O574" s="50"/>
      <c r="P574" s="52" t="s">
        <v>20</v>
      </c>
    </row>
    <row r="575" spans="1:16" ht="15.75" customHeight="1" outlineLevel="1">
      <c r="A575" s="28">
        <v>9</v>
      </c>
      <c r="B575" s="32">
        <v>45546</v>
      </c>
      <c r="C575" s="36" t="s">
        <v>378</v>
      </c>
      <c r="D575" s="43">
        <v>1</v>
      </c>
      <c r="E575" s="48" t="s">
        <v>125</v>
      </c>
      <c r="F575" s="48" t="s">
        <v>23</v>
      </c>
      <c r="G575" s="49">
        <v>11</v>
      </c>
      <c r="H575" s="10">
        <v>11</v>
      </c>
      <c r="I575" s="52">
        <v>20</v>
      </c>
      <c r="J575" s="10">
        <v>20</v>
      </c>
      <c r="K575" s="55" t="s">
        <v>346</v>
      </c>
      <c r="L575" s="57">
        <v>0.45</v>
      </c>
      <c r="M575" s="50">
        <v>9</v>
      </c>
      <c r="N575" s="61"/>
      <c r="O575" s="50"/>
      <c r="P575" s="52" t="s">
        <v>20</v>
      </c>
    </row>
    <row r="576" spans="1:16" ht="15.75" customHeight="1" outlineLevel="1">
      <c r="A576" s="28">
        <v>9</v>
      </c>
      <c r="B576" s="32">
        <v>45546</v>
      </c>
      <c r="C576" s="36" t="s">
        <v>426</v>
      </c>
      <c r="D576" s="43">
        <v>1</v>
      </c>
      <c r="E576" s="48" t="s">
        <v>125</v>
      </c>
      <c r="F576" s="48" t="s">
        <v>23</v>
      </c>
      <c r="G576" s="49">
        <v>17</v>
      </c>
      <c r="H576" s="10">
        <v>17</v>
      </c>
      <c r="I576" s="52">
        <v>40</v>
      </c>
      <c r="J576" s="10">
        <v>40</v>
      </c>
      <c r="K576" s="55" t="s">
        <v>346</v>
      </c>
      <c r="L576" s="57">
        <v>0.57499999999999996</v>
      </c>
      <c r="M576" s="50">
        <v>23</v>
      </c>
      <c r="N576" s="61"/>
      <c r="O576" s="50"/>
      <c r="P576" s="52" t="s">
        <v>20</v>
      </c>
    </row>
    <row r="577" spans="1:16" ht="15.75" customHeight="1" outlineLevel="1">
      <c r="A577" s="28">
        <v>9</v>
      </c>
      <c r="B577" s="32">
        <v>45546</v>
      </c>
      <c r="C577" s="36" t="s">
        <v>427</v>
      </c>
      <c r="D577" s="43">
        <v>1</v>
      </c>
      <c r="E577" s="48" t="s">
        <v>428</v>
      </c>
      <c r="F577" s="48" t="s">
        <v>23</v>
      </c>
      <c r="G577" s="49">
        <v>100</v>
      </c>
      <c r="H577" s="10">
        <v>100</v>
      </c>
      <c r="I577" s="52">
        <v>136.9</v>
      </c>
      <c r="J577" s="10">
        <v>136.9</v>
      </c>
      <c r="K577" s="55" t="s">
        <v>346</v>
      </c>
      <c r="L577" s="57">
        <v>0.26953981008035066</v>
      </c>
      <c r="M577" s="50">
        <v>36.900000000000006</v>
      </c>
      <c r="N577" s="61"/>
      <c r="O577" s="50"/>
      <c r="P577" s="52" t="s">
        <v>20</v>
      </c>
    </row>
    <row r="578" spans="1:16" ht="15.75" customHeight="1" outlineLevel="1">
      <c r="A578" s="28">
        <v>9</v>
      </c>
      <c r="B578" s="32">
        <v>45547</v>
      </c>
      <c r="C578" s="36" t="s">
        <v>424</v>
      </c>
      <c r="D578" s="43">
        <v>1</v>
      </c>
      <c r="E578" s="48" t="s">
        <v>429</v>
      </c>
      <c r="F578" s="48" t="s">
        <v>23</v>
      </c>
      <c r="G578" s="49">
        <v>6</v>
      </c>
      <c r="H578" s="10">
        <v>6</v>
      </c>
      <c r="I578" s="52">
        <v>10</v>
      </c>
      <c r="J578" s="10">
        <v>10</v>
      </c>
      <c r="K578" s="55" t="s">
        <v>346</v>
      </c>
      <c r="L578" s="57">
        <v>0.4</v>
      </c>
      <c r="M578" s="50">
        <v>4</v>
      </c>
      <c r="N578" s="61"/>
      <c r="O578" s="50"/>
      <c r="P578" s="52" t="s">
        <v>20</v>
      </c>
    </row>
    <row r="579" spans="1:16" ht="15.75" customHeight="1" outlineLevel="1">
      <c r="A579" s="28">
        <v>9</v>
      </c>
      <c r="B579" s="32">
        <v>45548</v>
      </c>
      <c r="C579" s="36" t="s">
        <v>323</v>
      </c>
      <c r="D579" s="43">
        <v>1</v>
      </c>
      <c r="E579" s="48" t="s">
        <v>26</v>
      </c>
      <c r="F579" s="48" t="s">
        <v>23</v>
      </c>
      <c r="G579" s="49">
        <v>7.0000000000000007E-2</v>
      </c>
      <c r="H579" s="10">
        <v>7.0000000000000007E-2</v>
      </c>
      <c r="I579" s="52">
        <v>1</v>
      </c>
      <c r="J579" s="10">
        <v>1</v>
      </c>
      <c r="K579" s="55" t="s">
        <v>346</v>
      </c>
      <c r="L579" s="57">
        <v>0.92999999999999994</v>
      </c>
      <c r="M579" s="50">
        <v>0.92999999999999994</v>
      </c>
      <c r="N579" s="61"/>
      <c r="O579" s="50"/>
      <c r="P579" s="52" t="s">
        <v>20</v>
      </c>
    </row>
    <row r="580" spans="1:16" ht="15.75" customHeight="1" outlineLevel="1">
      <c r="A580" s="28">
        <v>9</v>
      </c>
      <c r="B580" s="32">
        <v>45548</v>
      </c>
      <c r="C580" s="36" t="s">
        <v>387</v>
      </c>
      <c r="D580" s="43">
        <v>1</v>
      </c>
      <c r="E580" s="48" t="s">
        <v>26</v>
      </c>
      <c r="F580" s="48" t="s">
        <v>23</v>
      </c>
      <c r="G580" s="49">
        <v>17</v>
      </c>
      <c r="H580" s="10">
        <v>17</v>
      </c>
      <c r="I580" s="52">
        <v>30</v>
      </c>
      <c r="J580" s="10">
        <v>30</v>
      </c>
      <c r="K580" s="55" t="s">
        <v>346</v>
      </c>
      <c r="L580" s="57">
        <v>0.43333333333333335</v>
      </c>
      <c r="M580" s="50">
        <v>13</v>
      </c>
      <c r="N580" s="61"/>
      <c r="O580" s="50"/>
      <c r="P580" s="52" t="s">
        <v>20</v>
      </c>
    </row>
    <row r="581" spans="1:16" ht="15.75" customHeight="1" outlineLevel="1">
      <c r="A581" s="28">
        <v>9</v>
      </c>
      <c r="B581" s="32">
        <v>45548</v>
      </c>
      <c r="C581" s="36" t="s">
        <v>274</v>
      </c>
      <c r="D581" s="43">
        <v>1</v>
      </c>
      <c r="E581" s="48" t="s">
        <v>312</v>
      </c>
      <c r="F581" s="48" t="s">
        <v>23</v>
      </c>
      <c r="G581" s="49">
        <v>0</v>
      </c>
      <c r="H581" s="10">
        <v>0</v>
      </c>
      <c r="I581" s="52">
        <v>71</v>
      </c>
      <c r="J581" s="10">
        <v>71</v>
      </c>
      <c r="K581" s="55" t="s">
        <v>346</v>
      </c>
      <c r="L581" s="57">
        <v>1</v>
      </c>
      <c r="M581" s="50">
        <v>71</v>
      </c>
      <c r="N581" s="61"/>
      <c r="O581" s="50"/>
      <c r="P581" s="52" t="s">
        <v>20</v>
      </c>
    </row>
    <row r="582" spans="1:16" ht="15.75" customHeight="1" outlineLevel="1">
      <c r="A582" s="28">
        <v>9</v>
      </c>
      <c r="B582" s="32">
        <v>45548</v>
      </c>
      <c r="C582" s="36" t="s">
        <v>387</v>
      </c>
      <c r="D582" s="43">
        <v>1</v>
      </c>
      <c r="E582" s="48" t="s">
        <v>26</v>
      </c>
      <c r="F582" s="48" t="s">
        <v>23</v>
      </c>
      <c r="G582" s="49">
        <v>17</v>
      </c>
      <c r="H582" s="10">
        <v>17</v>
      </c>
      <c r="I582" s="52">
        <v>30</v>
      </c>
      <c r="J582" s="10">
        <v>30</v>
      </c>
      <c r="K582" s="55" t="s">
        <v>346</v>
      </c>
      <c r="L582" s="57">
        <v>0.43333333333333335</v>
      </c>
      <c r="M582" s="50">
        <v>13</v>
      </c>
      <c r="N582" s="61"/>
      <c r="O582" s="50"/>
      <c r="P582" s="52" t="s">
        <v>20</v>
      </c>
    </row>
    <row r="583" spans="1:16" ht="15.75" customHeight="1" outlineLevel="1">
      <c r="A583" s="28">
        <v>9</v>
      </c>
      <c r="B583" s="32">
        <v>45548</v>
      </c>
      <c r="C583" s="36" t="s">
        <v>430</v>
      </c>
      <c r="D583" s="43">
        <v>1</v>
      </c>
      <c r="E583" s="48" t="s">
        <v>26</v>
      </c>
      <c r="F583" s="48" t="s">
        <v>18</v>
      </c>
      <c r="G583" s="49">
        <v>35</v>
      </c>
      <c r="H583" s="10">
        <v>35</v>
      </c>
      <c r="I583" s="52">
        <v>70</v>
      </c>
      <c r="J583" s="10">
        <v>70</v>
      </c>
      <c r="K583" s="55" t="s">
        <v>346</v>
      </c>
      <c r="L583" s="57">
        <v>0.5</v>
      </c>
      <c r="M583" s="50">
        <v>35</v>
      </c>
      <c r="N583" s="61"/>
      <c r="O583" s="50"/>
      <c r="P583" s="52" t="s">
        <v>20</v>
      </c>
    </row>
    <row r="584" spans="1:16" ht="15.75" customHeight="1" outlineLevel="1">
      <c r="A584" s="28">
        <v>9</v>
      </c>
      <c r="B584" s="32">
        <v>45548</v>
      </c>
      <c r="C584" s="36" t="s">
        <v>326</v>
      </c>
      <c r="D584" s="43">
        <v>1</v>
      </c>
      <c r="E584" s="48" t="s">
        <v>431</v>
      </c>
      <c r="F584" s="48" t="s">
        <v>23</v>
      </c>
      <c r="G584" s="49">
        <v>13.5</v>
      </c>
      <c r="H584" s="10">
        <v>13.5</v>
      </c>
      <c r="I584" s="52">
        <v>25</v>
      </c>
      <c r="J584" s="10">
        <v>25</v>
      </c>
      <c r="K584" s="55" t="s">
        <v>346</v>
      </c>
      <c r="L584" s="57">
        <v>0.46</v>
      </c>
      <c r="M584" s="50">
        <v>11.5</v>
      </c>
      <c r="N584" s="61"/>
      <c r="O584" s="50"/>
      <c r="P584" s="52" t="s">
        <v>20</v>
      </c>
    </row>
    <row r="585" spans="1:16" ht="15.75" customHeight="1" outlineLevel="1">
      <c r="A585" s="28">
        <v>9</v>
      </c>
      <c r="B585" s="32">
        <v>45549</v>
      </c>
      <c r="C585" s="36" t="s">
        <v>323</v>
      </c>
      <c r="D585" s="43">
        <v>1</v>
      </c>
      <c r="E585" s="48" t="s">
        <v>26</v>
      </c>
      <c r="F585" s="48" t="s">
        <v>23</v>
      </c>
      <c r="G585" s="49">
        <v>7.0000000000000007E-2</v>
      </c>
      <c r="H585" s="10">
        <v>7.0000000000000007E-2</v>
      </c>
      <c r="I585" s="52">
        <v>1</v>
      </c>
      <c r="J585" s="10">
        <v>1</v>
      </c>
      <c r="K585" s="55" t="s">
        <v>346</v>
      </c>
      <c r="L585" s="57">
        <v>0.92999999999999994</v>
      </c>
      <c r="M585" s="50">
        <v>0.92999999999999994</v>
      </c>
      <c r="N585" s="61"/>
      <c r="O585" s="50"/>
      <c r="P585" s="52" t="s">
        <v>20</v>
      </c>
    </row>
    <row r="586" spans="1:16" ht="15.75" customHeight="1" outlineLevel="1">
      <c r="A586" s="28">
        <v>9</v>
      </c>
      <c r="B586" s="32">
        <v>45551</v>
      </c>
      <c r="C586" s="36" t="s">
        <v>432</v>
      </c>
      <c r="D586" s="43">
        <v>1</v>
      </c>
      <c r="E586" s="48" t="s">
        <v>433</v>
      </c>
      <c r="F586" s="48" t="s">
        <v>23</v>
      </c>
      <c r="G586" s="49">
        <v>12</v>
      </c>
      <c r="H586" s="10">
        <v>12</v>
      </c>
      <c r="I586" s="52">
        <v>30</v>
      </c>
      <c r="J586" s="10">
        <v>30</v>
      </c>
      <c r="K586" s="55" t="s">
        <v>346</v>
      </c>
      <c r="L586" s="57">
        <v>0.6</v>
      </c>
      <c r="M586" s="50">
        <v>18</v>
      </c>
      <c r="N586" s="61"/>
      <c r="O586" s="50"/>
      <c r="P586" s="52" t="s">
        <v>20</v>
      </c>
    </row>
    <row r="587" spans="1:16" ht="15.75" customHeight="1" outlineLevel="1">
      <c r="A587" s="28">
        <v>9</v>
      </c>
      <c r="B587" s="32">
        <v>45552</v>
      </c>
      <c r="C587" s="36" t="s">
        <v>323</v>
      </c>
      <c r="D587" s="43">
        <v>1</v>
      </c>
      <c r="E587" s="48" t="s">
        <v>26</v>
      </c>
      <c r="F587" s="48" t="s">
        <v>23</v>
      </c>
      <c r="G587" s="49">
        <v>7.0000000000000007E-2</v>
      </c>
      <c r="H587" s="10">
        <v>7.0000000000000007E-2</v>
      </c>
      <c r="I587" s="52">
        <v>1</v>
      </c>
      <c r="J587" s="10">
        <v>1</v>
      </c>
      <c r="K587" s="55" t="s">
        <v>346</v>
      </c>
      <c r="L587" s="57">
        <v>0.92999999999999994</v>
      </c>
      <c r="M587" s="50">
        <v>0.92999999999999994</v>
      </c>
      <c r="N587" s="61"/>
      <c r="O587" s="50"/>
      <c r="P587" s="52" t="s">
        <v>20</v>
      </c>
    </row>
    <row r="588" spans="1:16" ht="15.75" customHeight="1" outlineLevel="1">
      <c r="A588" s="28">
        <v>9</v>
      </c>
      <c r="B588" s="32">
        <v>45552</v>
      </c>
      <c r="C588" s="36" t="s">
        <v>334</v>
      </c>
      <c r="D588" s="43">
        <v>2</v>
      </c>
      <c r="E588" s="48" t="s">
        <v>26</v>
      </c>
      <c r="F588" s="48" t="s">
        <v>23</v>
      </c>
      <c r="G588" s="49">
        <v>0.05</v>
      </c>
      <c r="H588" s="10">
        <v>0.1</v>
      </c>
      <c r="I588" s="52">
        <v>1</v>
      </c>
      <c r="J588" s="10">
        <v>2</v>
      </c>
      <c r="K588" s="55" t="s">
        <v>346</v>
      </c>
      <c r="L588" s="57">
        <v>0.95</v>
      </c>
      <c r="M588" s="50">
        <v>1.9</v>
      </c>
      <c r="N588" s="61"/>
      <c r="O588" s="50"/>
      <c r="P588" s="52" t="s">
        <v>20</v>
      </c>
    </row>
    <row r="589" spans="1:16" ht="15.75" customHeight="1" outlineLevel="1">
      <c r="A589" s="28">
        <v>9</v>
      </c>
      <c r="B589" s="32">
        <v>45552</v>
      </c>
      <c r="C589" s="36" t="s">
        <v>434</v>
      </c>
      <c r="D589" s="43">
        <v>1</v>
      </c>
      <c r="E589" s="48" t="s">
        <v>342</v>
      </c>
      <c r="F589" s="48" t="s">
        <v>23</v>
      </c>
      <c r="G589" s="49">
        <v>13</v>
      </c>
      <c r="H589" s="10">
        <v>13</v>
      </c>
      <c r="I589" s="52">
        <v>20</v>
      </c>
      <c r="J589" s="10">
        <v>20</v>
      </c>
      <c r="K589" s="55" t="s">
        <v>346</v>
      </c>
      <c r="L589" s="57">
        <v>0.35</v>
      </c>
      <c r="M589" s="50">
        <v>7</v>
      </c>
      <c r="N589" s="61"/>
      <c r="O589" s="50"/>
      <c r="P589" s="52" t="s">
        <v>20</v>
      </c>
    </row>
    <row r="590" spans="1:16" ht="15.75" customHeight="1" outlineLevel="1">
      <c r="A590" s="28">
        <v>9</v>
      </c>
      <c r="B590" s="32">
        <v>45552</v>
      </c>
      <c r="C590" s="36" t="s">
        <v>435</v>
      </c>
      <c r="D590" s="43">
        <v>1</v>
      </c>
      <c r="E590" s="48" t="s">
        <v>342</v>
      </c>
      <c r="F590" s="48" t="s">
        <v>23</v>
      </c>
      <c r="G590" s="49" t="s">
        <v>79</v>
      </c>
      <c r="H590" s="10">
        <v>0</v>
      </c>
      <c r="I590" s="52"/>
      <c r="J590" s="10">
        <v>0</v>
      </c>
      <c r="K590" s="55"/>
      <c r="L590" s="57" t="s">
        <v>436</v>
      </c>
      <c r="M590" s="50">
        <v>0</v>
      </c>
      <c r="N590" s="61"/>
      <c r="O590" s="50"/>
      <c r="P590" s="52" t="s">
        <v>20</v>
      </c>
    </row>
    <row r="591" spans="1:16" ht="15.75" customHeight="1" outlineLevel="1">
      <c r="A591" s="28">
        <v>9</v>
      </c>
      <c r="B591" s="32">
        <v>45553</v>
      </c>
      <c r="C591" s="36" t="s">
        <v>343</v>
      </c>
      <c r="D591" s="43">
        <v>1</v>
      </c>
      <c r="E591" s="48" t="s">
        <v>26</v>
      </c>
      <c r="F591" s="48" t="s">
        <v>23</v>
      </c>
      <c r="G591" s="49">
        <v>3</v>
      </c>
      <c r="H591" s="10">
        <v>3</v>
      </c>
      <c r="I591" s="52">
        <v>15</v>
      </c>
      <c r="J591" s="10">
        <v>15</v>
      </c>
      <c r="K591" s="55" t="s">
        <v>346</v>
      </c>
      <c r="L591" s="57">
        <v>0.8</v>
      </c>
      <c r="M591" s="50">
        <v>12</v>
      </c>
      <c r="N591" s="61"/>
      <c r="O591" s="50"/>
      <c r="P591" s="52" t="s">
        <v>20</v>
      </c>
    </row>
    <row r="592" spans="1:16" ht="15.75" customHeight="1" outlineLevel="1">
      <c r="A592" s="28">
        <v>9</v>
      </c>
      <c r="B592" s="32">
        <v>45553</v>
      </c>
      <c r="C592" s="36" t="s">
        <v>323</v>
      </c>
      <c r="D592" s="43">
        <v>2</v>
      </c>
      <c r="E592" s="48" t="s">
        <v>58</v>
      </c>
      <c r="F592" s="48" t="s">
        <v>23</v>
      </c>
      <c r="G592" s="49">
        <v>7.0000000000000007E-2</v>
      </c>
      <c r="H592" s="10">
        <v>0.14000000000000001</v>
      </c>
      <c r="I592" s="52">
        <v>1</v>
      </c>
      <c r="J592" s="10">
        <v>2</v>
      </c>
      <c r="K592" s="55" t="s">
        <v>346</v>
      </c>
      <c r="L592" s="57">
        <v>0.92999999999999994</v>
      </c>
      <c r="M592" s="50">
        <v>1.8599999999999999</v>
      </c>
      <c r="N592" s="61"/>
      <c r="O592" s="50"/>
      <c r="P592" s="52" t="s">
        <v>20</v>
      </c>
    </row>
    <row r="593" spans="1:16" ht="15.75" customHeight="1" outlineLevel="1">
      <c r="A593" s="28">
        <v>9</v>
      </c>
      <c r="B593" s="32">
        <v>45552</v>
      </c>
      <c r="C593" s="36" t="s">
        <v>423</v>
      </c>
      <c r="D593" s="43">
        <v>1</v>
      </c>
      <c r="E593" s="48" t="s">
        <v>348</v>
      </c>
      <c r="F593" s="48" t="s">
        <v>23</v>
      </c>
      <c r="G593" s="49">
        <v>41</v>
      </c>
      <c r="H593" s="10">
        <v>41</v>
      </c>
      <c r="I593" s="52">
        <v>75</v>
      </c>
      <c r="J593" s="10">
        <v>75</v>
      </c>
      <c r="K593" s="55" t="s">
        <v>346</v>
      </c>
      <c r="L593" s="57">
        <v>0.45333333333333331</v>
      </c>
      <c r="M593" s="50">
        <v>34</v>
      </c>
      <c r="N593" s="61"/>
      <c r="O593" s="50"/>
      <c r="P593" s="52" t="s">
        <v>20</v>
      </c>
    </row>
    <row r="594" spans="1:16" ht="15.75" customHeight="1" outlineLevel="1">
      <c r="A594" s="28">
        <v>9</v>
      </c>
      <c r="B594" s="32">
        <v>45553</v>
      </c>
      <c r="C594" s="36" t="s">
        <v>419</v>
      </c>
      <c r="D594" s="43">
        <v>3</v>
      </c>
      <c r="E594" s="48" t="s">
        <v>239</v>
      </c>
      <c r="F594" s="48" t="s">
        <v>23</v>
      </c>
      <c r="G594" s="49">
        <v>0.24285714285714285</v>
      </c>
      <c r="H594" s="10">
        <v>0.72857142857142854</v>
      </c>
      <c r="I594" s="52">
        <v>0.5</v>
      </c>
      <c r="J594" s="10">
        <v>1.5</v>
      </c>
      <c r="K594" s="55" t="s">
        <v>346</v>
      </c>
      <c r="L594" s="57">
        <v>0.51428571428571435</v>
      </c>
      <c r="M594" s="50">
        <v>0.77142857142857146</v>
      </c>
      <c r="N594" s="61"/>
      <c r="O594" s="50"/>
      <c r="P594" s="52" t="s">
        <v>20</v>
      </c>
    </row>
    <row r="595" spans="1:16" ht="15.75" customHeight="1" outlineLevel="1">
      <c r="A595" s="28">
        <v>9</v>
      </c>
      <c r="B595" s="32">
        <v>45553</v>
      </c>
      <c r="C595" s="36" t="s">
        <v>334</v>
      </c>
      <c r="D595" s="43">
        <v>2</v>
      </c>
      <c r="E595" s="48" t="s">
        <v>26</v>
      </c>
      <c r="F595" s="48" t="s">
        <v>23</v>
      </c>
      <c r="G595" s="49">
        <v>0.05</v>
      </c>
      <c r="H595" s="10">
        <v>0.1</v>
      </c>
      <c r="I595" s="52">
        <v>0.5</v>
      </c>
      <c r="J595" s="10">
        <v>1</v>
      </c>
      <c r="K595" s="55" t="s">
        <v>346</v>
      </c>
      <c r="L595" s="57">
        <v>0.9</v>
      </c>
      <c r="M595" s="50">
        <v>0.9</v>
      </c>
      <c r="N595" s="61"/>
      <c r="O595" s="50"/>
      <c r="P595" s="52" t="s">
        <v>20</v>
      </c>
    </row>
    <row r="596" spans="1:16" ht="15.75" customHeight="1" outlineLevel="1">
      <c r="A596" s="28">
        <v>9</v>
      </c>
      <c r="B596" s="32">
        <v>45553</v>
      </c>
      <c r="C596" s="36" t="s">
        <v>323</v>
      </c>
      <c r="D596" s="43">
        <v>10</v>
      </c>
      <c r="E596" s="48" t="s">
        <v>26</v>
      </c>
      <c r="F596" s="48" t="s">
        <v>23</v>
      </c>
      <c r="G596" s="49">
        <v>7.0000000000000007E-2</v>
      </c>
      <c r="H596" s="10">
        <v>0.70000000000000007</v>
      </c>
      <c r="I596" s="52">
        <v>1</v>
      </c>
      <c r="J596" s="10">
        <v>10</v>
      </c>
      <c r="K596" s="55" t="s">
        <v>346</v>
      </c>
      <c r="L596" s="57">
        <v>0.93</v>
      </c>
      <c r="M596" s="50">
        <v>9.3000000000000007</v>
      </c>
      <c r="N596" s="61"/>
      <c r="O596" s="50"/>
      <c r="P596" s="52" t="s">
        <v>20</v>
      </c>
    </row>
    <row r="597" spans="1:16" ht="15.75" customHeight="1" outlineLevel="1">
      <c r="A597" s="28">
        <v>9</v>
      </c>
      <c r="B597" s="32">
        <v>45553</v>
      </c>
      <c r="C597" s="36" t="s">
        <v>334</v>
      </c>
      <c r="D597" s="43">
        <v>2</v>
      </c>
      <c r="E597" s="48" t="s">
        <v>26</v>
      </c>
      <c r="F597" s="48" t="s">
        <v>23</v>
      </c>
      <c r="G597" s="49">
        <v>0.05</v>
      </c>
      <c r="H597" s="10">
        <v>0.1</v>
      </c>
      <c r="I597" s="52">
        <v>0.5</v>
      </c>
      <c r="J597" s="10">
        <v>1</v>
      </c>
      <c r="K597" s="55" t="s">
        <v>346</v>
      </c>
      <c r="L597" s="57">
        <v>0.9</v>
      </c>
      <c r="M597" s="50">
        <v>0.9</v>
      </c>
      <c r="N597" s="61"/>
      <c r="O597" s="50"/>
      <c r="P597" s="52" t="s">
        <v>20</v>
      </c>
    </row>
    <row r="598" spans="1:16" ht="15.75" customHeight="1" outlineLevel="1">
      <c r="A598" s="28">
        <v>9</v>
      </c>
      <c r="B598" s="32">
        <v>45553</v>
      </c>
      <c r="C598" s="36" t="s">
        <v>419</v>
      </c>
      <c r="D598" s="43">
        <v>4</v>
      </c>
      <c r="E598" s="48" t="s">
        <v>239</v>
      </c>
      <c r="F598" s="48" t="s">
        <v>23</v>
      </c>
      <c r="G598" s="49">
        <v>0.24285714285714285</v>
      </c>
      <c r="H598" s="10">
        <v>0.97142857142857142</v>
      </c>
      <c r="I598" s="52">
        <v>0.5</v>
      </c>
      <c r="J598" s="10">
        <v>2</v>
      </c>
      <c r="K598" s="55" t="s">
        <v>346</v>
      </c>
      <c r="L598" s="57">
        <v>0.51428571428571423</v>
      </c>
      <c r="M598" s="50">
        <v>1.0285714285714285</v>
      </c>
      <c r="N598" s="61"/>
      <c r="O598" s="50"/>
      <c r="P598" s="52" t="s">
        <v>20</v>
      </c>
    </row>
    <row r="599" spans="1:16" ht="15.75" customHeight="1" outlineLevel="1">
      <c r="A599" s="28">
        <v>9</v>
      </c>
      <c r="B599" s="32">
        <v>45553</v>
      </c>
      <c r="C599" s="36" t="s">
        <v>334</v>
      </c>
      <c r="D599" s="43">
        <v>5</v>
      </c>
      <c r="E599" s="48" t="s">
        <v>26</v>
      </c>
      <c r="F599" s="48" t="s">
        <v>23</v>
      </c>
      <c r="G599" s="49">
        <v>0.05</v>
      </c>
      <c r="H599" s="10">
        <v>0.25</v>
      </c>
      <c r="I599" s="52">
        <v>0.5</v>
      </c>
      <c r="J599" s="10">
        <v>2.5</v>
      </c>
      <c r="K599" s="55" t="s">
        <v>346</v>
      </c>
      <c r="L599" s="57">
        <v>0.9</v>
      </c>
      <c r="M599" s="50">
        <v>2.25</v>
      </c>
      <c r="N599" s="61"/>
      <c r="O599" s="50"/>
      <c r="P599" s="52" t="s">
        <v>20</v>
      </c>
    </row>
    <row r="600" spans="1:16" ht="15.75" customHeight="1" outlineLevel="1">
      <c r="A600" s="28">
        <v>9</v>
      </c>
      <c r="B600" s="32">
        <v>45553</v>
      </c>
      <c r="C600" s="36" t="s">
        <v>334</v>
      </c>
      <c r="D600" s="43">
        <v>2</v>
      </c>
      <c r="E600" s="48" t="s">
        <v>26</v>
      </c>
      <c r="F600" s="48" t="s">
        <v>23</v>
      </c>
      <c r="G600" s="49">
        <v>0.05</v>
      </c>
      <c r="H600" s="10">
        <v>0.1</v>
      </c>
      <c r="I600" s="52">
        <v>0.5</v>
      </c>
      <c r="J600" s="10">
        <v>1</v>
      </c>
      <c r="K600" s="55" t="s">
        <v>346</v>
      </c>
      <c r="L600" s="57">
        <v>0.9</v>
      </c>
      <c r="M600" s="50">
        <v>0.9</v>
      </c>
      <c r="N600" s="61"/>
      <c r="O600" s="50"/>
      <c r="P600" s="52" t="s">
        <v>20</v>
      </c>
    </row>
    <row r="601" spans="1:16" ht="15.75" customHeight="1" outlineLevel="1">
      <c r="A601" s="28">
        <v>9</v>
      </c>
      <c r="B601" s="32">
        <v>45554</v>
      </c>
      <c r="C601" s="36" t="s">
        <v>419</v>
      </c>
      <c r="D601" s="43">
        <v>1</v>
      </c>
      <c r="E601" s="48" t="s">
        <v>342</v>
      </c>
      <c r="F601" s="48" t="s">
        <v>23</v>
      </c>
      <c r="G601" s="49">
        <v>0.24285714285714285</v>
      </c>
      <c r="H601" s="10">
        <v>0.24285714285714285</v>
      </c>
      <c r="I601" s="52">
        <v>0.5</v>
      </c>
      <c r="J601" s="10">
        <v>0.5</v>
      </c>
      <c r="K601" s="55" t="s">
        <v>346</v>
      </c>
      <c r="L601" s="57">
        <v>0.51428571428571423</v>
      </c>
      <c r="M601" s="50">
        <v>0.25714285714285712</v>
      </c>
      <c r="N601" s="61"/>
      <c r="O601" s="50"/>
      <c r="P601" s="52" t="s">
        <v>20</v>
      </c>
    </row>
    <row r="602" spans="1:16" ht="15.75" customHeight="1" outlineLevel="1">
      <c r="A602" s="28">
        <v>9</v>
      </c>
      <c r="B602" s="32">
        <v>45554</v>
      </c>
      <c r="C602" s="36" t="s">
        <v>217</v>
      </c>
      <c r="D602" s="43">
        <v>1</v>
      </c>
      <c r="E602" s="48" t="s">
        <v>26</v>
      </c>
      <c r="F602" s="48" t="s">
        <v>23</v>
      </c>
      <c r="G602" s="49">
        <v>15</v>
      </c>
      <c r="H602" s="10">
        <v>15</v>
      </c>
      <c r="I602" s="52">
        <v>30</v>
      </c>
      <c r="J602" s="10">
        <v>30</v>
      </c>
      <c r="K602" s="55" t="s">
        <v>346</v>
      </c>
      <c r="L602" s="57">
        <v>0.5</v>
      </c>
      <c r="M602" s="50">
        <v>15</v>
      </c>
      <c r="N602" s="61"/>
      <c r="O602" s="50"/>
      <c r="P602" s="52" t="s">
        <v>20</v>
      </c>
    </row>
    <row r="603" spans="1:16" ht="15.75" customHeight="1" outlineLevel="1">
      <c r="A603" s="28">
        <v>9</v>
      </c>
      <c r="B603" s="32">
        <v>45556</v>
      </c>
      <c r="C603" s="36" t="s">
        <v>437</v>
      </c>
      <c r="D603" s="43">
        <v>1</v>
      </c>
      <c r="E603" s="48" t="s">
        <v>26</v>
      </c>
      <c r="F603" s="48" t="s">
        <v>23</v>
      </c>
      <c r="G603" s="49">
        <v>14.84</v>
      </c>
      <c r="H603" s="10">
        <v>14.84</v>
      </c>
      <c r="I603" s="52">
        <v>60</v>
      </c>
      <c r="J603" s="10">
        <v>60</v>
      </c>
      <c r="K603" s="55" t="s">
        <v>346</v>
      </c>
      <c r="L603" s="57">
        <v>0.7526666666666666</v>
      </c>
      <c r="M603" s="50">
        <v>45.16</v>
      </c>
      <c r="N603" s="61"/>
      <c r="O603" s="50"/>
      <c r="P603" s="52" t="s">
        <v>20</v>
      </c>
    </row>
    <row r="604" spans="1:16" ht="15.75" customHeight="1" outlineLevel="1">
      <c r="A604" s="28">
        <v>9</v>
      </c>
      <c r="B604" s="32">
        <v>45556</v>
      </c>
      <c r="C604" s="36" t="s">
        <v>419</v>
      </c>
      <c r="D604" s="43">
        <v>1</v>
      </c>
      <c r="E604" s="48" t="s">
        <v>438</v>
      </c>
      <c r="F604" s="48" t="s">
        <v>23</v>
      </c>
      <c r="G604" s="49">
        <v>0.24285714285714285</v>
      </c>
      <c r="H604" s="10">
        <v>0.24285714285714285</v>
      </c>
      <c r="I604" s="52">
        <v>0.5</v>
      </c>
      <c r="J604" s="10">
        <v>0.5</v>
      </c>
      <c r="K604" s="55" t="s">
        <v>346</v>
      </c>
      <c r="L604" s="57">
        <v>0.51428571428571423</v>
      </c>
      <c r="M604" s="50">
        <v>0.25714285714285712</v>
      </c>
      <c r="N604" s="61"/>
      <c r="O604" s="50"/>
      <c r="P604" s="52" t="s">
        <v>20</v>
      </c>
    </row>
    <row r="605" spans="1:16" ht="15.75" customHeight="1" outlineLevel="1">
      <c r="A605" s="28">
        <v>9</v>
      </c>
      <c r="B605" s="32">
        <v>45558</v>
      </c>
      <c r="C605" s="36" t="s">
        <v>439</v>
      </c>
      <c r="D605" s="43">
        <v>1</v>
      </c>
      <c r="E605" s="48" t="s">
        <v>440</v>
      </c>
      <c r="F605" s="48" t="s">
        <v>23</v>
      </c>
      <c r="G605" s="49">
        <v>35.99</v>
      </c>
      <c r="H605" s="10">
        <v>35.99</v>
      </c>
      <c r="I605" s="52">
        <v>40</v>
      </c>
      <c r="J605" s="10">
        <v>40</v>
      </c>
      <c r="K605" s="55" t="s">
        <v>346</v>
      </c>
      <c r="L605" s="57">
        <v>0.10024999999999995</v>
      </c>
      <c r="M605" s="50">
        <v>4.009999999999998</v>
      </c>
      <c r="N605" s="61"/>
      <c r="O605" s="50"/>
      <c r="P605" s="52" t="s">
        <v>20</v>
      </c>
    </row>
    <row r="606" spans="1:16" ht="15.75" customHeight="1" outlineLevel="1">
      <c r="A606" s="28">
        <v>9</v>
      </c>
      <c r="B606" s="32">
        <v>45559</v>
      </c>
      <c r="C606" s="36" t="s">
        <v>367</v>
      </c>
      <c r="D606" s="43">
        <v>19</v>
      </c>
      <c r="E606" s="48" t="s">
        <v>26</v>
      </c>
      <c r="F606" s="48" t="s">
        <v>23</v>
      </c>
      <c r="G606" s="49">
        <v>0</v>
      </c>
      <c r="H606" s="10">
        <v>0</v>
      </c>
      <c r="I606" s="52">
        <v>0.5</v>
      </c>
      <c r="J606" s="10">
        <v>9.5</v>
      </c>
      <c r="K606" s="55" t="s">
        <v>346</v>
      </c>
      <c r="L606" s="57">
        <v>1</v>
      </c>
      <c r="M606" s="50">
        <v>9.5</v>
      </c>
      <c r="N606" s="61"/>
      <c r="O606" s="50"/>
      <c r="P606" s="52" t="s">
        <v>20</v>
      </c>
    </row>
    <row r="607" spans="1:16" ht="15.75" customHeight="1" outlineLevel="1">
      <c r="A607" s="28">
        <v>9</v>
      </c>
      <c r="B607" s="32">
        <v>45559</v>
      </c>
      <c r="C607" s="36" t="s">
        <v>441</v>
      </c>
      <c r="D607" s="43">
        <v>1</v>
      </c>
      <c r="E607" s="48" t="s">
        <v>26</v>
      </c>
      <c r="F607" s="48" t="s">
        <v>23</v>
      </c>
      <c r="G607" s="49">
        <v>0</v>
      </c>
      <c r="H607" s="10">
        <v>0</v>
      </c>
      <c r="I607" s="52">
        <v>15</v>
      </c>
      <c r="J607" s="10">
        <v>15</v>
      </c>
      <c r="K607" s="55" t="s">
        <v>346</v>
      </c>
      <c r="L607" s="57">
        <v>1</v>
      </c>
      <c r="M607" s="50">
        <v>15</v>
      </c>
      <c r="N607" s="61"/>
      <c r="O607" s="50"/>
      <c r="P607" s="52" t="s">
        <v>20</v>
      </c>
    </row>
    <row r="608" spans="1:16" ht="15.75" customHeight="1" outlineLevel="1">
      <c r="A608" s="28">
        <v>9</v>
      </c>
      <c r="B608" s="32">
        <v>45559</v>
      </c>
      <c r="C608" s="36" t="s">
        <v>362</v>
      </c>
      <c r="D608" s="43">
        <v>1</v>
      </c>
      <c r="E608" s="48" t="s">
        <v>26</v>
      </c>
      <c r="F608" s="48" t="s">
        <v>23</v>
      </c>
      <c r="G608" s="49">
        <v>18.8</v>
      </c>
      <c r="H608" s="10">
        <v>18.8</v>
      </c>
      <c r="I608" s="52">
        <v>30</v>
      </c>
      <c r="J608" s="10">
        <v>30</v>
      </c>
      <c r="K608" s="55" t="s">
        <v>346</v>
      </c>
      <c r="L608" s="57">
        <v>0.37333333333333329</v>
      </c>
      <c r="M608" s="50">
        <v>11.2</v>
      </c>
      <c r="N608" s="61"/>
      <c r="O608" s="50"/>
      <c r="P608" s="52" t="s">
        <v>20</v>
      </c>
    </row>
    <row r="609" spans="1:16" ht="15.75" customHeight="1" outlineLevel="1">
      <c r="A609" s="28">
        <v>9</v>
      </c>
      <c r="B609" s="32">
        <v>45560</v>
      </c>
      <c r="C609" s="36" t="s">
        <v>419</v>
      </c>
      <c r="D609" s="43">
        <v>2</v>
      </c>
      <c r="E609" s="48" t="s">
        <v>342</v>
      </c>
      <c r="F609" s="48" t="s">
        <v>23</v>
      </c>
      <c r="G609" s="49">
        <v>0.24285714285714285</v>
      </c>
      <c r="H609" s="10">
        <v>0.48571428571428571</v>
      </c>
      <c r="I609" s="52">
        <v>0.5</v>
      </c>
      <c r="J609" s="10">
        <v>1</v>
      </c>
      <c r="K609" s="55" t="s">
        <v>346</v>
      </c>
      <c r="L609" s="57">
        <v>0.51428571428571423</v>
      </c>
      <c r="M609" s="50">
        <v>0.51428571428571423</v>
      </c>
      <c r="N609" s="61"/>
      <c r="O609" s="50"/>
      <c r="P609" s="52" t="s">
        <v>20</v>
      </c>
    </row>
    <row r="610" spans="1:16" ht="15.75" customHeight="1" outlineLevel="1">
      <c r="A610" s="28">
        <v>9</v>
      </c>
      <c r="B610" s="32">
        <v>45561</v>
      </c>
      <c r="C610" s="36" t="s">
        <v>387</v>
      </c>
      <c r="D610" s="43">
        <v>1</v>
      </c>
      <c r="E610" s="48" t="s">
        <v>26</v>
      </c>
      <c r="F610" s="48" t="s">
        <v>23</v>
      </c>
      <c r="G610" s="49">
        <v>17</v>
      </c>
      <c r="H610" s="10">
        <v>17</v>
      </c>
      <c r="I610" s="52">
        <v>30</v>
      </c>
      <c r="J610" s="10">
        <v>30</v>
      </c>
      <c r="K610" s="55" t="s">
        <v>346</v>
      </c>
      <c r="L610" s="57">
        <v>0.43333333333333335</v>
      </c>
      <c r="M610" s="50">
        <v>13</v>
      </c>
      <c r="N610" s="61"/>
      <c r="O610" s="50"/>
      <c r="P610" s="52" t="s">
        <v>20</v>
      </c>
    </row>
    <row r="611" spans="1:16" ht="15.75" customHeight="1" outlineLevel="1">
      <c r="A611" s="28">
        <v>9</v>
      </c>
      <c r="B611" s="32">
        <v>45562</v>
      </c>
      <c r="C611" s="36" t="s">
        <v>442</v>
      </c>
      <c r="D611" s="43">
        <v>1</v>
      </c>
      <c r="E611" s="48" t="s">
        <v>26</v>
      </c>
      <c r="F611" s="48" t="s">
        <v>23</v>
      </c>
      <c r="G611" s="49">
        <v>4</v>
      </c>
      <c r="H611" s="10">
        <v>4</v>
      </c>
      <c r="I611" s="52">
        <v>10</v>
      </c>
      <c r="J611" s="10">
        <v>10</v>
      </c>
      <c r="K611" s="55" t="s">
        <v>346</v>
      </c>
      <c r="L611" s="57">
        <v>0.6</v>
      </c>
      <c r="M611" s="50">
        <v>6</v>
      </c>
      <c r="N611" s="61"/>
      <c r="O611" s="50"/>
      <c r="P611" s="52" t="s">
        <v>20</v>
      </c>
    </row>
    <row r="612" spans="1:16" ht="15.75" customHeight="1" outlineLevel="1">
      <c r="A612" s="28">
        <v>9</v>
      </c>
      <c r="B612" s="32">
        <v>45563</v>
      </c>
      <c r="C612" s="36" t="s">
        <v>334</v>
      </c>
      <c r="D612" s="43">
        <v>10</v>
      </c>
      <c r="E612" s="48" t="s">
        <v>26</v>
      </c>
      <c r="F612" s="48" t="s">
        <v>23</v>
      </c>
      <c r="G612" s="49">
        <v>0.05</v>
      </c>
      <c r="H612" s="10">
        <v>0.5</v>
      </c>
      <c r="I612" s="52">
        <v>0.5</v>
      </c>
      <c r="J612" s="10">
        <v>5</v>
      </c>
      <c r="K612" s="55" t="s">
        <v>346</v>
      </c>
      <c r="L612" s="57">
        <v>0.9</v>
      </c>
      <c r="M612" s="50">
        <v>4.5</v>
      </c>
      <c r="N612" s="61"/>
      <c r="O612" s="50"/>
      <c r="P612" s="52" t="s">
        <v>20</v>
      </c>
    </row>
    <row r="613" spans="1:16" ht="15.75" customHeight="1" outlineLevel="1">
      <c r="A613" s="28">
        <v>9</v>
      </c>
      <c r="B613" s="32">
        <v>45563</v>
      </c>
      <c r="C613" s="36" t="s">
        <v>441</v>
      </c>
      <c r="D613" s="43">
        <v>1</v>
      </c>
      <c r="E613" s="48" t="s">
        <v>438</v>
      </c>
      <c r="F613" s="48" t="s">
        <v>23</v>
      </c>
      <c r="G613" s="49">
        <v>0</v>
      </c>
      <c r="H613" s="10">
        <v>0</v>
      </c>
      <c r="I613" s="52">
        <v>15</v>
      </c>
      <c r="J613" s="10">
        <v>15</v>
      </c>
      <c r="K613" s="55" t="s">
        <v>346</v>
      </c>
      <c r="L613" s="57">
        <v>1</v>
      </c>
      <c r="M613" s="50">
        <v>15</v>
      </c>
      <c r="N613" s="61"/>
      <c r="O613" s="50"/>
      <c r="P613" s="52" t="s">
        <v>20</v>
      </c>
    </row>
    <row r="614" spans="1:16" ht="15.75" customHeight="1" outlineLevel="1">
      <c r="A614" s="28">
        <v>9</v>
      </c>
      <c r="B614" s="32">
        <v>45563</v>
      </c>
      <c r="C614" s="36" t="s">
        <v>443</v>
      </c>
      <c r="D614" s="43">
        <v>1</v>
      </c>
      <c r="E614" s="48" t="s">
        <v>444</v>
      </c>
      <c r="F614" s="48" t="s">
        <v>23</v>
      </c>
      <c r="G614" s="49">
        <v>100</v>
      </c>
      <c r="H614" s="10">
        <v>100</v>
      </c>
      <c r="I614" s="52">
        <v>184.82</v>
      </c>
      <c r="J614" s="10">
        <v>184.82</v>
      </c>
      <c r="K614" s="55" t="s">
        <v>346</v>
      </c>
      <c r="L614" s="57">
        <v>0.45893301590736929</v>
      </c>
      <c r="M614" s="50">
        <v>84.82</v>
      </c>
      <c r="N614" s="61"/>
      <c r="O614" s="50"/>
      <c r="P614" s="52" t="s">
        <v>20</v>
      </c>
    </row>
    <row r="615" spans="1:16" ht="15.75" customHeight="1" outlineLevel="1">
      <c r="A615" s="28">
        <v>9</v>
      </c>
      <c r="B615" s="32">
        <v>45563</v>
      </c>
      <c r="C615" s="36" t="s">
        <v>423</v>
      </c>
      <c r="D615" s="43">
        <v>1</v>
      </c>
      <c r="E615" s="48" t="s">
        <v>26</v>
      </c>
      <c r="F615" s="48" t="s">
        <v>23</v>
      </c>
      <c r="G615" s="49">
        <v>41</v>
      </c>
      <c r="H615" s="10">
        <v>41</v>
      </c>
      <c r="I615" s="52">
        <v>80</v>
      </c>
      <c r="J615" s="10">
        <v>80</v>
      </c>
      <c r="K615" s="55" t="s">
        <v>346</v>
      </c>
      <c r="L615" s="57">
        <v>0.48749999999999999</v>
      </c>
      <c r="M615" s="50">
        <v>39</v>
      </c>
      <c r="N615" s="61"/>
      <c r="O615" s="50"/>
      <c r="P615" s="52" t="s">
        <v>20</v>
      </c>
    </row>
    <row r="616" spans="1:16" ht="15.75" customHeight="1" outlineLevel="1">
      <c r="A616" s="28">
        <v>9</v>
      </c>
      <c r="B616" s="32">
        <v>45565</v>
      </c>
      <c r="C616" s="36" t="s">
        <v>356</v>
      </c>
      <c r="D616" s="43">
        <v>1</v>
      </c>
      <c r="E616" s="48" t="s">
        <v>400</v>
      </c>
      <c r="F616" s="48" t="s">
        <v>23</v>
      </c>
      <c r="G616" s="49">
        <v>35</v>
      </c>
      <c r="H616" s="10">
        <v>35</v>
      </c>
      <c r="I616" s="52">
        <v>70</v>
      </c>
      <c r="J616" s="10">
        <v>70</v>
      </c>
      <c r="K616" s="55" t="s">
        <v>346</v>
      </c>
      <c r="L616" s="57">
        <v>0.5</v>
      </c>
      <c r="M616" s="50">
        <v>35</v>
      </c>
      <c r="N616" s="61"/>
      <c r="O616" s="50"/>
      <c r="P616" s="52" t="s">
        <v>20</v>
      </c>
    </row>
    <row r="617" spans="1:16" ht="15.75" customHeight="1" outlineLevel="1">
      <c r="A617" s="28">
        <v>9</v>
      </c>
      <c r="B617" s="32">
        <v>45565</v>
      </c>
      <c r="C617" s="36" t="s">
        <v>334</v>
      </c>
      <c r="D617" s="43">
        <v>7</v>
      </c>
      <c r="E617" s="48" t="s">
        <v>445</v>
      </c>
      <c r="F617" s="48" t="s">
        <v>23</v>
      </c>
      <c r="G617" s="49">
        <v>0.05</v>
      </c>
      <c r="H617" s="10">
        <v>0.35000000000000003</v>
      </c>
      <c r="I617" s="52">
        <v>0.5</v>
      </c>
      <c r="J617" s="10">
        <v>3.5</v>
      </c>
      <c r="K617" s="55" t="s">
        <v>346</v>
      </c>
      <c r="L617" s="57">
        <v>0.9</v>
      </c>
      <c r="M617" s="50">
        <v>3.15</v>
      </c>
      <c r="N617" s="61"/>
      <c r="O617" s="50"/>
      <c r="P617" s="52" t="s">
        <v>20</v>
      </c>
    </row>
    <row r="618" spans="1:16" ht="15.75" customHeight="1" outlineLevel="1">
      <c r="A618" s="28">
        <v>9</v>
      </c>
      <c r="B618" s="32">
        <v>45565</v>
      </c>
      <c r="C618" s="36" t="s">
        <v>323</v>
      </c>
      <c r="D618" s="43">
        <v>2</v>
      </c>
      <c r="E618" s="48" t="s">
        <v>446</v>
      </c>
      <c r="F618" s="48" t="s">
        <v>23</v>
      </c>
      <c r="G618" s="49">
        <v>7.0000000000000007E-2</v>
      </c>
      <c r="H618" s="10">
        <v>0.14000000000000001</v>
      </c>
      <c r="I618" s="52">
        <v>1</v>
      </c>
      <c r="J618" s="10">
        <v>2</v>
      </c>
      <c r="K618" s="55" t="s">
        <v>346</v>
      </c>
      <c r="L618" s="57">
        <v>0.92999999999999994</v>
      </c>
      <c r="M618" s="50">
        <v>1.8599999999999999</v>
      </c>
      <c r="N618" s="61"/>
      <c r="O618" s="50"/>
      <c r="P618" s="52" t="s">
        <v>20</v>
      </c>
    </row>
    <row r="619" spans="1:16" ht="15.75" customHeight="1" outlineLevel="1">
      <c r="A619" s="28">
        <v>9</v>
      </c>
      <c r="B619" s="32">
        <v>45565</v>
      </c>
      <c r="C619" s="36" t="s">
        <v>447</v>
      </c>
      <c r="D619" s="43">
        <v>1</v>
      </c>
      <c r="E619" s="48" t="s">
        <v>445</v>
      </c>
      <c r="F619" s="48" t="s">
        <v>23</v>
      </c>
      <c r="G619" s="49" t="s">
        <v>79</v>
      </c>
      <c r="H619" s="10">
        <v>0</v>
      </c>
      <c r="I619" s="52">
        <v>0.5</v>
      </c>
      <c r="J619" s="10">
        <v>0.5</v>
      </c>
      <c r="K619" s="55" t="s">
        <v>346</v>
      </c>
      <c r="L619" s="57">
        <v>1</v>
      </c>
      <c r="M619" s="50">
        <v>0.5</v>
      </c>
      <c r="N619" s="61"/>
      <c r="O619" s="50"/>
      <c r="P619" s="52" t="s">
        <v>20</v>
      </c>
    </row>
    <row r="620" spans="1:16" ht="15.75" customHeight="1" outlineLevel="1">
      <c r="A620" s="28">
        <v>9</v>
      </c>
      <c r="B620" s="32">
        <v>45565</v>
      </c>
      <c r="C620" s="36" t="s">
        <v>334</v>
      </c>
      <c r="D620" s="43">
        <v>4</v>
      </c>
      <c r="E620" s="48" t="s">
        <v>26</v>
      </c>
      <c r="F620" s="48" t="s">
        <v>23</v>
      </c>
      <c r="G620" s="49">
        <v>0.05</v>
      </c>
      <c r="H620" s="10">
        <v>0.2</v>
      </c>
      <c r="I620" s="52">
        <v>0.5</v>
      </c>
      <c r="J620" s="10">
        <v>2</v>
      </c>
      <c r="K620" s="55" t="s">
        <v>346</v>
      </c>
      <c r="L620" s="57">
        <v>0.9</v>
      </c>
      <c r="M620" s="50">
        <v>1.8</v>
      </c>
      <c r="N620" s="61"/>
      <c r="O620" s="50"/>
      <c r="P620" s="52" t="s">
        <v>20</v>
      </c>
    </row>
    <row r="621" spans="1:16" ht="15.75" customHeight="1">
      <c r="A621" s="28">
        <v>10</v>
      </c>
      <c r="B621" s="32">
        <v>45567</v>
      </c>
      <c r="C621" s="36" t="s">
        <v>448</v>
      </c>
      <c r="D621" s="43">
        <v>1</v>
      </c>
      <c r="E621" s="48" t="s">
        <v>43</v>
      </c>
      <c r="F621" s="48" t="s">
        <v>23</v>
      </c>
      <c r="G621" s="49">
        <v>8.99</v>
      </c>
      <c r="H621" s="10">
        <v>8.99</v>
      </c>
      <c r="I621" s="52">
        <v>15</v>
      </c>
      <c r="J621" s="10">
        <v>15</v>
      </c>
      <c r="K621" s="55" t="s">
        <v>346</v>
      </c>
      <c r="L621" s="57">
        <v>0.40066666666666667</v>
      </c>
      <c r="M621" s="50">
        <v>6.01</v>
      </c>
      <c r="N621" s="64"/>
      <c r="O621" s="50"/>
      <c r="P621" s="52" t="s">
        <v>20</v>
      </c>
    </row>
    <row r="622" spans="1:16" ht="15.75" customHeight="1" outlineLevel="1">
      <c r="A622" s="28">
        <v>10</v>
      </c>
      <c r="B622" s="32">
        <v>45567</v>
      </c>
      <c r="C622" s="36" t="s">
        <v>419</v>
      </c>
      <c r="D622" s="43">
        <v>1</v>
      </c>
      <c r="E622" s="48" t="s">
        <v>438</v>
      </c>
      <c r="F622" s="48" t="s">
        <v>23</v>
      </c>
      <c r="G622" s="49">
        <v>0.24285714285714285</v>
      </c>
      <c r="H622" s="10">
        <v>0.24285714285714285</v>
      </c>
      <c r="I622" s="52">
        <v>0.5</v>
      </c>
      <c r="J622" s="10">
        <v>0.5</v>
      </c>
      <c r="K622" s="55" t="s">
        <v>346</v>
      </c>
      <c r="L622" s="57">
        <v>0.51428571428571423</v>
      </c>
      <c r="M622" s="50">
        <v>0.25714285714285712</v>
      </c>
      <c r="N622" s="61"/>
      <c r="O622" s="50"/>
      <c r="P622" s="52" t="s">
        <v>20</v>
      </c>
    </row>
    <row r="623" spans="1:16" ht="15.75" customHeight="1" outlineLevel="1">
      <c r="A623" s="28">
        <v>10</v>
      </c>
      <c r="B623" s="32">
        <v>45567</v>
      </c>
      <c r="C623" s="36" t="s">
        <v>274</v>
      </c>
      <c r="D623" s="43">
        <v>1</v>
      </c>
      <c r="E623" s="48" t="s">
        <v>438</v>
      </c>
      <c r="F623" s="48" t="s">
        <v>23</v>
      </c>
      <c r="G623" s="49">
        <v>0</v>
      </c>
      <c r="H623" s="10">
        <v>0</v>
      </c>
      <c r="I623" s="52">
        <v>25</v>
      </c>
      <c r="J623" s="10">
        <v>25</v>
      </c>
      <c r="K623" s="55" t="s">
        <v>346</v>
      </c>
      <c r="L623" s="57">
        <v>1</v>
      </c>
      <c r="M623" s="50">
        <v>25</v>
      </c>
      <c r="N623" s="61"/>
      <c r="O623" s="50"/>
      <c r="P623" s="52" t="s">
        <v>20</v>
      </c>
    </row>
    <row r="624" spans="1:16" ht="15.75" customHeight="1" outlineLevel="1">
      <c r="A624" s="28">
        <v>10</v>
      </c>
      <c r="B624" s="32">
        <v>45567</v>
      </c>
      <c r="C624" s="36" t="s">
        <v>449</v>
      </c>
      <c r="D624" s="43">
        <v>1</v>
      </c>
      <c r="E624" s="48" t="s">
        <v>438</v>
      </c>
      <c r="F624" s="48" t="s">
        <v>23</v>
      </c>
      <c r="G624" s="49">
        <v>1</v>
      </c>
      <c r="H624" s="10">
        <v>1</v>
      </c>
      <c r="I624" s="52">
        <v>5</v>
      </c>
      <c r="J624" s="10">
        <v>5</v>
      </c>
      <c r="K624" s="55" t="s">
        <v>346</v>
      </c>
      <c r="L624" s="57">
        <v>0.8</v>
      </c>
      <c r="M624" s="50">
        <v>4</v>
      </c>
      <c r="N624" s="61"/>
      <c r="O624" s="50"/>
      <c r="P624" s="52" t="s">
        <v>20</v>
      </c>
    </row>
    <row r="625" spans="1:16" ht="15.75" customHeight="1" outlineLevel="1">
      <c r="A625" s="28">
        <v>10</v>
      </c>
      <c r="B625" s="32">
        <v>45567</v>
      </c>
      <c r="C625" s="36" t="s">
        <v>419</v>
      </c>
      <c r="D625" s="43">
        <v>1</v>
      </c>
      <c r="E625" s="48" t="s">
        <v>342</v>
      </c>
      <c r="F625" s="48" t="s">
        <v>23</v>
      </c>
      <c r="G625" s="49">
        <v>0.24285714285714285</v>
      </c>
      <c r="H625" s="10">
        <v>0.24285714285714285</v>
      </c>
      <c r="I625" s="52">
        <v>0.5</v>
      </c>
      <c r="J625" s="10">
        <v>0.5</v>
      </c>
      <c r="K625" s="55" t="s">
        <v>346</v>
      </c>
      <c r="L625" s="57">
        <v>0.51428571428571423</v>
      </c>
      <c r="M625" s="50">
        <v>0.25714285714285712</v>
      </c>
      <c r="N625" s="61"/>
      <c r="O625" s="50"/>
      <c r="P625" s="52" t="s">
        <v>20</v>
      </c>
    </row>
    <row r="626" spans="1:16" ht="15.75" customHeight="1" outlineLevel="1">
      <c r="A626" s="28">
        <v>10</v>
      </c>
      <c r="B626" s="32">
        <v>45568</v>
      </c>
      <c r="C626" s="39" t="s">
        <v>130</v>
      </c>
      <c r="D626" s="43">
        <v>1</v>
      </c>
      <c r="E626" s="48" t="s">
        <v>26</v>
      </c>
      <c r="F626" s="48" t="s">
        <v>23</v>
      </c>
      <c r="G626" s="49">
        <v>0.05</v>
      </c>
      <c r="H626" s="10">
        <v>0.05</v>
      </c>
      <c r="I626" s="52">
        <v>0.5</v>
      </c>
      <c r="J626" s="10">
        <v>0.5</v>
      </c>
      <c r="K626" s="55" t="s">
        <v>346</v>
      </c>
      <c r="L626" s="57">
        <v>0.9</v>
      </c>
      <c r="M626" s="50">
        <v>0.45</v>
      </c>
      <c r="N626" s="61"/>
      <c r="O626" s="50"/>
      <c r="P626" s="52" t="s">
        <v>20</v>
      </c>
    </row>
    <row r="627" spans="1:16" ht="15.75" customHeight="1" outlineLevel="1">
      <c r="A627" s="28">
        <v>10</v>
      </c>
      <c r="B627" s="32">
        <v>45568</v>
      </c>
      <c r="C627" s="36" t="s">
        <v>441</v>
      </c>
      <c r="D627" s="43">
        <v>1</v>
      </c>
      <c r="E627" s="48" t="s">
        <v>26</v>
      </c>
      <c r="F627" s="48" t="s">
        <v>23</v>
      </c>
      <c r="G627" s="49">
        <v>0</v>
      </c>
      <c r="H627" s="10">
        <v>0</v>
      </c>
      <c r="I627" s="52">
        <v>15</v>
      </c>
      <c r="J627" s="10">
        <v>15</v>
      </c>
      <c r="K627" s="55" t="s">
        <v>346</v>
      </c>
      <c r="L627" s="57">
        <v>1</v>
      </c>
      <c r="M627" s="50">
        <v>15</v>
      </c>
      <c r="N627" s="61"/>
      <c r="O627" s="50"/>
      <c r="P627" s="52" t="s">
        <v>20</v>
      </c>
    </row>
    <row r="628" spans="1:16" ht="15.75" customHeight="1" outlineLevel="1">
      <c r="A628" s="28">
        <v>10</v>
      </c>
      <c r="B628" s="32">
        <v>45568</v>
      </c>
      <c r="C628" s="36" t="s">
        <v>274</v>
      </c>
      <c r="D628" s="43">
        <v>1</v>
      </c>
      <c r="E628" s="48" t="s">
        <v>26</v>
      </c>
      <c r="F628" s="48" t="s">
        <v>23</v>
      </c>
      <c r="G628" s="49">
        <v>0</v>
      </c>
      <c r="H628" s="10">
        <v>0</v>
      </c>
      <c r="I628" s="52">
        <v>5</v>
      </c>
      <c r="J628" s="10">
        <v>5</v>
      </c>
      <c r="K628" s="55" t="s">
        <v>346</v>
      </c>
      <c r="L628" s="57">
        <v>1</v>
      </c>
      <c r="M628" s="50">
        <v>5</v>
      </c>
      <c r="N628" s="61"/>
      <c r="O628" s="50"/>
      <c r="P628" s="52" t="s">
        <v>20</v>
      </c>
    </row>
    <row r="629" spans="1:16" ht="15.75" customHeight="1" outlineLevel="1">
      <c r="A629" s="28">
        <v>10</v>
      </c>
      <c r="B629" s="32">
        <v>45568</v>
      </c>
      <c r="C629" s="36" t="s">
        <v>323</v>
      </c>
      <c r="D629" s="43">
        <v>10</v>
      </c>
      <c r="E629" s="48" t="s">
        <v>26</v>
      </c>
      <c r="F629" s="48" t="s">
        <v>23</v>
      </c>
      <c r="G629" s="49">
        <v>7.0000000000000007E-2</v>
      </c>
      <c r="H629" s="10">
        <v>0.70000000000000007</v>
      </c>
      <c r="I629" s="52">
        <v>1</v>
      </c>
      <c r="J629" s="10">
        <v>10</v>
      </c>
      <c r="K629" s="55" t="s">
        <v>346</v>
      </c>
      <c r="L629" s="57">
        <v>0.93</v>
      </c>
      <c r="M629" s="50">
        <v>9.3000000000000007</v>
      </c>
      <c r="N629" s="61"/>
      <c r="O629" s="50"/>
      <c r="P629" s="52" t="s">
        <v>20</v>
      </c>
    </row>
    <row r="630" spans="1:16" ht="15.75" customHeight="1" outlineLevel="1">
      <c r="A630" s="28">
        <v>10</v>
      </c>
      <c r="B630" s="32">
        <v>45570</v>
      </c>
      <c r="C630" s="36" t="s">
        <v>323</v>
      </c>
      <c r="D630" s="43">
        <v>1</v>
      </c>
      <c r="E630" s="48" t="s">
        <v>58</v>
      </c>
      <c r="F630" s="48" t="s">
        <v>23</v>
      </c>
      <c r="G630" s="49">
        <v>7.0000000000000007E-2</v>
      </c>
      <c r="H630" s="10">
        <v>7.0000000000000007E-2</v>
      </c>
      <c r="I630" s="52">
        <v>1</v>
      </c>
      <c r="J630" s="10">
        <v>1</v>
      </c>
      <c r="K630" s="55" t="s">
        <v>346</v>
      </c>
      <c r="L630" s="57">
        <v>0.92999999999999994</v>
      </c>
      <c r="M630" s="50">
        <v>0.92999999999999994</v>
      </c>
      <c r="N630" s="61"/>
      <c r="O630" s="50"/>
      <c r="P630" s="52" t="s">
        <v>20</v>
      </c>
    </row>
    <row r="631" spans="1:16" ht="15.75" customHeight="1" outlineLevel="1">
      <c r="A631" s="28">
        <v>10</v>
      </c>
      <c r="B631" s="32">
        <v>45570</v>
      </c>
      <c r="C631" s="36" t="s">
        <v>283</v>
      </c>
      <c r="D631" s="43">
        <v>1</v>
      </c>
      <c r="E631" s="48" t="s">
        <v>409</v>
      </c>
      <c r="F631" s="48" t="s">
        <v>23</v>
      </c>
      <c r="G631" s="49">
        <v>18</v>
      </c>
      <c r="H631" s="10">
        <v>18</v>
      </c>
      <c r="I631" s="52">
        <v>20</v>
      </c>
      <c r="J631" s="10">
        <v>20</v>
      </c>
      <c r="K631" s="55" t="s">
        <v>346</v>
      </c>
      <c r="L631" s="57">
        <v>0.1</v>
      </c>
      <c r="M631" s="50">
        <v>2</v>
      </c>
      <c r="N631" s="61"/>
      <c r="O631" s="50"/>
      <c r="P631" s="52" t="s">
        <v>20</v>
      </c>
    </row>
    <row r="632" spans="1:16" ht="15.75" customHeight="1" outlineLevel="1">
      <c r="A632" s="28">
        <v>10</v>
      </c>
      <c r="B632" s="32">
        <v>45570</v>
      </c>
      <c r="C632" s="36" t="s">
        <v>419</v>
      </c>
      <c r="D632" s="43">
        <v>1</v>
      </c>
      <c r="E632" s="48" t="s">
        <v>26</v>
      </c>
      <c r="F632" s="48" t="s">
        <v>23</v>
      </c>
      <c r="G632" s="49">
        <v>0.24285714285714285</v>
      </c>
      <c r="H632" s="10">
        <v>0.24285714285714285</v>
      </c>
      <c r="I632" s="52">
        <v>0.5</v>
      </c>
      <c r="J632" s="10">
        <v>0.5</v>
      </c>
      <c r="K632" s="55" t="s">
        <v>346</v>
      </c>
      <c r="L632" s="57">
        <v>0.51428571428571423</v>
      </c>
      <c r="M632" s="50">
        <v>0.25714285714285712</v>
      </c>
      <c r="N632" s="61"/>
      <c r="O632" s="50"/>
      <c r="P632" s="52" t="s">
        <v>20</v>
      </c>
    </row>
    <row r="633" spans="1:16" ht="15.75" customHeight="1" outlineLevel="1">
      <c r="A633" s="28">
        <v>10</v>
      </c>
      <c r="B633" s="32">
        <v>45570</v>
      </c>
      <c r="C633" s="36" t="s">
        <v>450</v>
      </c>
      <c r="D633" s="43">
        <v>1</v>
      </c>
      <c r="E633" s="48" t="s">
        <v>26</v>
      </c>
      <c r="F633" s="48" t="s">
        <v>23</v>
      </c>
      <c r="G633" s="49">
        <v>12</v>
      </c>
      <c r="H633" s="10">
        <v>12</v>
      </c>
      <c r="I633" s="52">
        <v>25</v>
      </c>
      <c r="J633" s="10">
        <v>25</v>
      </c>
      <c r="K633" s="55" t="s">
        <v>346</v>
      </c>
      <c r="L633" s="57">
        <v>0.52</v>
      </c>
      <c r="M633" s="50">
        <v>13</v>
      </c>
      <c r="N633" s="61"/>
      <c r="O633" s="50"/>
      <c r="P633" s="52" t="s">
        <v>20</v>
      </c>
    </row>
    <row r="634" spans="1:16" ht="15.75" customHeight="1" outlineLevel="1">
      <c r="A634" s="28">
        <v>10</v>
      </c>
      <c r="B634" s="32">
        <v>45570</v>
      </c>
      <c r="C634" s="36" t="s">
        <v>451</v>
      </c>
      <c r="D634" s="43">
        <v>1</v>
      </c>
      <c r="E634" s="48" t="s">
        <v>26</v>
      </c>
      <c r="F634" s="48" t="s">
        <v>23</v>
      </c>
      <c r="G634" s="49">
        <v>26.11</v>
      </c>
      <c r="H634" s="10">
        <v>26.11</v>
      </c>
      <c r="I634" s="52">
        <v>150</v>
      </c>
      <c r="J634" s="10">
        <v>150</v>
      </c>
      <c r="K634" s="55" t="s">
        <v>346</v>
      </c>
      <c r="L634" s="57">
        <v>0.8259333333333333</v>
      </c>
      <c r="M634" s="50">
        <v>123.89</v>
      </c>
      <c r="N634" s="61"/>
      <c r="O634" s="50"/>
      <c r="P634" s="52" t="s">
        <v>20</v>
      </c>
    </row>
    <row r="635" spans="1:16" ht="15.75" customHeight="1" outlineLevel="1">
      <c r="A635" s="28">
        <v>10</v>
      </c>
      <c r="B635" s="32">
        <v>45570</v>
      </c>
      <c r="C635" s="36" t="s">
        <v>274</v>
      </c>
      <c r="D635" s="43">
        <v>1</v>
      </c>
      <c r="E635" s="48" t="s">
        <v>26</v>
      </c>
      <c r="F635" s="48" t="s">
        <v>23</v>
      </c>
      <c r="G635" s="49">
        <v>0</v>
      </c>
      <c r="H635" s="10">
        <v>0</v>
      </c>
      <c r="I635" s="52">
        <v>10</v>
      </c>
      <c r="J635" s="10">
        <v>10</v>
      </c>
      <c r="K635" s="55" t="s">
        <v>346</v>
      </c>
      <c r="L635" s="57">
        <v>1</v>
      </c>
      <c r="M635" s="50">
        <v>10</v>
      </c>
      <c r="N635" s="61"/>
      <c r="O635" s="50"/>
      <c r="P635" s="52" t="s">
        <v>20</v>
      </c>
    </row>
    <row r="636" spans="1:16" ht="15.75" customHeight="1" outlineLevel="1">
      <c r="A636" s="28">
        <v>10</v>
      </c>
      <c r="B636" s="32">
        <v>45570</v>
      </c>
      <c r="C636" s="36" t="s">
        <v>396</v>
      </c>
      <c r="D636" s="43">
        <v>1</v>
      </c>
      <c r="E636" s="48" t="s">
        <v>452</v>
      </c>
      <c r="F636" s="48" t="s">
        <v>23</v>
      </c>
      <c r="G636" s="49">
        <v>0</v>
      </c>
      <c r="H636" s="10">
        <v>0</v>
      </c>
      <c r="I636" s="52">
        <v>150</v>
      </c>
      <c r="J636" s="10">
        <v>150</v>
      </c>
      <c r="K636" s="55" t="s">
        <v>346</v>
      </c>
      <c r="L636" s="57">
        <v>1</v>
      </c>
      <c r="M636" s="50">
        <v>150</v>
      </c>
      <c r="N636" s="61"/>
      <c r="O636" s="50"/>
      <c r="P636" s="52" t="s">
        <v>20</v>
      </c>
    </row>
    <row r="637" spans="1:16" ht="15.75" customHeight="1" outlineLevel="1">
      <c r="A637" s="28">
        <v>10</v>
      </c>
      <c r="B637" s="32">
        <v>45570</v>
      </c>
      <c r="C637" s="36" t="s">
        <v>453</v>
      </c>
      <c r="D637" s="43">
        <v>2</v>
      </c>
      <c r="E637" s="48" t="s">
        <v>26</v>
      </c>
      <c r="F637" s="48" t="s">
        <v>23</v>
      </c>
      <c r="G637" s="49">
        <v>0.2</v>
      </c>
      <c r="H637" s="10">
        <v>0.4</v>
      </c>
      <c r="I637" s="52">
        <v>0.5</v>
      </c>
      <c r="J637" s="10">
        <v>1</v>
      </c>
      <c r="K637" s="55" t="s">
        <v>346</v>
      </c>
      <c r="L637" s="57">
        <v>0.6</v>
      </c>
      <c r="M637" s="50">
        <v>0.6</v>
      </c>
      <c r="N637" s="61"/>
      <c r="O637" s="50"/>
      <c r="P637" s="52" t="s">
        <v>20</v>
      </c>
    </row>
    <row r="638" spans="1:16" ht="15.75" customHeight="1" outlineLevel="1">
      <c r="A638" s="28">
        <v>10</v>
      </c>
      <c r="B638" s="32">
        <v>45572</v>
      </c>
      <c r="C638" s="36" t="s">
        <v>454</v>
      </c>
      <c r="D638" s="43">
        <v>1</v>
      </c>
      <c r="E638" s="48" t="s">
        <v>26</v>
      </c>
      <c r="F638" s="48" t="s">
        <v>23</v>
      </c>
      <c r="G638" s="49">
        <v>9</v>
      </c>
      <c r="H638" s="10">
        <v>9</v>
      </c>
      <c r="I638" s="52">
        <v>30</v>
      </c>
      <c r="J638" s="10">
        <v>30</v>
      </c>
      <c r="K638" s="55" t="s">
        <v>346</v>
      </c>
      <c r="L638" s="57">
        <v>0.7</v>
      </c>
      <c r="M638" s="50">
        <v>21</v>
      </c>
      <c r="N638" s="61"/>
      <c r="O638" s="50"/>
      <c r="P638" s="52" t="s">
        <v>20</v>
      </c>
    </row>
    <row r="639" spans="1:16" ht="15.75" customHeight="1" outlineLevel="1">
      <c r="A639" s="28">
        <v>10</v>
      </c>
      <c r="B639" s="32">
        <v>45572</v>
      </c>
      <c r="C639" s="36" t="s">
        <v>401</v>
      </c>
      <c r="D639" s="43">
        <v>1</v>
      </c>
      <c r="E639" s="48" t="s">
        <v>26</v>
      </c>
      <c r="F639" s="48" t="s">
        <v>23</v>
      </c>
      <c r="G639" s="49">
        <v>10</v>
      </c>
      <c r="H639" s="10">
        <v>10</v>
      </c>
      <c r="I639" s="52">
        <v>20</v>
      </c>
      <c r="J639" s="10">
        <v>20</v>
      </c>
      <c r="K639" s="55" t="s">
        <v>346</v>
      </c>
      <c r="L639" s="57">
        <v>0.5</v>
      </c>
      <c r="M639" s="50">
        <v>10</v>
      </c>
      <c r="N639" s="61"/>
      <c r="O639" s="50"/>
      <c r="P639" s="52" t="s">
        <v>20</v>
      </c>
    </row>
    <row r="640" spans="1:16" ht="15.75" customHeight="1" outlineLevel="1">
      <c r="A640" s="28">
        <v>10</v>
      </c>
      <c r="B640" s="32">
        <v>45572</v>
      </c>
      <c r="C640" s="36" t="s">
        <v>323</v>
      </c>
      <c r="D640" s="43">
        <v>2</v>
      </c>
      <c r="E640" s="48" t="s">
        <v>455</v>
      </c>
      <c r="F640" s="48" t="s">
        <v>23</v>
      </c>
      <c r="G640" s="49">
        <v>7.0000000000000007E-2</v>
      </c>
      <c r="H640" s="10">
        <v>0.14000000000000001</v>
      </c>
      <c r="I640" s="52">
        <v>1</v>
      </c>
      <c r="J640" s="10">
        <v>2</v>
      </c>
      <c r="K640" s="55" t="s">
        <v>346</v>
      </c>
      <c r="L640" s="57">
        <v>0.92999999999999994</v>
      </c>
      <c r="M640" s="50">
        <v>1.8599999999999999</v>
      </c>
      <c r="N640" s="61"/>
      <c r="O640" s="50"/>
      <c r="P640" s="52" t="s">
        <v>20</v>
      </c>
    </row>
    <row r="641" spans="1:16" ht="15.75" customHeight="1" outlineLevel="1">
      <c r="A641" s="28">
        <v>10</v>
      </c>
      <c r="B641" s="32">
        <v>45572</v>
      </c>
      <c r="C641" s="36" t="s">
        <v>323</v>
      </c>
      <c r="D641" s="43">
        <v>15</v>
      </c>
      <c r="E641" s="48" t="s">
        <v>455</v>
      </c>
      <c r="F641" s="48" t="s">
        <v>23</v>
      </c>
      <c r="G641" s="49">
        <v>7.0000000000000007E-2</v>
      </c>
      <c r="H641" s="10">
        <v>1.05</v>
      </c>
      <c r="I641" s="52">
        <v>1</v>
      </c>
      <c r="J641" s="10">
        <v>15</v>
      </c>
      <c r="K641" s="55" t="s">
        <v>346</v>
      </c>
      <c r="L641" s="57">
        <v>0.92999999999999994</v>
      </c>
      <c r="M641" s="50">
        <v>13.95</v>
      </c>
      <c r="N641" s="61"/>
      <c r="O641" s="50"/>
      <c r="P641" s="52" t="s">
        <v>20</v>
      </c>
    </row>
    <row r="642" spans="1:16" ht="15.75" customHeight="1" outlineLevel="1">
      <c r="A642" s="28">
        <v>10</v>
      </c>
      <c r="B642" s="32">
        <v>45573</v>
      </c>
      <c r="C642" s="36" t="s">
        <v>343</v>
      </c>
      <c r="D642" s="43">
        <v>1</v>
      </c>
      <c r="E642" s="48" t="s">
        <v>455</v>
      </c>
      <c r="F642" s="48" t="s">
        <v>322</v>
      </c>
      <c r="G642" s="49">
        <v>3</v>
      </c>
      <c r="H642" s="10">
        <v>3</v>
      </c>
      <c r="I642" s="52">
        <v>15</v>
      </c>
      <c r="J642" s="10">
        <v>15</v>
      </c>
      <c r="K642" s="55" t="s">
        <v>346</v>
      </c>
      <c r="L642" s="57">
        <v>0.8</v>
      </c>
      <c r="M642" s="50">
        <v>12</v>
      </c>
      <c r="N642" s="61"/>
      <c r="O642" s="50"/>
      <c r="P642" s="52" t="s">
        <v>20</v>
      </c>
    </row>
    <row r="643" spans="1:16" ht="15.75" customHeight="1" outlineLevel="1">
      <c r="A643" s="28">
        <v>10</v>
      </c>
      <c r="B643" s="32">
        <v>45573</v>
      </c>
      <c r="C643" s="36" t="s">
        <v>456</v>
      </c>
      <c r="D643" s="43">
        <v>1</v>
      </c>
      <c r="E643" s="48" t="s">
        <v>26</v>
      </c>
      <c r="F643" s="48" t="s">
        <v>457</v>
      </c>
      <c r="G643" s="49">
        <v>0</v>
      </c>
      <c r="H643" s="10">
        <v>0</v>
      </c>
      <c r="I643" s="52">
        <v>277</v>
      </c>
      <c r="J643" s="10">
        <v>277</v>
      </c>
      <c r="K643" s="55" t="s">
        <v>346</v>
      </c>
      <c r="L643" s="57">
        <v>1</v>
      </c>
      <c r="M643" s="50">
        <v>277</v>
      </c>
      <c r="N643" s="61"/>
      <c r="O643" s="50"/>
      <c r="P643" s="52" t="s">
        <v>20</v>
      </c>
    </row>
    <row r="644" spans="1:16" ht="15.75" customHeight="1" outlineLevel="1">
      <c r="A644" s="28">
        <v>10</v>
      </c>
      <c r="B644" s="32">
        <v>45573</v>
      </c>
      <c r="C644" s="36" t="s">
        <v>279</v>
      </c>
      <c r="D644" s="43">
        <v>1</v>
      </c>
      <c r="E644" s="48" t="s">
        <v>455</v>
      </c>
      <c r="F644" s="48" t="s">
        <v>322</v>
      </c>
      <c r="G644" s="49">
        <v>0</v>
      </c>
      <c r="H644" s="10">
        <v>0</v>
      </c>
      <c r="I644" s="52">
        <v>93</v>
      </c>
      <c r="J644" s="10">
        <v>93</v>
      </c>
      <c r="K644" s="55" t="s">
        <v>346</v>
      </c>
      <c r="L644" s="57">
        <v>1</v>
      </c>
      <c r="M644" s="50">
        <v>93</v>
      </c>
      <c r="N644" s="61"/>
      <c r="O644" s="50"/>
      <c r="P644" s="52" t="s">
        <v>20</v>
      </c>
    </row>
    <row r="645" spans="1:16" ht="15.75" customHeight="1" outlineLevel="1">
      <c r="A645" s="28">
        <v>10</v>
      </c>
      <c r="B645" s="32">
        <v>45574</v>
      </c>
      <c r="C645" s="36" t="s">
        <v>434</v>
      </c>
      <c r="D645" s="43">
        <v>1</v>
      </c>
      <c r="E645" s="48" t="s">
        <v>26</v>
      </c>
      <c r="F645" s="48" t="s">
        <v>23</v>
      </c>
      <c r="G645" s="49">
        <v>13</v>
      </c>
      <c r="H645" s="10">
        <v>13</v>
      </c>
      <c r="I645" s="52">
        <v>20</v>
      </c>
      <c r="J645" s="10">
        <v>20</v>
      </c>
      <c r="K645" s="55" t="s">
        <v>346</v>
      </c>
      <c r="L645" s="57">
        <v>0.35</v>
      </c>
      <c r="M645" s="50">
        <v>7</v>
      </c>
      <c r="N645" s="61"/>
      <c r="O645" s="50"/>
      <c r="P645" s="52" t="s">
        <v>20</v>
      </c>
    </row>
    <row r="646" spans="1:16" ht="15.75" customHeight="1" outlineLevel="1">
      <c r="A646" s="28">
        <v>10</v>
      </c>
      <c r="B646" s="32">
        <v>45574</v>
      </c>
      <c r="C646" s="36" t="s">
        <v>458</v>
      </c>
      <c r="D646" s="43">
        <v>1</v>
      </c>
      <c r="E646" s="48" t="s">
        <v>26</v>
      </c>
      <c r="F646" s="48" t="s">
        <v>23</v>
      </c>
      <c r="G646" s="49">
        <v>0.5</v>
      </c>
      <c r="H646" s="10">
        <v>0.5</v>
      </c>
      <c r="I646" s="52">
        <v>2</v>
      </c>
      <c r="J646" s="10">
        <v>2</v>
      </c>
      <c r="K646" s="55" t="s">
        <v>346</v>
      </c>
      <c r="L646" s="57">
        <v>0.75</v>
      </c>
      <c r="M646" s="50">
        <v>1.5</v>
      </c>
      <c r="N646" s="61"/>
      <c r="O646" s="50"/>
      <c r="P646" s="52" t="s">
        <v>20</v>
      </c>
    </row>
    <row r="647" spans="1:16" ht="15.75" customHeight="1" outlineLevel="1">
      <c r="A647" s="28">
        <v>10</v>
      </c>
      <c r="B647" s="32">
        <v>45574</v>
      </c>
      <c r="C647" s="36" t="s">
        <v>323</v>
      </c>
      <c r="D647" s="43">
        <v>2</v>
      </c>
      <c r="E647" s="48" t="s">
        <v>147</v>
      </c>
      <c r="F647" s="48" t="s">
        <v>23</v>
      </c>
      <c r="G647" s="49">
        <v>7.0000000000000007E-2</v>
      </c>
      <c r="H647" s="10">
        <v>0.14000000000000001</v>
      </c>
      <c r="I647" s="52">
        <v>1</v>
      </c>
      <c r="J647" s="10">
        <v>2</v>
      </c>
      <c r="K647" s="55" t="s">
        <v>346</v>
      </c>
      <c r="L647" s="57">
        <v>0.92999999999999994</v>
      </c>
      <c r="M647" s="50">
        <v>1.8599999999999999</v>
      </c>
      <c r="N647" s="61"/>
      <c r="O647" s="50"/>
      <c r="P647" s="52" t="s">
        <v>20</v>
      </c>
    </row>
    <row r="648" spans="1:16" ht="15.75" customHeight="1" outlineLevel="1">
      <c r="A648" s="28">
        <v>10</v>
      </c>
      <c r="B648" s="32">
        <v>45574</v>
      </c>
      <c r="C648" s="36" t="s">
        <v>323</v>
      </c>
      <c r="D648" s="43">
        <v>3</v>
      </c>
      <c r="E648" s="48" t="s">
        <v>459</v>
      </c>
      <c r="F648" s="48" t="s">
        <v>23</v>
      </c>
      <c r="G648" s="49">
        <v>7.0000000000000007E-2</v>
      </c>
      <c r="H648" s="10">
        <v>0.21000000000000002</v>
      </c>
      <c r="I648" s="52">
        <v>1</v>
      </c>
      <c r="J648" s="10">
        <v>3</v>
      </c>
      <c r="K648" s="55" t="s">
        <v>346</v>
      </c>
      <c r="L648" s="57">
        <v>0.93</v>
      </c>
      <c r="M648" s="50">
        <v>2.79</v>
      </c>
      <c r="N648" s="61"/>
      <c r="O648" s="50"/>
      <c r="P648" s="52" t="s">
        <v>20</v>
      </c>
    </row>
    <row r="649" spans="1:16" ht="15.75" customHeight="1" outlineLevel="1">
      <c r="A649" s="28">
        <v>10</v>
      </c>
      <c r="B649" s="32">
        <v>45575</v>
      </c>
      <c r="C649" s="36" t="s">
        <v>323</v>
      </c>
      <c r="D649" s="43">
        <v>1</v>
      </c>
      <c r="E649" s="48" t="s">
        <v>460</v>
      </c>
      <c r="F649" s="48" t="s">
        <v>23</v>
      </c>
      <c r="G649" s="49">
        <v>7.0000000000000007E-2</v>
      </c>
      <c r="H649" s="10">
        <v>7.0000000000000007E-2</v>
      </c>
      <c r="I649" s="52">
        <v>1</v>
      </c>
      <c r="J649" s="10">
        <v>1</v>
      </c>
      <c r="K649" s="55" t="s">
        <v>346</v>
      </c>
      <c r="L649" s="57">
        <v>0.92999999999999994</v>
      </c>
      <c r="M649" s="50">
        <v>0.92999999999999994</v>
      </c>
      <c r="N649" s="61"/>
      <c r="O649" s="50"/>
      <c r="P649" s="52" t="s">
        <v>20</v>
      </c>
    </row>
    <row r="650" spans="1:16" ht="15.75" customHeight="1" outlineLevel="1">
      <c r="A650" s="28">
        <v>10</v>
      </c>
      <c r="B650" s="32">
        <v>45575</v>
      </c>
      <c r="C650" s="36" t="s">
        <v>323</v>
      </c>
      <c r="D650" s="43">
        <v>1</v>
      </c>
      <c r="E650" s="48" t="s">
        <v>26</v>
      </c>
      <c r="F650" s="48" t="s">
        <v>23</v>
      </c>
      <c r="G650" s="49">
        <v>7.0000000000000007E-2</v>
      </c>
      <c r="H650" s="10">
        <v>7.0000000000000007E-2</v>
      </c>
      <c r="I650" s="52">
        <v>0.5</v>
      </c>
      <c r="J650" s="10">
        <v>0.5</v>
      </c>
      <c r="K650" s="55" t="s">
        <v>346</v>
      </c>
      <c r="L650" s="57">
        <v>0.86</v>
      </c>
      <c r="M650" s="50">
        <v>0.43</v>
      </c>
      <c r="N650" s="61"/>
      <c r="O650" s="50"/>
      <c r="P650" s="52" t="s">
        <v>20</v>
      </c>
    </row>
    <row r="651" spans="1:16" ht="15.75" customHeight="1" outlineLevel="1">
      <c r="A651" s="28">
        <v>10</v>
      </c>
      <c r="B651" s="32">
        <v>45575</v>
      </c>
      <c r="C651" s="36" t="s">
        <v>323</v>
      </c>
      <c r="D651" s="43">
        <v>2</v>
      </c>
      <c r="E651" s="48" t="s">
        <v>461</v>
      </c>
      <c r="F651" s="48" t="s">
        <v>23</v>
      </c>
      <c r="G651" s="49">
        <v>7.0000000000000007E-2</v>
      </c>
      <c r="H651" s="10">
        <v>0.14000000000000001</v>
      </c>
      <c r="I651" s="52">
        <v>1</v>
      </c>
      <c r="J651" s="10">
        <v>2</v>
      </c>
      <c r="K651" s="55" t="s">
        <v>346</v>
      </c>
      <c r="L651" s="57">
        <v>0.92999999999999994</v>
      </c>
      <c r="M651" s="50">
        <v>1.8599999999999999</v>
      </c>
      <c r="N651" s="61"/>
      <c r="O651" s="50"/>
      <c r="P651" s="52" t="s">
        <v>20</v>
      </c>
    </row>
    <row r="652" spans="1:16" ht="15.75" customHeight="1" outlineLevel="1">
      <c r="A652" s="28">
        <v>10</v>
      </c>
      <c r="B652" s="32">
        <v>45576</v>
      </c>
      <c r="C652" s="36" t="s">
        <v>453</v>
      </c>
      <c r="D652" s="43">
        <v>1</v>
      </c>
      <c r="E652" s="48" t="s">
        <v>26</v>
      </c>
      <c r="F652" s="48" t="s">
        <v>23</v>
      </c>
      <c r="G652" s="49">
        <v>0.2</v>
      </c>
      <c r="H652" s="10">
        <v>0.2</v>
      </c>
      <c r="I652" s="52">
        <v>0.5</v>
      </c>
      <c r="J652" s="10">
        <v>0.5</v>
      </c>
      <c r="K652" s="55" t="s">
        <v>346</v>
      </c>
      <c r="L652" s="57">
        <v>0.6</v>
      </c>
      <c r="M652" s="50">
        <v>0.3</v>
      </c>
      <c r="N652" s="61"/>
      <c r="O652" s="50"/>
      <c r="P652" s="52" t="s">
        <v>20</v>
      </c>
    </row>
    <row r="653" spans="1:16" ht="15.75" customHeight="1" outlineLevel="1">
      <c r="A653" s="28">
        <v>10</v>
      </c>
      <c r="B653" s="32">
        <v>45576</v>
      </c>
      <c r="C653" s="36" t="s">
        <v>323</v>
      </c>
      <c r="D653" s="43">
        <v>2</v>
      </c>
      <c r="E653" s="48" t="s">
        <v>58</v>
      </c>
      <c r="F653" s="48" t="s">
        <v>23</v>
      </c>
      <c r="G653" s="49">
        <v>7.0000000000000007E-2</v>
      </c>
      <c r="H653" s="10">
        <v>0.14000000000000001</v>
      </c>
      <c r="I653" s="52">
        <v>1</v>
      </c>
      <c r="J653" s="10">
        <v>2</v>
      </c>
      <c r="K653" s="55" t="s">
        <v>346</v>
      </c>
      <c r="L653" s="57">
        <v>0.92999999999999994</v>
      </c>
      <c r="M653" s="50">
        <v>1.8599999999999999</v>
      </c>
      <c r="N653" s="61"/>
      <c r="O653" s="50"/>
      <c r="P653" s="52" t="s">
        <v>20</v>
      </c>
    </row>
    <row r="654" spans="1:16" ht="15.75" customHeight="1" outlineLevel="1">
      <c r="A654" s="28">
        <v>10</v>
      </c>
      <c r="B654" s="32">
        <v>45576</v>
      </c>
      <c r="C654" s="36" t="s">
        <v>419</v>
      </c>
      <c r="D654" s="43">
        <v>2</v>
      </c>
      <c r="E654" s="48" t="s">
        <v>26</v>
      </c>
      <c r="F654" s="48" t="s">
        <v>23</v>
      </c>
      <c r="G654" s="49">
        <v>0.24285714285714285</v>
      </c>
      <c r="H654" s="10">
        <v>0.48571428571428571</v>
      </c>
      <c r="I654" s="52">
        <v>0.5</v>
      </c>
      <c r="J654" s="10">
        <v>1</v>
      </c>
      <c r="K654" s="55" t="s">
        <v>346</v>
      </c>
      <c r="L654" s="57">
        <v>0.51428571428571423</v>
      </c>
      <c r="M654" s="50">
        <v>0.51428571428571423</v>
      </c>
      <c r="N654" s="61"/>
      <c r="O654" s="50"/>
      <c r="P654" s="52" t="s">
        <v>20</v>
      </c>
    </row>
    <row r="655" spans="1:16" ht="15.75" customHeight="1" outlineLevel="1">
      <c r="A655" s="28">
        <v>10</v>
      </c>
      <c r="B655" s="32">
        <v>45577</v>
      </c>
      <c r="C655" s="36" t="s">
        <v>462</v>
      </c>
      <c r="D655" s="43">
        <v>1</v>
      </c>
      <c r="E655" s="48" t="s">
        <v>26</v>
      </c>
      <c r="F655" s="48" t="s">
        <v>23</v>
      </c>
      <c r="G655" s="49">
        <v>15</v>
      </c>
      <c r="H655" s="10">
        <v>15</v>
      </c>
      <c r="I655" s="52">
        <v>50</v>
      </c>
      <c r="J655" s="10">
        <v>50</v>
      </c>
      <c r="K655" s="55" t="s">
        <v>317</v>
      </c>
      <c r="L655" s="57">
        <v>0.7</v>
      </c>
      <c r="M655" s="50">
        <v>35</v>
      </c>
      <c r="N655" s="61"/>
      <c r="O655" s="50"/>
      <c r="P655" s="52" t="s">
        <v>20</v>
      </c>
    </row>
    <row r="656" spans="1:16" ht="15.75" customHeight="1" outlineLevel="1">
      <c r="A656" s="28">
        <v>10</v>
      </c>
      <c r="B656" s="32">
        <v>45579</v>
      </c>
      <c r="C656" s="36" t="s">
        <v>463</v>
      </c>
      <c r="D656" s="43">
        <v>1</v>
      </c>
      <c r="E656" s="48" t="s">
        <v>26</v>
      </c>
      <c r="F656" s="48" t="s">
        <v>23</v>
      </c>
      <c r="G656" s="49">
        <v>9</v>
      </c>
      <c r="H656" s="10">
        <v>9</v>
      </c>
      <c r="I656" s="52">
        <v>20</v>
      </c>
      <c r="J656" s="10">
        <v>20</v>
      </c>
      <c r="K656" s="55" t="s">
        <v>346</v>
      </c>
      <c r="L656" s="57">
        <v>0.55000000000000004</v>
      </c>
      <c r="M656" s="50">
        <v>11</v>
      </c>
      <c r="N656" s="61"/>
      <c r="O656" s="50"/>
      <c r="P656" s="52" t="s">
        <v>20</v>
      </c>
    </row>
    <row r="657" spans="1:16" ht="15.75" customHeight="1" outlineLevel="1">
      <c r="A657" s="28">
        <v>10</v>
      </c>
      <c r="B657" s="32">
        <v>45579</v>
      </c>
      <c r="C657" s="36" t="s">
        <v>387</v>
      </c>
      <c r="D657" s="43">
        <v>1</v>
      </c>
      <c r="E657" s="48" t="s">
        <v>26</v>
      </c>
      <c r="F657" s="48" t="s">
        <v>23</v>
      </c>
      <c r="G657" s="49">
        <v>17</v>
      </c>
      <c r="H657" s="10">
        <v>17</v>
      </c>
      <c r="I657" s="52">
        <v>30</v>
      </c>
      <c r="J657" s="10">
        <v>30</v>
      </c>
      <c r="K657" s="55" t="s">
        <v>346</v>
      </c>
      <c r="L657" s="57">
        <v>0.43333333333333335</v>
      </c>
      <c r="M657" s="50">
        <v>13</v>
      </c>
      <c r="N657" s="61"/>
      <c r="O657" s="50"/>
      <c r="P657" s="52" t="s">
        <v>20</v>
      </c>
    </row>
    <row r="658" spans="1:16" ht="15.75" customHeight="1" outlineLevel="1">
      <c r="A658" s="28">
        <v>10</v>
      </c>
      <c r="B658" s="32">
        <v>45579</v>
      </c>
      <c r="C658" s="36" t="s">
        <v>388</v>
      </c>
      <c r="D658" s="43">
        <v>1</v>
      </c>
      <c r="E658" s="48" t="s">
        <v>26</v>
      </c>
      <c r="F658" s="48" t="s">
        <v>23</v>
      </c>
      <c r="G658" s="49">
        <v>2.5</v>
      </c>
      <c r="H658" s="10">
        <v>2.5</v>
      </c>
      <c r="I658" s="52">
        <v>5</v>
      </c>
      <c r="J658" s="10">
        <v>5</v>
      </c>
      <c r="K658" s="55" t="s">
        <v>65</v>
      </c>
      <c r="L658" s="57">
        <v>0.5</v>
      </c>
      <c r="M658" s="50">
        <v>2.5</v>
      </c>
      <c r="N658" s="61"/>
      <c r="O658" s="50"/>
      <c r="P658" s="52" t="s">
        <v>20</v>
      </c>
    </row>
    <row r="659" spans="1:16" ht="15.75" customHeight="1" outlineLevel="1">
      <c r="A659" s="28">
        <v>10</v>
      </c>
      <c r="B659" s="32">
        <v>45580</v>
      </c>
      <c r="C659" s="36" t="s">
        <v>323</v>
      </c>
      <c r="D659" s="43">
        <v>15</v>
      </c>
      <c r="E659" s="48" t="s">
        <v>464</v>
      </c>
      <c r="F659" s="48" t="s">
        <v>23</v>
      </c>
      <c r="G659" s="49">
        <v>7.0000000000000007E-2</v>
      </c>
      <c r="H659" s="10">
        <v>1.05</v>
      </c>
      <c r="I659" s="52">
        <v>1</v>
      </c>
      <c r="J659" s="10">
        <v>15</v>
      </c>
      <c r="K659" s="55" t="s">
        <v>317</v>
      </c>
      <c r="L659" s="57">
        <v>0.92999999999999994</v>
      </c>
      <c r="M659" s="50">
        <v>13.95</v>
      </c>
      <c r="N659" s="61"/>
      <c r="O659" s="50"/>
      <c r="P659" s="52" t="s">
        <v>20</v>
      </c>
    </row>
    <row r="660" spans="1:16" ht="15.75" customHeight="1" outlineLevel="1">
      <c r="A660" s="28">
        <v>10</v>
      </c>
      <c r="B660" s="32">
        <v>45580</v>
      </c>
      <c r="C660" s="36" t="s">
        <v>323</v>
      </c>
      <c r="D660" s="43">
        <v>3</v>
      </c>
      <c r="E660" s="48" t="s">
        <v>465</v>
      </c>
      <c r="F660" s="48" t="s">
        <v>23</v>
      </c>
      <c r="G660" s="49">
        <v>7.0000000000000007E-2</v>
      </c>
      <c r="H660" s="10">
        <v>0.21000000000000002</v>
      </c>
      <c r="I660" s="52">
        <v>1</v>
      </c>
      <c r="J660" s="10">
        <v>3</v>
      </c>
      <c r="K660" s="55"/>
      <c r="L660" s="57">
        <v>0.93</v>
      </c>
      <c r="M660" s="50">
        <v>2.79</v>
      </c>
      <c r="N660" s="61"/>
      <c r="O660" s="50"/>
      <c r="P660" s="52" t="s">
        <v>20</v>
      </c>
    </row>
    <row r="661" spans="1:16" ht="15.75" customHeight="1" outlineLevel="1">
      <c r="A661" s="28">
        <v>10</v>
      </c>
      <c r="B661" s="32">
        <v>45580</v>
      </c>
      <c r="C661" s="36" t="s">
        <v>466</v>
      </c>
      <c r="D661" s="43">
        <v>2</v>
      </c>
      <c r="E661" s="48" t="s">
        <v>26</v>
      </c>
      <c r="F661" s="48" t="s">
        <v>23</v>
      </c>
      <c r="G661" s="49">
        <v>8.3333333333333339</v>
      </c>
      <c r="H661" s="10">
        <v>16.666666666666668</v>
      </c>
      <c r="I661" s="52">
        <v>25</v>
      </c>
      <c r="J661" s="10">
        <v>50</v>
      </c>
      <c r="K661" s="55" t="s">
        <v>317</v>
      </c>
      <c r="L661" s="57">
        <v>0.66666666666666652</v>
      </c>
      <c r="M661" s="50">
        <v>33.333333333333329</v>
      </c>
      <c r="N661" s="61"/>
      <c r="O661" s="50"/>
      <c r="P661" s="52" t="s">
        <v>20</v>
      </c>
    </row>
    <row r="662" spans="1:16" ht="15.75" customHeight="1" outlineLevel="1">
      <c r="A662" s="28">
        <v>10</v>
      </c>
      <c r="B662" s="32">
        <v>45581</v>
      </c>
      <c r="C662" s="36" t="s">
        <v>334</v>
      </c>
      <c r="D662" s="43">
        <v>20</v>
      </c>
      <c r="E662" s="48" t="s">
        <v>26</v>
      </c>
      <c r="F662" s="48" t="s">
        <v>23</v>
      </c>
      <c r="G662" s="49">
        <v>0.05</v>
      </c>
      <c r="H662" s="10">
        <v>1</v>
      </c>
      <c r="I662" s="52">
        <v>0.5</v>
      </c>
      <c r="J662" s="10">
        <v>10</v>
      </c>
      <c r="K662" s="55" t="s">
        <v>346</v>
      </c>
      <c r="L662" s="57">
        <v>0.9</v>
      </c>
      <c r="M662" s="50">
        <v>9</v>
      </c>
      <c r="N662" s="61"/>
      <c r="O662" s="50"/>
      <c r="P662" s="52" t="s">
        <v>20</v>
      </c>
    </row>
    <row r="663" spans="1:16" ht="15.75" customHeight="1" outlineLevel="1">
      <c r="A663" s="28">
        <v>10</v>
      </c>
      <c r="B663" s="32">
        <v>45581</v>
      </c>
      <c r="C663" s="36" t="s">
        <v>323</v>
      </c>
      <c r="D663" s="43">
        <v>5</v>
      </c>
      <c r="E663" s="48" t="s">
        <v>26</v>
      </c>
      <c r="F663" s="48" t="s">
        <v>23</v>
      </c>
      <c r="G663" s="49">
        <v>7.0000000000000007E-2</v>
      </c>
      <c r="H663" s="10">
        <v>0.35000000000000003</v>
      </c>
      <c r="I663" s="52">
        <v>1</v>
      </c>
      <c r="J663" s="10">
        <v>5</v>
      </c>
      <c r="K663" s="55" t="s">
        <v>346</v>
      </c>
      <c r="L663" s="57">
        <v>0.93</v>
      </c>
      <c r="M663" s="50">
        <v>4.6500000000000004</v>
      </c>
      <c r="N663" s="61"/>
      <c r="O663" s="50"/>
      <c r="P663" s="52" t="s">
        <v>20</v>
      </c>
    </row>
    <row r="664" spans="1:16" ht="15.75" customHeight="1" outlineLevel="1">
      <c r="A664" s="28">
        <v>10</v>
      </c>
      <c r="B664" s="32">
        <v>45581</v>
      </c>
      <c r="C664" s="36" t="s">
        <v>323</v>
      </c>
      <c r="D664" s="43">
        <v>3</v>
      </c>
      <c r="E664" s="48" t="s">
        <v>26</v>
      </c>
      <c r="F664" s="48" t="s">
        <v>23</v>
      </c>
      <c r="G664" s="49">
        <v>7.0000000000000007E-2</v>
      </c>
      <c r="H664" s="10">
        <v>0.21000000000000002</v>
      </c>
      <c r="I664" s="52">
        <v>1</v>
      </c>
      <c r="J664" s="10">
        <v>3</v>
      </c>
      <c r="K664" s="55" t="s">
        <v>317</v>
      </c>
      <c r="L664" s="57">
        <v>0.93</v>
      </c>
      <c r="M664" s="50">
        <v>2.79</v>
      </c>
      <c r="N664" s="61"/>
      <c r="O664" s="50"/>
      <c r="P664" s="52" t="s">
        <v>20</v>
      </c>
    </row>
    <row r="665" spans="1:16" ht="15.75" customHeight="1" outlineLevel="1">
      <c r="A665" s="28">
        <v>10</v>
      </c>
      <c r="B665" s="32">
        <v>45582</v>
      </c>
      <c r="C665" s="36" t="s">
        <v>253</v>
      </c>
      <c r="D665" s="43">
        <v>1</v>
      </c>
      <c r="E665" s="48" t="s">
        <v>467</v>
      </c>
      <c r="F665" s="48" t="s">
        <v>23</v>
      </c>
      <c r="G665" s="49">
        <v>3.5</v>
      </c>
      <c r="H665" s="10">
        <v>3.5</v>
      </c>
      <c r="I665" s="52">
        <v>10</v>
      </c>
      <c r="J665" s="10">
        <v>10</v>
      </c>
      <c r="K665" s="55" t="s">
        <v>346</v>
      </c>
      <c r="L665" s="57">
        <v>0.65</v>
      </c>
      <c r="M665" s="50">
        <v>6.5</v>
      </c>
      <c r="N665" s="61"/>
      <c r="O665" s="50"/>
      <c r="P665" s="52" t="s">
        <v>20</v>
      </c>
    </row>
    <row r="666" spans="1:16" ht="15.75" customHeight="1" outlineLevel="1">
      <c r="A666" s="28">
        <v>10</v>
      </c>
      <c r="B666" s="32">
        <v>45583</v>
      </c>
      <c r="C666" s="36" t="s">
        <v>323</v>
      </c>
      <c r="D666" s="43">
        <v>3</v>
      </c>
      <c r="E666" s="48" t="s">
        <v>58</v>
      </c>
      <c r="F666" s="48" t="s">
        <v>23</v>
      </c>
      <c r="G666" s="49">
        <v>7.0000000000000007E-2</v>
      </c>
      <c r="H666" s="10">
        <v>0.21000000000000002</v>
      </c>
      <c r="I666" s="52">
        <v>1</v>
      </c>
      <c r="J666" s="10">
        <v>3</v>
      </c>
      <c r="K666" s="55" t="s">
        <v>346</v>
      </c>
      <c r="L666" s="57">
        <v>0.93</v>
      </c>
      <c r="M666" s="50">
        <v>2.79</v>
      </c>
      <c r="N666" s="61"/>
      <c r="O666" s="50"/>
      <c r="P666" s="52" t="s">
        <v>20</v>
      </c>
    </row>
    <row r="667" spans="1:16" ht="15.75" customHeight="1" outlineLevel="1">
      <c r="A667" s="28">
        <v>10</v>
      </c>
      <c r="B667" s="32">
        <v>45583</v>
      </c>
      <c r="C667" s="36" t="s">
        <v>323</v>
      </c>
      <c r="D667" s="43">
        <v>5</v>
      </c>
      <c r="E667" s="48" t="s">
        <v>26</v>
      </c>
      <c r="F667" s="48" t="s">
        <v>23</v>
      </c>
      <c r="G667" s="49">
        <v>7.0000000000000007E-2</v>
      </c>
      <c r="H667" s="10">
        <v>0.35000000000000003</v>
      </c>
      <c r="I667" s="52">
        <v>1</v>
      </c>
      <c r="J667" s="10">
        <v>5</v>
      </c>
      <c r="K667" s="55" t="s">
        <v>346</v>
      </c>
      <c r="L667" s="57">
        <v>0.93</v>
      </c>
      <c r="M667" s="50">
        <v>4.6500000000000004</v>
      </c>
      <c r="N667" s="61"/>
      <c r="O667" s="50"/>
      <c r="P667" s="52" t="s">
        <v>20</v>
      </c>
    </row>
    <row r="668" spans="1:16" ht="15.75" customHeight="1" outlineLevel="1">
      <c r="A668" s="28">
        <v>10</v>
      </c>
      <c r="B668" s="32">
        <v>45583</v>
      </c>
      <c r="C668" s="36" t="s">
        <v>366</v>
      </c>
      <c r="D668" s="43">
        <v>1</v>
      </c>
      <c r="E668" s="48" t="s">
        <v>26</v>
      </c>
      <c r="F668" s="48" t="s">
        <v>18</v>
      </c>
      <c r="G668" s="49">
        <v>2.5</v>
      </c>
      <c r="H668" s="10">
        <v>2.5</v>
      </c>
      <c r="I668" s="52">
        <v>10</v>
      </c>
      <c r="J668" s="10">
        <v>10</v>
      </c>
      <c r="K668" s="55"/>
      <c r="L668" s="57">
        <v>0.75</v>
      </c>
      <c r="M668" s="50">
        <v>7.5</v>
      </c>
      <c r="N668" s="61"/>
      <c r="O668" s="50"/>
      <c r="P668" s="52" t="s">
        <v>20</v>
      </c>
    </row>
    <row r="669" spans="1:16" ht="15.75" customHeight="1" outlineLevel="1">
      <c r="A669" s="28">
        <v>10</v>
      </c>
      <c r="B669" s="32">
        <v>45583</v>
      </c>
      <c r="C669" s="36" t="s">
        <v>468</v>
      </c>
      <c r="D669" s="43">
        <v>1</v>
      </c>
      <c r="E669" s="48" t="s">
        <v>26</v>
      </c>
      <c r="F669" s="48" t="s">
        <v>18</v>
      </c>
      <c r="G669" s="49">
        <v>30</v>
      </c>
      <c r="H669" s="10">
        <v>30</v>
      </c>
      <c r="I669" s="52">
        <v>40</v>
      </c>
      <c r="J669" s="10">
        <v>40</v>
      </c>
      <c r="K669" s="55"/>
      <c r="L669" s="57">
        <v>0.25</v>
      </c>
      <c r="M669" s="50">
        <v>10</v>
      </c>
      <c r="N669" s="62"/>
      <c r="O669" s="50">
        <v>40</v>
      </c>
      <c r="P669" s="52" t="s">
        <v>135</v>
      </c>
    </row>
    <row r="670" spans="1:16" ht="15.75" customHeight="1" outlineLevel="1">
      <c r="A670" s="28">
        <v>10</v>
      </c>
      <c r="B670" s="32">
        <v>45584</v>
      </c>
      <c r="C670" s="36" t="s">
        <v>469</v>
      </c>
      <c r="D670" s="43">
        <v>1</v>
      </c>
      <c r="E670" s="48" t="s">
        <v>26</v>
      </c>
      <c r="F670" s="48" t="s">
        <v>23</v>
      </c>
      <c r="G670" s="49">
        <v>10</v>
      </c>
      <c r="H670" s="10">
        <v>10</v>
      </c>
      <c r="I670" s="52">
        <v>30</v>
      </c>
      <c r="J670" s="10">
        <v>30</v>
      </c>
      <c r="K670" s="55" t="s">
        <v>317</v>
      </c>
      <c r="L670" s="57">
        <v>0.66666666666666663</v>
      </c>
      <c r="M670" s="50">
        <v>20</v>
      </c>
      <c r="N670" s="61"/>
      <c r="O670" s="50"/>
      <c r="P670" s="52" t="s">
        <v>20</v>
      </c>
    </row>
    <row r="671" spans="1:16" ht="15.75" customHeight="1" outlineLevel="1">
      <c r="A671" s="28">
        <v>10</v>
      </c>
      <c r="B671" s="32">
        <v>45586</v>
      </c>
      <c r="C671" s="36" t="s">
        <v>323</v>
      </c>
      <c r="D671" s="43">
        <v>5</v>
      </c>
      <c r="E671" s="48" t="s">
        <v>26</v>
      </c>
      <c r="F671" s="48" t="s">
        <v>23</v>
      </c>
      <c r="G671" s="49">
        <v>7.0000000000000007E-2</v>
      </c>
      <c r="H671" s="10">
        <v>0.35000000000000003</v>
      </c>
      <c r="I671" s="52">
        <v>1</v>
      </c>
      <c r="J671" s="10">
        <v>5</v>
      </c>
      <c r="K671" s="55" t="s">
        <v>346</v>
      </c>
      <c r="L671" s="57">
        <v>0.93</v>
      </c>
      <c r="M671" s="50">
        <v>4.6500000000000004</v>
      </c>
      <c r="N671" s="61"/>
      <c r="O671" s="50"/>
      <c r="P671" s="52" t="s">
        <v>20</v>
      </c>
    </row>
    <row r="672" spans="1:16" ht="15.75" customHeight="1" outlineLevel="1">
      <c r="A672" s="28">
        <v>10</v>
      </c>
      <c r="B672" s="32">
        <v>45586</v>
      </c>
      <c r="C672" s="36" t="s">
        <v>470</v>
      </c>
      <c r="D672" s="43">
        <v>1</v>
      </c>
      <c r="E672" s="48" t="s">
        <v>471</v>
      </c>
      <c r="F672" s="48" t="s">
        <v>23</v>
      </c>
      <c r="G672" s="49">
        <v>60</v>
      </c>
      <c r="H672" s="10">
        <v>60</v>
      </c>
      <c r="I672" s="52">
        <v>100</v>
      </c>
      <c r="J672" s="10">
        <v>100</v>
      </c>
      <c r="K672" s="55" t="s">
        <v>346</v>
      </c>
      <c r="L672" s="57">
        <v>0.4</v>
      </c>
      <c r="M672" s="50">
        <v>40</v>
      </c>
      <c r="N672" s="61"/>
      <c r="O672" s="50"/>
      <c r="P672" s="52" t="s">
        <v>20</v>
      </c>
    </row>
    <row r="673" spans="1:16" ht="15.75" customHeight="1" outlineLevel="1">
      <c r="A673" s="28">
        <v>10</v>
      </c>
      <c r="B673" s="32">
        <v>45586</v>
      </c>
      <c r="C673" s="36" t="s">
        <v>274</v>
      </c>
      <c r="D673" s="43">
        <v>1</v>
      </c>
      <c r="E673" s="48" t="s">
        <v>438</v>
      </c>
      <c r="F673" s="48" t="s">
        <v>23</v>
      </c>
      <c r="G673" s="49">
        <v>0</v>
      </c>
      <c r="H673" s="10">
        <v>0</v>
      </c>
      <c r="I673" s="52">
        <v>30</v>
      </c>
      <c r="J673" s="10">
        <v>30</v>
      </c>
      <c r="K673" s="55"/>
      <c r="L673" s="57">
        <v>1</v>
      </c>
      <c r="M673" s="50">
        <v>30</v>
      </c>
      <c r="N673" s="61"/>
      <c r="O673" s="50"/>
      <c r="P673" s="52" t="s">
        <v>20</v>
      </c>
    </row>
    <row r="674" spans="1:16" ht="15.75" customHeight="1" outlineLevel="1">
      <c r="A674" s="28">
        <v>10</v>
      </c>
      <c r="B674" s="32">
        <v>45586</v>
      </c>
      <c r="C674" s="36" t="s">
        <v>323</v>
      </c>
      <c r="D674" s="43">
        <v>3</v>
      </c>
      <c r="E674" s="48" t="s">
        <v>395</v>
      </c>
      <c r="F674" s="48" t="s">
        <v>23</v>
      </c>
      <c r="G674" s="49">
        <v>7.0000000000000007E-2</v>
      </c>
      <c r="H674" s="10">
        <v>0.21000000000000002</v>
      </c>
      <c r="I674" s="52">
        <v>1</v>
      </c>
      <c r="J674" s="10">
        <v>3</v>
      </c>
      <c r="K674" s="55" t="s">
        <v>346</v>
      </c>
      <c r="L674" s="57">
        <v>0.93</v>
      </c>
      <c r="M674" s="50">
        <v>2.79</v>
      </c>
      <c r="N674" s="61"/>
      <c r="O674" s="50"/>
      <c r="P674" s="52" t="s">
        <v>20</v>
      </c>
    </row>
    <row r="675" spans="1:16" ht="15.75" customHeight="1" outlineLevel="1">
      <c r="A675" s="28">
        <v>10</v>
      </c>
      <c r="B675" s="32">
        <v>45587</v>
      </c>
      <c r="C675" s="36" t="s">
        <v>472</v>
      </c>
      <c r="D675" s="43">
        <v>1</v>
      </c>
      <c r="E675" s="48" t="s">
        <v>26</v>
      </c>
      <c r="F675" s="48" t="s">
        <v>23</v>
      </c>
      <c r="G675" s="49">
        <v>17</v>
      </c>
      <c r="H675" s="10">
        <v>17</v>
      </c>
      <c r="I675" s="52">
        <v>48.28</v>
      </c>
      <c r="J675" s="10">
        <v>48.28</v>
      </c>
      <c r="K675" s="55" t="s">
        <v>317</v>
      </c>
      <c r="L675" s="57">
        <v>0.647887323943662</v>
      </c>
      <c r="M675" s="50">
        <v>31.28</v>
      </c>
      <c r="N675" s="61"/>
      <c r="O675" s="50"/>
      <c r="P675" s="52" t="s">
        <v>20</v>
      </c>
    </row>
    <row r="676" spans="1:16" ht="15.75" customHeight="1" outlineLevel="1">
      <c r="A676" s="28">
        <v>10</v>
      </c>
      <c r="B676" s="32">
        <v>45587</v>
      </c>
      <c r="C676" s="36" t="s">
        <v>323</v>
      </c>
      <c r="D676" s="43">
        <v>8</v>
      </c>
      <c r="E676" s="48" t="s">
        <v>473</v>
      </c>
      <c r="F676" s="48" t="s">
        <v>23</v>
      </c>
      <c r="G676" s="49">
        <v>7.0000000000000007E-2</v>
      </c>
      <c r="H676" s="10">
        <v>0.56000000000000005</v>
      </c>
      <c r="I676" s="52">
        <v>1</v>
      </c>
      <c r="J676" s="10">
        <v>8</v>
      </c>
      <c r="K676" s="55" t="s">
        <v>346</v>
      </c>
      <c r="L676" s="57">
        <v>0.92999999999999994</v>
      </c>
      <c r="M676" s="50">
        <v>7.4399999999999995</v>
      </c>
      <c r="N676" s="61"/>
      <c r="O676" s="50"/>
      <c r="P676" s="52" t="s">
        <v>20</v>
      </c>
    </row>
    <row r="677" spans="1:16" ht="15.75" customHeight="1" outlineLevel="1">
      <c r="A677" s="28">
        <v>10</v>
      </c>
      <c r="B677" s="32">
        <v>45587</v>
      </c>
      <c r="C677" s="36" t="s">
        <v>323</v>
      </c>
      <c r="D677" s="43">
        <v>2</v>
      </c>
      <c r="E677" s="48" t="s">
        <v>474</v>
      </c>
      <c r="F677" s="48" t="s">
        <v>23</v>
      </c>
      <c r="G677" s="49">
        <v>7.0000000000000007E-2</v>
      </c>
      <c r="H677" s="10">
        <v>0.14000000000000001</v>
      </c>
      <c r="I677" s="52">
        <v>1</v>
      </c>
      <c r="J677" s="10">
        <v>2</v>
      </c>
      <c r="K677" s="55" t="s">
        <v>346</v>
      </c>
      <c r="L677" s="57">
        <v>0.92999999999999994</v>
      </c>
      <c r="M677" s="50">
        <v>1.8599999999999999</v>
      </c>
      <c r="N677" s="61"/>
      <c r="O677" s="50"/>
      <c r="P677" s="52" t="s">
        <v>20</v>
      </c>
    </row>
    <row r="678" spans="1:16" ht="15.75" customHeight="1" outlineLevel="1">
      <c r="A678" s="28">
        <v>10</v>
      </c>
      <c r="B678" s="32">
        <v>45588</v>
      </c>
      <c r="C678" s="36" t="s">
        <v>274</v>
      </c>
      <c r="D678" s="43">
        <v>1</v>
      </c>
      <c r="E678" s="48" t="s">
        <v>26</v>
      </c>
      <c r="F678" s="48" t="s">
        <v>23</v>
      </c>
      <c r="G678" s="49">
        <v>0</v>
      </c>
      <c r="H678" s="10">
        <v>0</v>
      </c>
      <c r="I678" s="52">
        <v>30</v>
      </c>
      <c r="J678" s="10">
        <v>30</v>
      </c>
      <c r="K678" s="55" t="s">
        <v>346</v>
      </c>
      <c r="L678" s="57">
        <v>1</v>
      </c>
      <c r="M678" s="50">
        <v>30</v>
      </c>
      <c r="N678" s="61"/>
      <c r="O678" s="50"/>
      <c r="P678" s="52" t="s">
        <v>20</v>
      </c>
    </row>
    <row r="679" spans="1:16" ht="15.75" customHeight="1" outlineLevel="1">
      <c r="A679" s="28">
        <v>10</v>
      </c>
      <c r="B679" s="32">
        <v>45588</v>
      </c>
      <c r="C679" s="36" t="s">
        <v>378</v>
      </c>
      <c r="D679" s="43">
        <v>1</v>
      </c>
      <c r="E679" s="48" t="s">
        <v>26</v>
      </c>
      <c r="F679" s="48" t="s">
        <v>23</v>
      </c>
      <c r="G679" s="49">
        <v>11</v>
      </c>
      <c r="H679" s="10">
        <v>11</v>
      </c>
      <c r="I679" s="52">
        <v>30</v>
      </c>
      <c r="J679" s="10">
        <v>30</v>
      </c>
      <c r="K679" s="55" t="s">
        <v>346</v>
      </c>
      <c r="L679" s="57">
        <v>0.6333333333333333</v>
      </c>
      <c r="M679" s="50">
        <v>19</v>
      </c>
      <c r="N679" s="61"/>
      <c r="O679" s="50"/>
      <c r="P679" s="52" t="s">
        <v>20</v>
      </c>
    </row>
    <row r="680" spans="1:16" ht="15.75" customHeight="1" outlineLevel="1">
      <c r="A680" s="28">
        <v>10</v>
      </c>
      <c r="B680" s="32">
        <v>45589</v>
      </c>
      <c r="C680" s="36" t="s">
        <v>475</v>
      </c>
      <c r="D680" s="43">
        <v>1</v>
      </c>
      <c r="E680" s="48" t="s">
        <v>239</v>
      </c>
      <c r="F680" s="48" t="s">
        <v>23</v>
      </c>
      <c r="G680" s="49">
        <v>2.5</v>
      </c>
      <c r="H680" s="10">
        <v>2.5</v>
      </c>
      <c r="I680" s="52">
        <v>5</v>
      </c>
      <c r="J680" s="10">
        <v>5</v>
      </c>
      <c r="K680" s="55"/>
      <c r="L680" s="57">
        <v>0.5</v>
      </c>
      <c r="M680" s="50">
        <v>2.5</v>
      </c>
      <c r="N680" s="61"/>
      <c r="O680" s="50"/>
      <c r="P680" s="52" t="s">
        <v>20</v>
      </c>
    </row>
    <row r="681" spans="1:16" ht="15.75" customHeight="1" outlineLevel="1">
      <c r="A681" s="28">
        <v>10</v>
      </c>
      <c r="B681" s="32">
        <v>45591</v>
      </c>
      <c r="C681" s="36" t="s">
        <v>345</v>
      </c>
      <c r="D681" s="43">
        <v>1</v>
      </c>
      <c r="E681" s="48" t="s">
        <v>26</v>
      </c>
      <c r="F681" s="48" t="s">
        <v>23</v>
      </c>
      <c r="G681" s="49">
        <v>0.05</v>
      </c>
      <c r="H681" s="10">
        <v>0.05</v>
      </c>
      <c r="I681" s="52">
        <v>5</v>
      </c>
      <c r="J681" s="10">
        <v>5</v>
      </c>
      <c r="K681" s="55" t="s">
        <v>346</v>
      </c>
      <c r="L681" s="57">
        <v>0.99</v>
      </c>
      <c r="M681" s="50">
        <v>4.95</v>
      </c>
      <c r="N681" s="61"/>
      <c r="O681" s="50"/>
      <c r="P681" s="52" t="s">
        <v>20</v>
      </c>
    </row>
    <row r="682" spans="1:16" ht="15.75" customHeight="1" outlineLevel="1">
      <c r="A682" s="28">
        <v>10</v>
      </c>
      <c r="B682" s="32">
        <v>45593</v>
      </c>
      <c r="C682" s="36" t="s">
        <v>274</v>
      </c>
      <c r="D682" s="43">
        <v>1</v>
      </c>
      <c r="E682" s="48" t="s">
        <v>26</v>
      </c>
      <c r="F682" s="48" t="s">
        <v>23</v>
      </c>
      <c r="G682" s="49">
        <v>0</v>
      </c>
      <c r="H682" s="10">
        <v>0</v>
      </c>
      <c r="I682" s="52">
        <v>10</v>
      </c>
      <c r="J682" s="10">
        <v>10</v>
      </c>
      <c r="K682" s="55" t="s">
        <v>317</v>
      </c>
      <c r="L682" s="57">
        <v>1</v>
      </c>
      <c r="M682" s="50">
        <v>10</v>
      </c>
      <c r="N682" s="61"/>
      <c r="O682" s="50"/>
      <c r="P682" s="52" t="s">
        <v>20</v>
      </c>
    </row>
    <row r="683" spans="1:16" ht="15.75" customHeight="1" outlineLevel="1">
      <c r="A683" s="28">
        <v>10</v>
      </c>
      <c r="B683" s="32">
        <v>45594</v>
      </c>
      <c r="C683" s="36" t="s">
        <v>334</v>
      </c>
      <c r="D683" s="43">
        <v>1</v>
      </c>
      <c r="E683" s="48" t="s">
        <v>26</v>
      </c>
      <c r="F683" s="48" t="s">
        <v>23</v>
      </c>
      <c r="G683" s="49">
        <v>0.05</v>
      </c>
      <c r="H683" s="10">
        <v>0.05</v>
      </c>
      <c r="I683" s="52">
        <v>0.5</v>
      </c>
      <c r="J683" s="10">
        <v>0.5</v>
      </c>
      <c r="K683" s="55" t="s">
        <v>346</v>
      </c>
      <c r="L683" s="57">
        <v>0.9</v>
      </c>
      <c r="M683" s="50">
        <v>0.45</v>
      </c>
      <c r="N683" s="61"/>
      <c r="O683" s="50"/>
      <c r="P683" s="52" t="s">
        <v>20</v>
      </c>
    </row>
    <row r="684" spans="1:16" ht="15.75" customHeight="1" outlineLevel="1">
      <c r="A684" s="28">
        <v>10</v>
      </c>
      <c r="B684" s="32">
        <v>45595</v>
      </c>
      <c r="C684" s="36" t="s">
        <v>476</v>
      </c>
      <c r="D684" s="43">
        <v>1</v>
      </c>
      <c r="E684" s="48" t="s">
        <v>477</v>
      </c>
      <c r="F684" s="48" t="s">
        <v>23</v>
      </c>
      <c r="G684" s="49">
        <v>9</v>
      </c>
      <c r="H684" s="10">
        <v>9</v>
      </c>
      <c r="I684" s="52">
        <v>30</v>
      </c>
      <c r="J684" s="10">
        <v>30</v>
      </c>
      <c r="K684" s="55" t="s">
        <v>346</v>
      </c>
      <c r="L684" s="57">
        <v>0.7</v>
      </c>
      <c r="M684" s="50">
        <v>21</v>
      </c>
      <c r="N684" s="61"/>
      <c r="O684" s="50"/>
      <c r="P684" s="52" t="s">
        <v>20</v>
      </c>
    </row>
    <row r="685" spans="1:16" ht="15.75" customHeight="1" outlineLevel="1">
      <c r="A685" s="28">
        <v>10</v>
      </c>
      <c r="B685" s="32">
        <v>45595</v>
      </c>
      <c r="C685" s="36" t="s">
        <v>478</v>
      </c>
      <c r="D685" s="43">
        <v>1</v>
      </c>
      <c r="E685" s="48" t="s">
        <v>477</v>
      </c>
      <c r="F685" s="48" t="s">
        <v>23</v>
      </c>
      <c r="G685" s="49">
        <v>75</v>
      </c>
      <c r="H685" s="10">
        <v>75</v>
      </c>
      <c r="I685" s="52">
        <v>135</v>
      </c>
      <c r="J685" s="10">
        <v>135</v>
      </c>
      <c r="K685" s="55" t="s">
        <v>346</v>
      </c>
      <c r="L685" s="57">
        <v>0.44444444444444442</v>
      </c>
      <c r="M685" s="50">
        <v>60</v>
      </c>
      <c r="N685" s="61"/>
      <c r="O685" s="50"/>
      <c r="P685" s="52" t="s">
        <v>20</v>
      </c>
    </row>
    <row r="686" spans="1:16" ht="15.75" customHeight="1" outlineLevel="1">
      <c r="A686" s="28">
        <v>10</v>
      </c>
      <c r="B686" s="32">
        <v>45595</v>
      </c>
      <c r="C686" s="36" t="s">
        <v>323</v>
      </c>
      <c r="D686" s="43">
        <v>4</v>
      </c>
      <c r="E686" s="48" t="s">
        <v>473</v>
      </c>
      <c r="F686" s="48" t="s">
        <v>23</v>
      </c>
      <c r="G686" s="49">
        <v>7.0000000000000007E-2</v>
      </c>
      <c r="H686" s="10">
        <v>0.28000000000000003</v>
      </c>
      <c r="I686" s="52">
        <v>1</v>
      </c>
      <c r="J686" s="10">
        <v>4</v>
      </c>
      <c r="K686" s="55" t="s">
        <v>346</v>
      </c>
      <c r="L686" s="57">
        <v>0.92999999999999994</v>
      </c>
      <c r="M686" s="50">
        <v>3.7199999999999998</v>
      </c>
      <c r="N686" s="61"/>
      <c r="O686" s="50"/>
      <c r="P686" s="52" t="s">
        <v>20</v>
      </c>
    </row>
    <row r="687" spans="1:16" ht="15.75" customHeight="1" outlineLevel="1">
      <c r="A687" s="28">
        <v>10</v>
      </c>
      <c r="B687" s="32">
        <v>45596</v>
      </c>
      <c r="C687" s="36" t="s">
        <v>323</v>
      </c>
      <c r="D687" s="43">
        <v>1</v>
      </c>
      <c r="E687" s="48" t="s">
        <v>479</v>
      </c>
      <c r="F687" s="48" t="s">
        <v>23</v>
      </c>
      <c r="G687" s="49">
        <v>7.0000000000000007E-2</v>
      </c>
      <c r="H687" s="10">
        <v>7.0000000000000007E-2</v>
      </c>
      <c r="I687" s="52">
        <v>2</v>
      </c>
      <c r="J687" s="10">
        <v>2</v>
      </c>
      <c r="K687" s="55" t="s">
        <v>346</v>
      </c>
      <c r="L687" s="57">
        <v>0.96499999999999997</v>
      </c>
      <c r="M687" s="50">
        <v>1.93</v>
      </c>
      <c r="N687" s="61"/>
      <c r="O687" s="50"/>
      <c r="P687" s="52" t="s">
        <v>20</v>
      </c>
    </row>
    <row r="688" spans="1:16" ht="15.75" customHeight="1">
      <c r="A688" s="28">
        <v>11</v>
      </c>
      <c r="B688" s="32">
        <v>45598</v>
      </c>
      <c r="C688" s="36" t="s">
        <v>480</v>
      </c>
      <c r="D688" s="43">
        <v>1</v>
      </c>
      <c r="E688" s="48" t="s">
        <v>481</v>
      </c>
      <c r="F688" s="48" t="s">
        <v>23</v>
      </c>
      <c r="G688" s="49">
        <v>30</v>
      </c>
      <c r="H688" s="10">
        <v>30</v>
      </c>
      <c r="I688" s="52">
        <v>70</v>
      </c>
      <c r="J688" s="10">
        <v>70</v>
      </c>
      <c r="K688" s="55" t="s">
        <v>346</v>
      </c>
      <c r="L688" s="57">
        <v>0.5714285714285714</v>
      </c>
      <c r="M688" s="50">
        <v>40</v>
      </c>
      <c r="N688" s="64"/>
      <c r="O688" s="50"/>
      <c r="P688" s="52" t="s">
        <v>20</v>
      </c>
    </row>
    <row r="689" spans="1:16" ht="15.75" customHeight="1" outlineLevel="1">
      <c r="A689" s="28">
        <v>11</v>
      </c>
      <c r="B689" s="32">
        <v>45598</v>
      </c>
      <c r="C689" s="36" t="s">
        <v>274</v>
      </c>
      <c r="D689" s="43">
        <v>1</v>
      </c>
      <c r="E689" s="48" t="s">
        <v>482</v>
      </c>
      <c r="F689" s="48" t="s">
        <v>23</v>
      </c>
      <c r="G689" s="49">
        <v>0</v>
      </c>
      <c r="H689" s="10">
        <v>0</v>
      </c>
      <c r="I689" s="52">
        <v>67</v>
      </c>
      <c r="J689" s="10">
        <v>67</v>
      </c>
      <c r="K689" s="55" t="s">
        <v>346</v>
      </c>
      <c r="L689" s="57">
        <v>1</v>
      </c>
      <c r="M689" s="50">
        <v>67</v>
      </c>
      <c r="N689" s="61"/>
      <c r="O689" s="50"/>
      <c r="P689" s="52" t="s">
        <v>20</v>
      </c>
    </row>
    <row r="690" spans="1:16" ht="15.75" customHeight="1" outlineLevel="1">
      <c r="A690" s="28">
        <v>11</v>
      </c>
      <c r="B690" s="32">
        <v>45600</v>
      </c>
      <c r="C690" s="36" t="s">
        <v>55</v>
      </c>
      <c r="D690" s="43">
        <v>1</v>
      </c>
      <c r="E690" s="48" t="s">
        <v>58</v>
      </c>
      <c r="F690" s="48" t="s">
        <v>23</v>
      </c>
      <c r="G690" s="49">
        <v>3</v>
      </c>
      <c r="H690" s="10">
        <v>3</v>
      </c>
      <c r="I690" s="52">
        <v>10</v>
      </c>
      <c r="J690" s="10">
        <v>10</v>
      </c>
      <c r="K690" s="55" t="s">
        <v>346</v>
      </c>
      <c r="L690" s="57">
        <v>0.7</v>
      </c>
      <c r="M690" s="50">
        <v>7</v>
      </c>
      <c r="N690" s="61"/>
      <c r="O690" s="50"/>
      <c r="P690" s="52" t="s">
        <v>20</v>
      </c>
    </row>
    <row r="691" spans="1:16" ht="15.75" customHeight="1" outlineLevel="1">
      <c r="A691" s="28">
        <v>11</v>
      </c>
      <c r="B691" s="32">
        <v>45600</v>
      </c>
      <c r="C691" s="36" t="s">
        <v>259</v>
      </c>
      <c r="D691" s="43">
        <v>1</v>
      </c>
      <c r="E691" s="48" t="s">
        <v>58</v>
      </c>
      <c r="F691" s="48" t="s">
        <v>23</v>
      </c>
      <c r="G691" s="49">
        <v>6</v>
      </c>
      <c r="H691" s="10">
        <v>6</v>
      </c>
      <c r="I691" s="52">
        <v>20</v>
      </c>
      <c r="J691" s="10">
        <v>20</v>
      </c>
      <c r="K691" s="55" t="s">
        <v>346</v>
      </c>
      <c r="L691" s="57">
        <v>0.7</v>
      </c>
      <c r="M691" s="50">
        <v>14</v>
      </c>
      <c r="N691" s="61"/>
      <c r="O691" s="50"/>
      <c r="P691" s="52" t="s">
        <v>20</v>
      </c>
    </row>
    <row r="692" spans="1:16" ht="15.75" customHeight="1" outlineLevel="1">
      <c r="A692" s="28">
        <v>11</v>
      </c>
      <c r="B692" s="32">
        <v>45600</v>
      </c>
      <c r="C692" s="36" t="s">
        <v>323</v>
      </c>
      <c r="D692" s="43">
        <v>3</v>
      </c>
      <c r="E692" s="48" t="s">
        <v>473</v>
      </c>
      <c r="F692" s="48" t="s">
        <v>23</v>
      </c>
      <c r="G692" s="49">
        <v>7.0000000000000007E-2</v>
      </c>
      <c r="H692" s="10">
        <v>0.21000000000000002</v>
      </c>
      <c r="I692" s="52">
        <v>1</v>
      </c>
      <c r="J692" s="10">
        <v>3</v>
      </c>
      <c r="K692" s="55" t="s">
        <v>346</v>
      </c>
      <c r="L692" s="57">
        <v>0.93</v>
      </c>
      <c r="M692" s="50">
        <v>2.79</v>
      </c>
      <c r="N692" s="61"/>
      <c r="O692" s="50"/>
      <c r="P692" s="52" t="s">
        <v>20</v>
      </c>
    </row>
    <row r="693" spans="1:16" ht="15.75" customHeight="1" outlineLevel="1">
      <c r="A693" s="28">
        <v>11</v>
      </c>
      <c r="B693" s="32">
        <v>45601</v>
      </c>
      <c r="C693" s="36" t="s">
        <v>323</v>
      </c>
      <c r="D693" s="43">
        <v>12</v>
      </c>
      <c r="E693" s="48" t="s">
        <v>483</v>
      </c>
      <c r="F693" s="48" t="s">
        <v>23</v>
      </c>
      <c r="G693" s="49">
        <v>7.0000000000000007E-2</v>
      </c>
      <c r="H693" s="10">
        <v>0.84000000000000008</v>
      </c>
      <c r="I693" s="52">
        <v>1</v>
      </c>
      <c r="J693" s="10">
        <v>12</v>
      </c>
      <c r="K693" s="55" t="s">
        <v>346</v>
      </c>
      <c r="L693" s="57">
        <v>0.93</v>
      </c>
      <c r="M693" s="50">
        <v>11.16</v>
      </c>
      <c r="N693" s="61"/>
      <c r="O693" s="50"/>
      <c r="P693" s="52" t="s">
        <v>20</v>
      </c>
    </row>
    <row r="694" spans="1:16" ht="15.75" customHeight="1" outlineLevel="1">
      <c r="A694" s="28">
        <v>11</v>
      </c>
      <c r="B694" s="32">
        <v>45602</v>
      </c>
      <c r="C694" s="36" t="s">
        <v>356</v>
      </c>
      <c r="D694" s="43">
        <v>1</v>
      </c>
      <c r="E694" s="48" t="s">
        <v>239</v>
      </c>
      <c r="F694" s="48" t="s">
        <v>23</v>
      </c>
      <c r="G694" s="49">
        <v>35</v>
      </c>
      <c r="H694" s="10">
        <v>35</v>
      </c>
      <c r="I694" s="52">
        <v>60</v>
      </c>
      <c r="J694" s="10">
        <v>60</v>
      </c>
      <c r="K694" s="55"/>
      <c r="L694" s="57">
        <v>0.41666666666666669</v>
      </c>
      <c r="M694" s="50">
        <v>25</v>
      </c>
      <c r="N694" s="61"/>
      <c r="O694" s="50"/>
      <c r="P694" s="52" t="s">
        <v>20</v>
      </c>
    </row>
    <row r="695" spans="1:16" ht="15.75" customHeight="1" outlineLevel="1">
      <c r="A695" s="28">
        <v>11</v>
      </c>
      <c r="B695" s="32">
        <v>45602</v>
      </c>
      <c r="C695" s="36" t="s">
        <v>388</v>
      </c>
      <c r="D695" s="43">
        <v>3</v>
      </c>
      <c r="E695" s="48" t="s">
        <v>26</v>
      </c>
      <c r="F695" s="48" t="s">
        <v>23</v>
      </c>
      <c r="G695" s="49">
        <v>2.5</v>
      </c>
      <c r="H695" s="10">
        <v>7.5</v>
      </c>
      <c r="I695" s="52">
        <v>5</v>
      </c>
      <c r="J695" s="10">
        <v>15</v>
      </c>
      <c r="K695" s="55" t="s">
        <v>346</v>
      </c>
      <c r="L695" s="57">
        <v>0.5</v>
      </c>
      <c r="M695" s="50">
        <v>7.5</v>
      </c>
      <c r="N695" s="61"/>
      <c r="O695" s="50"/>
      <c r="P695" s="52" t="s">
        <v>20</v>
      </c>
    </row>
    <row r="696" spans="1:16" ht="15.75" customHeight="1" outlineLevel="1">
      <c r="A696" s="28">
        <v>11</v>
      </c>
      <c r="B696" s="32">
        <v>45602</v>
      </c>
      <c r="C696" s="36" t="s">
        <v>323</v>
      </c>
      <c r="D696" s="43">
        <v>1</v>
      </c>
      <c r="E696" s="48" t="s">
        <v>26</v>
      </c>
      <c r="F696" s="48" t="s">
        <v>23</v>
      </c>
      <c r="G696" s="49">
        <v>7.0000000000000007E-2</v>
      </c>
      <c r="H696" s="10">
        <v>7.0000000000000007E-2</v>
      </c>
      <c r="I696" s="52">
        <v>1</v>
      </c>
      <c r="J696" s="10">
        <v>1</v>
      </c>
      <c r="K696" s="55" t="s">
        <v>346</v>
      </c>
      <c r="L696" s="57">
        <v>0.92999999999999994</v>
      </c>
      <c r="M696" s="50">
        <v>0.92999999999999994</v>
      </c>
      <c r="N696" s="61"/>
      <c r="O696" s="50"/>
      <c r="P696" s="52" t="s">
        <v>20</v>
      </c>
    </row>
    <row r="697" spans="1:16" ht="15.75" customHeight="1" outlineLevel="1">
      <c r="A697" s="28">
        <v>11</v>
      </c>
      <c r="B697" s="32">
        <v>45602</v>
      </c>
      <c r="C697" s="36" t="s">
        <v>484</v>
      </c>
      <c r="D697" s="43">
        <v>1</v>
      </c>
      <c r="E697" s="48" t="s">
        <v>406</v>
      </c>
      <c r="F697" s="48" t="s">
        <v>23</v>
      </c>
      <c r="G697" s="49" t="s">
        <v>79</v>
      </c>
      <c r="H697" s="17">
        <v>125</v>
      </c>
      <c r="I697" s="52">
        <v>125</v>
      </c>
      <c r="J697" s="10">
        <v>125</v>
      </c>
      <c r="K697" s="55"/>
      <c r="L697" s="57">
        <v>0</v>
      </c>
      <c r="M697" s="50">
        <v>0</v>
      </c>
      <c r="N697" s="62"/>
      <c r="O697" s="50"/>
      <c r="P697" s="52" t="s">
        <v>20</v>
      </c>
    </row>
    <row r="698" spans="1:16" ht="15.75" customHeight="1" outlineLevel="1">
      <c r="A698" s="28">
        <v>11</v>
      </c>
      <c r="B698" s="32">
        <v>45603</v>
      </c>
      <c r="C698" s="36" t="s">
        <v>387</v>
      </c>
      <c r="D698" s="43">
        <v>1</v>
      </c>
      <c r="E698" s="48" t="s">
        <v>26</v>
      </c>
      <c r="F698" s="48" t="s">
        <v>23</v>
      </c>
      <c r="G698" s="49">
        <v>17</v>
      </c>
      <c r="H698" s="10">
        <v>17</v>
      </c>
      <c r="I698" s="52">
        <v>30</v>
      </c>
      <c r="J698" s="10">
        <v>30</v>
      </c>
      <c r="K698" s="55"/>
      <c r="L698" s="57">
        <v>0.43333333333333335</v>
      </c>
      <c r="M698" s="50">
        <v>13</v>
      </c>
      <c r="N698" s="61"/>
      <c r="O698" s="50"/>
      <c r="P698" s="52" t="s">
        <v>20</v>
      </c>
    </row>
    <row r="699" spans="1:16" ht="15.75" customHeight="1" outlineLevel="1">
      <c r="A699" s="28">
        <v>11</v>
      </c>
      <c r="B699" s="32">
        <v>45604</v>
      </c>
      <c r="C699" s="36" t="s">
        <v>387</v>
      </c>
      <c r="D699" s="43">
        <v>1</v>
      </c>
      <c r="E699" s="48" t="s">
        <v>26</v>
      </c>
      <c r="F699" s="48" t="s">
        <v>23</v>
      </c>
      <c r="G699" s="49">
        <v>17</v>
      </c>
      <c r="H699" s="10">
        <v>17</v>
      </c>
      <c r="I699" s="52">
        <v>30</v>
      </c>
      <c r="J699" s="10">
        <v>30</v>
      </c>
      <c r="K699" s="55"/>
      <c r="L699" s="57">
        <v>0.43333333333333335</v>
      </c>
      <c r="M699" s="50">
        <v>13</v>
      </c>
      <c r="N699" s="61"/>
      <c r="O699" s="50"/>
      <c r="P699" s="52" t="s">
        <v>20</v>
      </c>
    </row>
    <row r="700" spans="1:16" ht="15.75" customHeight="1" outlineLevel="1">
      <c r="A700" s="28">
        <v>11</v>
      </c>
      <c r="B700" s="32">
        <v>45605</v>
      </c>
      <c r="C700" s="36" t="s">
        <v>274</v>
      </c>
      <c r="D700" s="43">
        <v>1</v>
      </c>
      <c r="E700" s="48" t="s">
        <v>26</v>
      </c>
      <c r="F700" s="48" t="s">
        <v>322</v>
      </c>
      <c r="G700" s="49">
        <v>0</v>
      </c>
      <c r="H700" s="10">
        <v>0</v>
      </c>
      <c r="I700" s="52">
        <v>65</v>
      </c>
      <c r="J700" s="10">
        <v>65</v>
      </c>
      <c r="K700" s="55"/>
      <c r="L700" s="57">
        <v>1</v>
      </c>
      <c r="M700" s="50">
        <v>65</v>
      </c>
      <c r="N700" s="61"/>
      <c r="O700" s="50"/>
      <c r="P700" s="52" t="s">
        <v>20</v>
      </c>
    </row>
    <row r="701" spans="1:16" ht="15.75" customHeight="1" outlineLevel="1">
      <c r="A701" s="28">
        <v>11</v>
      </c>
      <c r="B701" s="32">
        <v>45605</v>
      </c>
      <c r="C701" s="36" t="s">
        <v>323</v>
      </c>
      <c r="D701" s="43">
        <v>1</v>
      </c>
      <c r="E701" s="48" t="s">
        <v>26</v>
      </c>
      <c r="F701" s="48" t="s">
        <v>23</v>
      </c>
      <c r="G701" s="49">
        <v>7.0000000000000007E-2</v>
      </c>
      <c r="H701" s="10">
        <v>7.0000000000000007E-2</v>
      </c>
      <c r="I701" s="52">
        <v>1</v>
      </c>
      <c r="J701" s="10">
        <v>1</v>
      </c>
      <c r="K701" s="55"/>
      <c r="L701" s="57">
        <v>0.92999999999999994</v>
      </c>
      <c r="M701" s="50">
        <v>0.92999999999999994</v>
      </c>
      <c r="N701" s="61"/>
      <c r="O701" s="50"/>
      <c r="P701" s="52" t="s">
        <v>20</v>
      </c>
    </row>
    <row r="702" spans="1:16" ht="15.75" customHeight="1" outlineLevel="1">
      <c r="A702" s="28">
        <v>11</v>
      </c>
      <c r="B702" s="32">
        <v>45605</v>
      </c>
      <c r="C702" s="36" t="s">
        <v>485</v>
      </c>
      <c r="D702" s="43">
        <v>1</v>
      </c>
      <c r="E702" s="48" t="s">
        <v>147</v>
      </c>
      <c r="F702" s="48" t="s">
        <v>23</v>
      </c>
      <c r="G702" s="49">
        <v>7</v>
      </c>
      <c r="H702" s="10">
        <v>7</v>
      </c>
      <c r="I702" s="52">
        <v>15</v>
      </c>
      <c r="J702" s="10">
        <v>15</v>
      </c>
      <c r="K702" s="55"/>
      <c r="L702" s="57">
        <v>0.53333333333333333</v>
      </c>
      <c r="M702" s="50">
        <v>8</v>
      </c>
      <c r="N702" s="61"/>
      <c r="O702" s="50"/>
      <c r="P702" s="52" t="s">
        <v>20</v>
      </c>
    </row>
    <row r="703" spans="1:16" ht="15.75" customHeight="1" outlineLevel="1">
      <c r="A703" s="28">
        <v>11</v>
      </c>
      <c r="B703" s="32">
        <v>45605</v>
      </c>
      <c r="C703" s="36" t="s">
        <v>274</v>
      </c>
      <c r="D703" s="43">
        <v>1</v>
      </c>
      <c r="E703" s="48" t="s">
        <v>438</v>
      </c>
      <c r="F703" s="48" t="s">
        <v>23</v>
      </c>
      <c r="G703" s="49">
        <v>0</v>
      </c>
      <c r="H703" s="10">
        <v>0</v>
      </c>
      <c r="I703" s="52">
        <v>30</v>
      </c>
      <c r="J703" s="10">
        <v>30</v>
      </c>
      <c r="K703" s="55"/>
      <c r="L703" s="57">
        <v>1</v>
      </c>
      <c r="M703" s="50">
        <v>30</v>
      </c>
      <c r="N703" s="61"/>
      <c r="O703" s="50"/>
      <c r="P703" s="52" t="s">
        <v>20</v>
      </c>
    </row>
    <row r="704" spans="1:16" ht="15.75" customHeight="1" outlineLevel="1">
      <c r="A704" s="28">
        <v>11</v>
      </c>
      <c r="B704" s="32">
        <v>45605</v>
      </c>
      <c r="C704" s="36" t="s">
        <v>486</v>
      </c>
      <c r="D704" s="43">
        <v>1</v>
      </c>
      <c r="E704" s="48" t="s">
        <v>26</v>
      </c>
      <c r="F704" s="48" t="s">
        <v>23</v>
      </c>
      <c r="G704" s="49">
        <v>4.5</v>
      </c>
      <c r="H704" s="10">
        <v>4.5</v>
      </c>
      <c r="I704" s="52">
        <v>10</v>
      </c>
      <c r="J704" s="10">
        <v>10</v>
      </c>
      <c r="K704" s="55"/>
      <c r="L704" s="57">
        <v>0.55000000000000004</v>
      </c>
      <c r="M704" s="50">
        <v>5.5</v>
      </c>
      <c r="N704" s="61"/>
      <c r="O704" s="50"/>
      <c r="P704" s="52" t="s">
        <v>20</v>
      </c>
    </row>
    <row r="705" spans="1:16" ht="15.75" customHeight="1" outlineLevel="1">
      <c r="A705" s="28">
        <v>11</v>
      </c>
      <c r="B705" s="32">
        <v>45607</v>
      </c>
      <c r="C705" s="36" t="s">
        <v>323</v>
      </c>
      <c r="D705" s="43">
        <v>1</v>
      </c>
      <c r="E705" s="48" t="s">
        <v>395</v>
      </c>
      <c r="F705" s="48" t="s">
        <v>23</v>
      </c>
      <c r="G705" s="49">
        <v>7.0000000000000007E-2</v>
      </c>
      <c r="H705" s="10">
        <v>7.0000000000000007E-2</v>
      </c>
      <c r="I705" s="52">
        <v>1</v>
      </c>
      <c r="J705" s="10">
        <v>1</v>
      </c>
      <c r="K705" s="55"/>
      <c r="L705" s="57">
        <v>0.92999999999999994</v>
      </c>
      <c r="M705" s="50">
        <v>0.92999999999999994</v>
      </c>
      <c r="N705" s="61"/>
      <c r="O705" s="50"/>
      <c r="P705" s="52" t="s">
        <v>20</v>
      </c>
    </row>
    <row r="706" spans="1:16" ht="15.75" customHeight="1" outlineLevel="1">
      <c r="A706" s="28">
        <v>11</v>
      </c>
      <c r="B706" s="32">
        <v>45607</v>
      </c>
      <c r="C706" s="36" t="s">
        <v>486</v>
      </c>
      <c r="D706" s="43">
        <v>1</v>
      </c>
      <c r="E706" s="48" t="s">
        <v>487</v>
      </c>
      <c r="F706" s="48" t="s">
        <v>23</v>
      </c>
      <c r="G706" s="49">
        <v>4.5</v>
      </c>
      <c r="H706" s="10">
        <v>4.5</v>
      </c>
      <c r="I706" s="52">
        <v>10</v>
      </c>
      <c r="J706" s="10">
        <v>10</v>
      </c>
      <c r="K706" s="55"/>
      <c r="L706" s="57">
        <v>0.55000000000000004</v>
      </c>
      <c r="M706" s="50">
        <v>5.5</v>
      </c>
      <c r="N706" s="61"/>
      <c r="O706" s="50"/>
      <c r="P706" s="52" t="s">
        <v>20</v>
      </c>
    </row>
    <row r="707" spans="1:16" ht="15.75" customHeight="1" outlineLevel="1">
      <c r="A707" s="28">
        <v>11</v>
      </c>
      <c r="B707" s="32">
        <v>45607</v>
      </c>
      <c r="C707" s="36" t="s">
        <v>488</v>
      </c>
      <c r="D707" s="43">
        <v>1</v>
      </c>
      <c r="E707" s="48" t="s">
        <v>487</v>
      </c>
      <c r="F707" s="48" t="s">
        <v>23</v>
      </c>
      <c r="G707" s="49">
        <v>6</v>
      </c>
      <c r="H707" s="10">
        <v>6</v>
      </c>
      <c r="I707" s="52">
        <v>25</v>
      </c>
      <c r="J707" s="10">
        <v>25</v>
      </c>
      <c r="K707" s="55"/>
      <c r="L707" s="57">
        <v>0.76</v>
      </c>
      <c r="M707" s="50">
        <v>19</v>
      </c>
      <c r="N707" s="61"/>
      <c r="O707" s="50"/>
      <c r="P707" s="52" t="s">
        <v>20</v>
      </c>
    </row>
    <row r="708" spans="1:16" ht="15.75" customHeight="1" outlineLevel="1">
      <c r="A708" s="28">
        <v>11</v>
      </c>
      <c r="B708" s="32">
        <v>45608</v>
      </c>
      <c r="C708" s="36" t="s">
        <v>259</v>
      </c>
      <c r="D708" s="43">
        <v>2</v>
      </c>
      <c r="E708" s="48" t="s">
        <v>301</v>
      </c>
      <c r="F708" s="48" t="s">
        <v>23</v>
      </c>
      <c r="G708" s="49">
        <v>6</v>
      </c>
      <c r="H708" s="10">
        <v>12</v>
      </c>
      <c r="I708" s="52">
        <v>15</v>
      </c>
      <c r="J708" s="10">
        <v>30</v>
      </c>
      <c r="K708" s="55"/>
      <c r="L708" s="57">
        <v>0.6</v>
      </c>
      <c r="M708" s="50">
        <v>18</v>
      </c>
      <c r="N708" s="61"/>
      <c r="O708" s="50"/>
      <c r="P708" s="52" t="s">
        <v>20</v>
      </c>
    </row>
    <row r="709" spans="1:16" ht="15.75" customHeight="1" outlineLevel="1">
      <c r="A709" s="28">
        <v>11</v>
      </c>
      <c r="B709" s="32">
        <v>45608</v>
      </c>
      <c r="C709" s="36" t="s">
        <v>489</v>
      </c>
      <c r="D709" s="43">
        <v>2</v>
      </c>
      <c r="E709" s="48" t="s">
        <v>301</v>
      </c>
      <c r="F709" s="48" t="s">
        <v>23</v>
      </c>
      <c r="G709" s="49">
        <v>7</v>
      </c>
      <c r="H709" s="10">
        <v>14</v>
      </c>
      <c r="I709" s="52">
        <v>15</v>
      </c>
      <c r="J709" s="10">
        <v>30</v>
      </c>
      <c r="K709" s="55"/>
      <c r="L709" s="57">
        <v>0.53333333333333333</v>
      </c>
      <c r="M709" s="50">
        <v>16</v>
      </c>
      <c r="N709" s="61"/>
      <c r="O709" s="50"/>
      <c r="P709" s="52" t="s">
        <v>20</v>
      </c>
    </row>
    <row r="710" spans="1:16" ht="15.75" customHeight="1" outlineLevel="1">
      <c r="A710" s="28">
        <v>11</v>
      </c>
      <c r="B710" s="32">
        <v>45608</v>
      </c>
      <c r="C710" s="36" t="s">
        <v>274</v>
      </c>
      <c r="D710" s="43">
        <v>1</v>
      </c>
      <c r="E710" s="48" t="s">
        <v>26</v>
      </c>
      <c r="F710" s="48" t="s">
        <v>23</v>
      </c>
      <c r="G710" s="49">
        <v>0</v>
      </c>
      <c r="H710" s="10">
        <v>0</v>
      </c>
      <c r="I710" s="52">
        <v>80</v>
      </c>
      <c r="J710" s="10">
        <v>80</v>
      </c>
      <c r="K710" s="55"/>
      <c r="L710" s="57">
        <v>1</v>
      </c>
      <c r="M710" s="50">
        <v>80</v>
      </c>
      <c r="N710" s="61"/>
      <c r="O710" s="50"/>
      <c r="P710" s="52" t="s">
        <v>20</v>
      </c>
    </row>
    <row r="711" spans="1:16" ht="15.75" customHeight="1" outlineLevel="1">
      <c r="A711" s="28">
        <v>11</v>
      </c>
      <c r="B711" s="32">
        <v>45608</v>
      </c>
      <c r="C711" s="36" t="s">
        <v>408</v>
      </c>
      <c r="D711" s="43">
        <v>1</v>
      </c>
      <c r="E711" s="48" t="s">
        <v>26</v>
      </c>
      <c r="F711" s="48" t="s">
        <v>23</v>
      </c>
      <c r="G711" s="49">
        <v>11</v>
      </c>
      <c r="H711" s="10">
        <v>11</v>
      </c>
      <c r="I711" s="52">
        <v>40</v>
      </c>
      <c r="J711" s="10">
        <v>40</v>
      </c>
      <c r="K711" s="55"/>
      <c r="L711" s="57">
        <v>0.72499999999999998</v>
      </c>
      <c r="M711" s="50">
        <v>29</v>
      </c>
      <c r="N711" s="61"/>
      <c r="O711" s="50"/>
      <c r="P711" s="52" t="s">
        <v>20</v>
      </c>
    </row>
    <row r="712" spans="1:16" ht="15.75" customHeight="1" outlineLevel="1">
      <c r="A712" s="28">
        <v>11</v>
      </c>
      <c r="B712" s="32">
        <v>45608</v>
      </c>
      <c r="C712" s="36" t="s">
        <v>490</v>
      </c>
      <c r="D712" s="43">
        <v>2</v>
      </c>
      <c r="E712" s="48" t="s">
        <v>58</v>
      </c>
      <c r="F712" s="48" t="s">
        <v>23</v>
      </c>
      <c r="G712" s="49">
        <v>0.125</v>
      </c>
      <c r="H712" s="10">
        <v>0.25</v>
      </c>
      <c r="I712" s="52">
        <v>0.25</v>
      </c>
      <c r="J712" s="10">
        <v>0.5</v>
      </c>
      <c r="K712" s="55"/>
      <c r="L712" s="57">
        <v>0.5</v>
      </c>
      <c r="M712" s="50">
        <v>0.25</v>
      </c>
      <c r="N712" s="61"/>
      <c r="O712" s="50"/>
      <c r="P712" s="52" t="s">
        <v>20</v>
      </c>
    </row>
    <row r="713" spans="1:16" ht="15.75" customHeight="1" outlineLevel="1">
      <c r="A713" s="28">
        <v>11</v>
      </c>
      <c r="B713" s="32">
        <v>45608</v>
      </c>
      <c r="C713" s="36" t="s">
        <v>387</v>
      </c>
      <c r="D713" s="43">
        <v>1</v>
      </c>
      <c r="E713" s="48" t="s">
        <v>26</v>
      </c>
      <c r="F713" s="48" t="s">
        <v>23</v>
      </c>
      <c r="G713" s="49">
        <v>17</v>
      </c>
      <c r="H713" s="10">
        <v>17</v>
      </c>
      <c r="I713" s="52">
        <v>30</v>
      </c>
      <c r="J713" s="10">
        <v>30</v>
      </c>
      <c r="K713" s="55"/>
      <c r="L713" s="57">
        <v>0.43333333333333335</v>
      </c>
      <c r="M713" s="50">
        <v>13</v>
      </c>
      <c r="N713" s="61"/>
      <c r="O713" s="50"/>
      <c r="P713" s="52" t="s">
        <v>20</v>
      </c>
    </row>
    <row r="714" spans="1:16" ht="15.75" customHeight="1" outlineLevel="1">
      <c r="A714" s="28">
        <v>11</v>
      </c>
      <c r="B714" s="32">
        <v>45609</v>
      </c>
      <c r="C714" s="36" t="s">
        <v>156</v>
      </c>
      <c r="D714" s="43">
        <v>1</v>
      </c>
      <c r="E714" s="48" t="s">
        <v>491</v>
      </c>
      <c r="F714" s="48" t="s">
        <v>23</v>
      </c>
      <c r="G714" s="49">
        <v>40</v>
      </c>
      <c r="H714" s="10">
        <v>40</v>
      </c>
      <c r="I714" s="52">
        <v>80</v>
      </c>
      <c r="J714" s="10">
        <v>80</v>
      </c>
      <c r="K714" s="55"/>
      <c r="L714" s="57">
        <v>0.5</v>
      </c>
      <c r="M714" s="50">
        <v>40</v>
      </c>
      <c r="N714" s="61"/>
      <c r="O714" s="50"/>
      <c r="P714" s="52" t="s">
        <v>20</v>
      </c>
    </row>
    <row r="715" spans="1:16" ht="15.75" customHeight="1" outlineLevel="1">
      <c r="A715" s="28">
        <v>11</v>
      </c>
      <c r="B715" s="32">
        <v>45610</v>
      </c>
      <c r="C715" s="36" t="s">
        <v>323</v>
      </c>
      <c r="D715" s="43">
        <v>1</v>
      </c>
      <c r="E715" s="48" t="s">
        <v>26</v>
      </c>
      <c r="F715" s="48" t="s">
        <v>23</v>
      </c>
      <c r="G715" s="49">
        <v>7.0000000000000007E-2</v>
      </c>
      <c r="H715" s="10">
        <v>7.0000000000000007E-2</v>
      </c>
      <c r="I715" s="52">
        <v>1</v>
      </c>
      <c r="J715" s="10">
        <v>1</v>
      </c>
      <c r="K715" s="55"/>
      <c r="L715" s="57">
        <v>0.92999999999999994</v>
      </c>
      <c r="M715" s="50">
        <v>0.92999999999999994</v>
      </c>
      <c r="N715" s="61"/>
      <c r="O715" s="50"/>
      <c r="P715" s="52" t="s">
        <v>20</v>
      </c>
    </row>
    <row r="716" spans="1:16" ht="15.75" customHeight="1" outlineLevel="1">
      <c r="A716" s="28">
        <v>11</v>
      </c>
      <c r="B716" s="32">
        <v>45610</v>
      </c>
      <c r="C716" s="36" t="s">
        <v>223</v>
      </c>
      <c r="D716" s="43">
        <v>1</v>
      </c>
      <c r="E716" s="48" t="s">
        <v>471</v>
      </c>
      <c r="F716" s="48" t="s">
        <v>23</v>
      </c>
      <c r="G716" s="49">
        <v>0</v>
      </c>
      <c r="H716" s="10">
        <v>0</v>
      </c>
      <c r="I716" s="52">
        <v>70</v>
      </c>
      <c r="J716" s="10">
        <v>70</v>
      </c>
      <c r="K716" s="55"/>
      <c r="L716" s="57">
        <v>1</v>
      </c>
      <c r="M716" s="50">
        <v>70</v>
      </c>
      <c r="N716" s="61"/>
      <c r="O716" s="50"/>
      <c r="P716" s="52" t="s">
        <v>20</v>
      </c>
    </row>
    <row r="717" spans="1:16" ht="15.75" customHeight="1" outlineLevel="1">
      <c r="A717" s="28">
        <v>11</v>
      </c>
      <c r="B717" s="32">
        <v>45610</v>
      </c>
      <c r="C717" s="36" t="s">
        <v>274</v>
      </c>
      <c r="D717" s="43">
        <v>1</v>
      </c>
      <c r="E717" s="48" t="s">
        <v>471</v>
      </c>
      <c r="F717" s="48" t="s">
        <v>23</v>
      </c>
      <c r="G717" s="49">
        <v>0</v>
      </c>
      <c r="H717" s="10">
        <v>0</v>
      </c>
      <c r="I717" s="52">
        <v>70</v>
      </c>
      <c r="J717" s="10">
        <v>70</v>
      </c>
      <c r="K717" s="55"/>
      <c r="L717" s="57">
        <v>1</v>
      </c>
      <c r="M717" s="50">
        <v>70</v>
      </c>
      <c r="N717" s="61"/>
      <c r="O717" s="50"/>
      <c r="P717" s="52" t="s">
        <v>20</v>
      </c>
    </row>
    <row r="718" spans="1:16" ht="15.75" customHeight="1" outlineLevel="1">
      <c r="A718" s="28">
        <v>11</v>
      </c>
      <c r="B718" s="32">
        <v>45610</v>
      </c>
      <c r="C718" s="36" t="s">
        <v>449</v>
      </c>
      <c r="D718" s="43">
        <v>1</v>
      </c>
      <c r="E718" s="48" t="s">
        <v>438</v>
      </c>
      <c r="F718" s="48" t="s">
        <v>23</v>
      </c>
      <c r="G718" s="49" t="s">
        <v>79</v>
      </c>
      <c r="H718" s="10">
        <v>0</v>
      </c>
      <c r="I718" s="52">
        <v>5</v>
      </c>
      <c r="J718" s="10">
        <v>5</v>
      </c>
      <c r="K718" s="55"/>
      <c r="L718" s="57">
        <v>1</v>
      </c>
      <c r="M718" s="50">
        <v>5</v>
      </c>
      <c r="N718" s="61"/>
      <c r="O718" s="50"/>
      <c r="P718" s="52" t="s">
        <v>20</v>
      </c>
    </row>
    <row r="719" spans="1:16" ht="15.75" customHeight="1" outlineLevel="1">
      <c r="A719" s="28">
        <v>11</v>
      </c>
      <c r="B719" s="32">
        <v>45610</v>
      </c>
      <c r="C719" s="36" t="s">
        <v>492</v>
      </c>
      <c r="D719" s="43">
        <v>1</v>
      </c>
      <c r="E719" s="48" t="s">
        <v>493</v>
      </c>
      <c r="F719" s="48" t="s">
        <v>23</v>
      </c>
      <c r="G719" s="49">
        <v>10</v>
      </c>
      <c r="H719" s="10">
        <v>10</v>
      </c>
      <c r="I719" s="52">
        <v>20</v>
      </c>
      <c r="J719" s="10">
        <v>20</v>
      </c>
      <c r="K719" s="55"/>
      <c r="L719" s="57">
        <v>0.5</v>
      </c>
      <c r="M719" s="50">
        <v>10</v>
      </c>
      <c r="N719" s="61"/>
      <c r="O719" s="50"/>
      <c r="P719" s="52" t="s">
        <v>20</v>
      </c>
    </row>
    <row r="720" spans="1:16" ht="15.75" customHeight="1" outlineLevel="1">
      <c r="A720" s="28">
        <v>11</v>
      </c>
      <c r="B720" s="32">
        <v>45610</v>
      </c>
      <c r="C720" s="36" t="s">
        <v>490</v>
      </c>
      <c r="D720" s="43">
        <v>2</v>
      </c>
      <c r="E720" s="48" t="s">
        <v>58</v>
      </c>
      <c r="F720" s="48" t="s">
        <v>23</v>
      </c>
      <c r="G720" s="49">
        <v>0.125</v>
      </c>
      <c r="H720" s="10">
        <v>0.25</v>
      </c>
      <c r="I720" s="52">
        <v>0.25</v>
      </c>
      <c r="J720" s="10">
        <v>0.5</v>
      </c>
      <c r="K720" s="55"/>
      <c r="L720" s="57">
        <v>0.5</v>
      </c>
      <c r="M720" s="50">
        <v>0.25</v>
      </c>
      <c r="N720" s="61"/>
      <c r="O720" s="50"/>
      <c r="P720" s="52" t="s">
        <v>20</v>
      </c>
    </row>
    <row r="721" spans="1:16" ht="15.75" customHeight="1" outlineLevel="1">
      <c r="A721" s="28">
        <v>11</v>
      </c>
      <c r="B721" s="32">
        <v>45610</v>
      </c>
      <c r="C721" s="36" t="s">
        <v>323</v>
      </c>
      <c r="D721" s="43">
        <v>4</v>
      </c>
      <c r="E721" s="48" t="s">
        <v>26</v>
      </c>
      <c r="F721" s="48" t="s">
        <v>23</v>
      </c>
      <c r="G721" s="49">
        <v>7.0000000000000007E-2</v>
      </c>
      <c r="H721" s="10">
        <v>0.28000000000000003</v>
      </c>
      <c r="I721" s="52">
        <v>1</v>
      </c>
      <c r="J721" s="10">
        <v>4</v>
      </c>
      <c r="K721" s="55"/>
      <c r="L721" s="57">
        <v>0.92999999999999994</v>
      </c>
      <c r="M721" s="50">
        <v>3.7199999999999998</v>
      </c>
      <c r="N721" s="61"/>
      <c r="O721" s="50"/>
      <c r="P721" s="52" t="s">
        <v>20</v>
      </c>
    </row>
    <row r="722" spans="1:16" ht="15.75" customHeight="1" outlineLevel="1">
      <c r="A722" s="28">
        <v>11</v>
      </c>
      <c r="B722" s="32">
        <v>45610</v>
      </c>
      <c r="C722" s="36" t="s">
        <v>494</v>
      </c>
      <c r="D722" s="43">
        <v>1</v>
      </c>
      <c r="E722" s="48" t="s">
        <v>495</v>
      </c>
      <c r="F722" s="48" t="s">
        <v>23</v>
      </c>
      <c r="G722" s="49">
        <v>8</v>
      </c>
      <c r="H722" s="10">
        <v>8</v>
      </c>
      <c r="I722" s="52">
        <v>15</v>
      </c>
      <c r="J722" s="10">
        <v>15</v>
      </c>
      <c r="K722" s="55"/>
      <c r="L722" s="57">
        <v>0.46666666666666667</v>
      </c>
      <c r="M722" s="50">
        <v>7</v>
      </c>
      <c r="N722" s="61"/>
      <c r="O722" s="50"/>
      <c r="P722" s="52" t="s">
        <v>20</v>
      </c>
    </row>
    <row r="723" spans="1:16" ht="15.75" customHeight="1" outlineLevel="1">
      <c r="A723" s="28">
        <v>11</v>
      </c>
      <c r="B723" s="32">
        <v>45610</v>
      </c>
      <c r="C723" s="36" t="s">
        <v>496</v>
      </c>
      <c r="D723" s="43">
        <v>2</v>
      </c>
      <c r="E723" s="48" t="s">
        <v>495</v>
      </c>
      <c r="F723" s="48" t="s">
        <v>23</v>
      </c>
      <c r="G723" s="49">
        <v>3.5</v>
      </c>
      <c r="H723" s="10">
        <v>7</v>
      </c>
      <c r="I723" s="52">
        <v>7.5</v>
      </c>
      <c r="J723" s="10">
        <v>15</v>
      </c>
      <c r="K723" s="55"/>
      <c r="L723" s="57">
        <v>0.53333333333333333</v>
      </c>
      <c r="M723" s="50">
        <v>8</v>
      </c>
      <c r="N723" s="61"/>
      <c r="O723" s="50"/>
      <c r="P723" s="52" t="s">
        <v>20</v>
      </c>
    </row>
    <row r="724" spans="1:16" ht="15.75" customHeight="1" outlineLevel="1">
      <c r="A724" s="28">
        <v>11</v>
      </c>
      <c r="B724" s="32">
        <v>45610</v>
      </c>
      <c r="C724" s="36" t="s">
        <v>497</v>
      </c>
      <c r="D724" s="43">
        <v>1</v>
      </c>
      <c r="E724" s="48" t="s">
        <v>307</v>
      </c>
      <c r="F724" s="48" t="s">
        <v>23</v>
      </c>
      <c r="G724" s="49" t="s">
        <v>79</v>
      </c>
      <c r="H724" s="10">
        <v>0</v>
      </c>
      <c r="I724" s="52">
        <v>135</v>
      </c>
      <c r="J724" s="10">
        <v>135</v>
      </c>
      <c r="K724" s="55"/>
      <c r="L724" s="57">
        <v>1</v>
      </c>
      <c r="M724" s="50">
        <v>135</v>
      </c>
      <c r="N724" s="61"/>
      <c r="O724" s="50"/>
      <c r="P724" s="52" t="s">
        <v>20</v>
      </c>
    </row>
    <row r="725" spans="1:16" ht="15.75" customHeight="1" outlineLevel="1">
      <c r="A725" s="28">
        <v>11</v>
      </c>
      <c r="B725" s="32">
        <v>45611</v>
      </c>
      <c r="C725" s="36" t="s">
        <v>498</v>
      </c>
      <c r="D725" s="43">
        <v>1</v>
      </c>
      <c r="E725" s="48" t="s">
        <v>471</v>
      </c>
      <c r="F725" s="48" t="s">
        <v>23</v>
      </c>
      <c r="G725" s="49">
        <v>144</v>
      </c>
      <c r="H725" s="10">
        <v>144</v>
      </c>
      <c r="I725" s="52">
        <v>200</v>
      </c>
      <c r="J725" s="10">
        <v>200</v>
      </c>
      <c r="K725" s="55"/>
      <c r="L725" s="57">
        <v>0.28000000000000003</v>
      </c>
      <c r="M725" s="50">
        <v>56</v>
      </c>
      <c r="N725" s="61"/>
      <c r="O725" s="50"/>
      <c r="P725" s="52" t="s">
        <v>20</v>
      </c>
    </row>
    <row r="726" spans="1:16" ht="15.75" customHeight="1" outlineLevel="1">
      <c r="A726" s="28">
        <v>11</v>
      </c>
      <c r="B726" s="32">
        <v>45611</v>
      </c>
      <c r="C726" s="36" t="s">
        <v>250</v>
      </c>
      <c r="D726" s="43">
        <v>1</v>
      </c>
      <c r="E726" s="48" t="s">
        <v>26</v>
      </c>
      <c r="F726" s="48" t="s">
        <v>23</v>
      </c>
      <c r="G726" s="49">
        <v>23.5</v>
      </c>
      <c r="H726" s="10">
        <v>23.5</v>
      </c>
      <c r="I726" s="52">
        <v>35</v>
      </c>
      <c r="J726" s="10">
        <v>35</v>
      </c>
      <c r="K726" s="55"/>
      <c r="L726" s="57">
        <v>0.32857142857142857</v>
      </c>
      <c r="M726" s="50">
        <v>11.5</v>
      </c>
      <c r="N726" s="61"/>
      <c r="O726" s="50"/>
      <c r="P726" s="52" t="s">
        <v>20</v>
      </c>
    </row>
    <row r="727" spans="1:16" ht="15.75" customHeight="1" outlineLevel="1">
      <c r="A727" s="28">
        <v>11</v>
      </c>
      <c r="B727" s="32">
        <v>45612</v>
      </c>
      <c r="C727" s="36" t="s">
        <v>401</v>
      </c>
      <c r="D727" s="43">
        <v>1</v>
      </c>
      <c r="E727" s="48" t="s">
        <v>26</v>
      </c>
      <c r="F727" s="48" t="s">
        <v>23</v>
      </c>
      <c r="G727" s="49">
        <v>10</v>
      </c>
      <c r="H727" s="10">
        <v>10</v>
      </c>
      <c r="I727" s="52">
        <v>20</v>
      </c>
      <c r="J727" s="10">
        <v>20</v>
      </c>
      <c r="K727" s="55"/>
      <c r="L727" s="57">
        <v>0.5</v>
      </c>
      <c r="M727" s="50">
        <v>10</v>
      </c>
      <c r="N727" s="61"/>
      <c r="O727" s="50"/>
      <c r="P727" s="52" t="s">
        <v>20</v>
      </c>
    </row>
    <row r="728" spans="1:16" ht="15.75" customHeight="1" outlineLevel="1">
      <c r="A728" s="28">
        <v>11</v>
      </c>
      <c r="B728" s="32">
        <v>45612</v>
      </c>
      <c r="C728" s="36" t="s">
        <v>323</v>
      </c>
      <c r="D728" s="43">
        <v>4</v>
      </c>
      <c r="E728" s="48" t="s">
        <v>26</v>
      </c>
      <c r="F728" s="48" t="s">
        <v>23</v>
      </c>
      <c r="G728" s="49">
        <v>7.0000000000000007E-2</v>
      </c>
      <c r="H728" s="10">
        <v>0.28000000000000003</v>
      </c>
      <c r="I728" s="52">
        <v>1</v>
      </c>
      <c r="J728" s="10">
        <v>4</v>
      </c>
      <c r="K728" s="55"/>
      <c r="L728" s="57">
        <v>0.92999999999999994</v>
      </c>
      <c r="M728" s="50">
        <v>3.7199999999999998</v>
      </c>
      <c r="N728" s="61"/>
      <c r="O728" s="50"/>
      <c r="P728" s="52" t="s">
        <v>20</v>
      </c>
    </row>
    <row r="729" spans="1:16" ht="15.75" customHeight="1" outlineLevel="1">
      <c r="A729" s="28">
        <v>11</v>
      </c>
      <c r="B729" s="32">
        <v>45615</v>
      </c>
      <c r="C729" s="36" t="s">
        <v>323</v>
      </c>
      <c r="D729" s="43">
        <v>3</v>
      </c>
      <c r="E729" s="48" t="s">
        <v>58</v>
      </c>
      <c r="F729" s="48" t="s">
        <v>23</v>
      </c>
      <c r="G729" s="49">
        <v>7.0000000000000007E-2</v>
      </c>
      <c r="H729" s="10">
        <v>0.21000000000000002</v>
      </c>
      <c r="I729" s="52">
        <v>1</v>
      </c>
      <c r="J729" s="10">
        <v>3</v>
      </c>
      <c r="K729" s="55"/>
      <c r="L729" s="57">
        <v>0.93</v>
      </c>
      <c r="M729" s="50">
        <v>2.79</v>
      </c>
      <c r="N729" s="61"/>
      <c r="O729" s="50"/>
      <c r="P729" s="52" t="s">
        <v>20</v>
      </c>
    </row>
    <row r="730" spans="1:16" ht="15.75" customHeight="1" outlineLevel="1">
      <c r="A730" s="28">
        <v>11</v>
      </c>
      <c r="B730" s="32">
        <v>45615</v>
      </c>
      <c r="C730" s="36" t="s">
        <v>274</v>
      </c>
      <c r="D730" s="43">
        <v>2</v>
      </c>
      <c r="E730" s="48" t="s">
        <v>26</v>
      </c>
      <c r="F730" s="48" t="s">
        <v>23</v>
      </c>
      <c r="G730" s="49">
        <v>0</v>
      </c>
      <c r="H730" s="10">
        <v>0</v>
      </c>
      <c r="I730" s="52">
        <v>5</v>
      </c>
      <c r="J730" s="10">
        <v>10</v>
      </c>
      <c r="K730" s="55"/>
      <c r="L730" s="57">
        <v>1</v>
      </c>
      <c r="M730" s="50">
        <v>10</v>
      </c>
      <c r="N730" s="61"/>
      <c r="O730" s="50"/>
      <c r="P730" s="52" t="s">
        <v>20</v>
      </c>
    </row>
    <row r="731" spans="1:16" ht="15.75" customHeight="1" outlineLevel="1">
      <c r="A731" s="28">
        <v>11</v>
      </c>
      <c r="B731" s="32">
        <v>45615</v>
      </c>
      <c r="C731" s="36" t="s">
        <v>323</v>
      </c>
      <c r="D731" s="43">
        <v>12</v>
      </c>
      <c r="E731" s="48" t="s">
        <v>499</v>
      </c>
      <c r="F731" s="48" t="s">
        <v>23</v>
      </c>
      <c r="G731" s="49">
        <v>7.0000000000000007E-2</v>
      </c>
      <c r="H731" s="10">
        <v>0.84000000000000008</v>
      </c>
      <c r="I731" s="52">
        <v>1</v>
      </c>
      <c r="J731" s="10">
        <v>12</v>
      </c>
      <c r="K731" s="55"/>
      <c r="L731" s="57">
        <v>0.93</v>
      </c>
      <c r="M731" s="50">
        <v>11.16</v>
      </c>
      <c r="N731" s="61"/>
      <c r="O731" s="50"/>
      <c r="P731" s="52" t="s">
        <v>20</v>
      </c>
    </row>
    <row r="732" spans="1:16" ht="15.75" customHeight="1" outlineLevel="1">
      <c r="A732" s="28">
        <v>11</v>
      </c>
      <c r="B732" s="32">
        <v>45615</v>
      </c>
      <c r="C732" s="36" t="s">
        <v>271</v>
      </c>
      <c r="D732" s="43">
        <v>1</v>
      </c>
      <c r="E732" s="48" t="s">
        <v>455</v>
      </c>
      <c r="F732" s="48" t="s">
        <v>23</v>
      </c>
      <c r="G732" s="49">
        <v>20</v>
      </c>
      <c r="H732" s="10">
        <v>20</v>
      </c>
      <c r="I732" s="52">
        <v>70</v>
      </c>
      <c r="J732" s="10">
        <v>70</v>
      </c>
      <c r="K732" s="55"/>
      <c r="L732" s="57">
        <v>0.7142857142857143</v>
      </c>
      <c r="M732" s="50">
        <v>50</v>
      </c>
      <c r="N732" s="61"/>
      <c r="O732" s="50"/>
      <c r="P732" s="52" t="s">
        <v>20</v>
      </c>
    </row>
    <row r="733" spans="1:16" ht="15.75" customHeight="1" outlineLevel="1">
      <c r="A733" s="28">
        <v>11</v>
      </c>
      <c r="B733" s="32">
        <v>45616</v>
      </c>
      <c r="C733" s="36" t="s">
        <v>323</v>
      </c>
      <c r="D733" s="43">
        <v>5</v>
      </c>
      <c r="E733" s="48" t="s">
        <v>26</v>
      </c>
      <c r="F733" s="48" t="s">
        <v>23</v>
      </c>
      <c r="G733" s="49">
        <v>7.0000000000000007E-2</v>
      </c>
      <c r="H733" s="10">
        <v>0.35000000000000003</v>
      </c>
      <c r="I733" s="52">
        <v>1</v>
      </c>
      <c r="J733" s="10">
        <v>5</v>
      </c>
      <c r="K733" s="55"/>
      <c r="L733" s="57">
        <v>0.93</v>
      </c>
      <c r="M733" s="50">
        <v>4.6500000000000004</v>
      </c>
      <c r="N733" s="61"/>
      <c r="O733" s="50"/>
      <c r="P733" s="52" t="s">
        <v>20</v>
      </c>
    </row>
    <row r="734" spans="1:16" ht="15.75" customHeight="1" outlineLevel="1">
      <c r="A734" s="28">
        <v>11</v>
      </c>
      <c r="B734" s="32">
        <v>45617</v>
      </c>
      <c r="C734" s="36" t="s">
        <v>387</v>
      </c>
      <c r="D734" s="43">
        <v>1</v>
      </c>
      <c r="E734" s="48" t="s">
        <v>26</v>
      </c>
      <c r="F734" s="48" t="s">
        <v>23</v>
      </c>
      <c r="G734" s="49">
        <v>17</v>
      </c>
      <c r="H734" s="10">
        <v>17</v>
      </c>
      <c r="I734" s="52">
        <v>30</v>
      </c>
      <c r="J734" s="10">
        <v>30</v>
      </c>
      <c r="K734" s="55"/>
      <c r="L734" s="57">
        <v>0.43333333333333335</v>
      </c>
      <c r="M734" s="50">
        <v>13</v>
      </c>
      <c r="N734" s="61"/>
      <c r="O734" s="50"/>
      <c r="P734" s="52" t="s">
        <v>20</v>
      </c>
    </row>
    <row r="735" spans="1:16" ht="15.75" customHeight="1" outlineLevel="1">
      <c r="A735" s="28">
        <v>11</v>
      </c>
      <c r="B735" s="32">
        <v>45617</v>
      </c>
      <c r="C735" s="36" t="s">
        <v>323</v>
      </c>
      <c r="D735" s="43">
        <v>3</v>
      </c>
      <c r="E735" s="48" t="s">
        <v>26</v>
      </c>
      <c r="F735" s="48" t="s">
        <v>23</v>
      </c>
      <c r="G735" s="49">
        <v>7.0000000000000007E-2</v>
      </c>
      <c r="H735" s="10">
        <v>0.21000000000000002</v>
      </c>
      <c r="I735" s="52">
        <v>1</v>
      </c>
      <c r="J735" s="10">
        <v>3</v>
      </c>
      <c r="K735" s="55"/>
      <c r="L735" s="57">
        <v>0.93</v>
      </c>
      <c r="M735" s="50">
        <v>2.79</v>
      </c>
      <c r="N735" s="61"/>
      <c r="O735" s="50"/>
      <c r="P735" s="52" t="s">
        <v>20</v>
      </c>
    </row>
    <row r="736" spans="1:16" ht="15.75" customHeight="1" outlineLevel="1">
      <c r="A736" s="28">
        <v>11</v>
      </c>
      <c r="B736" s="32">
        <v>45618</v>
      </c>
      <c r="C736" s="36" t="s">
        <v>274</v>
      </c>
      <c r="D736" s="43">
        <v>1</v>
      </c>
      <c r="E736" s="48" t="s">
        <v>26</v>
      </c>
      <c r="F736" s="48" t="s">
        <v>23</v>
      </c>
      <c r="G736" s="49">
        <v>0</v>
      </c>
      <c r="H736" s="10">
        <v>0</v>
      </c>
      <c r="I736" s="52">
        <v>10</v>
      </c>
      <c r="J736" s="10">
        <v>10</v>
      </c>
      <c r="K736" s="55"/>
      <c r="L736" s="57">
        <v>1</v>
      </c>
      <c r="M736" s="50">
        <v>10</v>
      </c>
      <c r="N736" s="61"/>
      <c r="O736" s="50"/>
      <c r="P736" s="52" t="s">
        <v>20</v>
      </c>
    </row>
    <row r="737" spans="1:16" ht="15.75" customHeight="1" outlineLevel="1">
      <c r="A737" s="28">
        <v>11</v>
      </c>
      <c r="B737" s="32">
        <v>45618</v>
      </c>
      <c r="C737" s="36" t="s">
        <v>274</v>
      </c>
      <c r="D737" s="43">
        <v>1</v>
      </c>
      <c r="E737" s="48" t="s">
        <v>438</v>
      </c>
      <c r="F737" s="48" t="s">
        <v>23</v>
      </c>
      <c r="G737" s="49">
        <v>0</v>
      </c>
      <c r="H737" s="10">
        <v>0</v>
      </c>
      <c r="I737" s="52">
        <v>40</v>
      </c>
      <c r="J737" s="10">
        <v>40</v>
      </c>
      <c r="K737" s="55"/>
      <c r="L737" s="57">
        <v>1</v>
      </c>
      <c r="M737" s="50">
        <v>40</v>
      </c>
      <c r="N737" s="61"/>
      <c r="O737" s="50"/>
      <c r="P737" s="52" t="s">
        <v>20</v>
      </c>
    </row>
    <row r="738" spans="1:16" ht="15.75" customHeight="1" outlineLevel="1">
      <c r="A738" s="28">
        <v>11</v>
      </c>
      <c r="B738" s="32">
        <v>45618</v>
      </c>
      <c r="C738" s="36" t="s">
        <v>274</v>
      </c>
      <c r="D738" s="43">
        <v>1</v>
      </c>
      <c r="E738" s="48" t="s">
        <v>307</v>
      </c>
      <c r="F738" s="48" t="s">
        <v>23</v>
      </c>
      <c r="G738" s="49">
        <v>0</v>
      </c>
      <c r="H738" s="10">
        <v>0</v>
      </c>
      <c r="I738" s="52">
        <v>72</v>
      </c>
      <c r="J738" s="10">
        <v>72</v>
      </c>
      <c r="K738" s="55"/>
      <c r="L738" s="57">
        <v>1</v>
      </c>
      <c r="M738" s="50">
        <v>72</v>
      </c>
      <c r="N738" s="61"/>
      <c r="O738" s="50"/>
      <c r="P738" s="52" t="s">
        <v>20</v>
      </c>
    </row>
    <row r="739" spans="1:16" ht="15.75" customHeight="1" outlineLevel="1">
      <c r="A739" s="28">
        <v>11</v>
      </c>
      <c r="B739" s="32">
        <v>45618</v>
      </c>
      <c r="C739" s="36" t="s">
        <v>321</v>
      </c>
      <c r="D739" s="43">
        <v>1</v>
      </c>
      <c r="E739" s="48" t="s">
        <v>26</v>
      </c>
      <c r="F739" s="48" t="s">
        <v>23</v>
      </c>
      <c r="G739" s="49">
        <v>3</v>
      </c>
      <c r="H739" s="10">
        <v>3</v>
      </c>
      <c r="I739" s="52">
        <v>15</v>
      </c>
      <c r="J739" s="10">
        <v>15</v>
      </c>
      <c r="K739" s="55"/>
      <c r="L739" s="57">
        <v>0.8</v>
      </c>
      <c r="M739" s="50">
        <v>12</v>
      </c>
      <c r="N739" s="61"/>
      <c r="O739" s="50"/>
      <c r="P739" s="52" t="s">
        <v>20</v>
      </c>
    </row>
    <row r="740" spans="1:16" ht="15.75" customHeight="1" outlineLevel="1">
      <c r="A740" s="28">
        <v>11</v>
      </c>
      <c r="B740" s="32">
        <v>45618</v>
      </c>
      <c r="C740" s="36" t="s">
        <v>500</v>
      </c>
      <c r="D740" s="43">
        <v>1</v>
      </c>
      <c r="E740" s="48" t="s">
        <v>26</v>
      </c>
      <c r="F740" s="48" t="s">
        <v>23</v>
      </c>
      <c r="G740" s="49" t="s">
        <v>79</v>
      </c>
      <c r="H740" s="10">
        <v>0</v>
      </c>
      <c r="I740" s="52">
        <v>25</v>
      </c>
      <c r="J740" s="10">
        <v>25</v>
      </c>
      <c r="K740" s="55"/>
      <c r="L740" s="57">
        <v>1</v>
      </c>
      <c r="M740" s="50">
        <v>25</v>
      </c>
      <c r="N740" s="61"/>
      <c r="O740" s="50"/>
      <c r="P740" s="52" t="s">
        <v>20</v>
      </c>
    </row>
    <row r="741" spans="1:16" ht="15.75" customHeight="1" outlineLevel="1">
      <c r="A741" s="28">
        <v>11</v>
      </c>
      <c r="B741" s="32">
        <v>45618</v>
      </c>
      <c r="C741" s="36" t="s">
        <v>501</v>
      </c>
      <c r="D741" s="43">
        <v>1</v>
      </c>
      <c r="E741" s="48" t="s">
        <v>58</v>
      </c>
      <c r="F741" s="48" t="s">
        <v>23</v>
      </c>
      <c r="G741" s="49">
        <v>0.8</v>
      </c>
      <c r="H741" s="10">
        <v>0.8</v>
      </c>
      <c r="I741" s="52">
        <v>4</v>
      </c>
      <c r="J741" s="10">
        <v>4</v>
      </c>
      <c r="K741" s="55"/>
      <c r="L741" s="57">
        <v>0.8</v>
      </c>
      <c r="M741" s="50">
        <v>3.2</v>
      </c>
      <c r="N741" s="61"/>
      <c r="O741" s="50"/>
      <c r="P741" s="52" t="s">
        <v>20</v>
      </c>
    </row>
    <row r="742" spans="1:16" ht="15.75" customHeight="1" outlineLevel="1">
      <c r="A742" s="28">
        <v>11</v>
      </c>
      <c r="B742" s="32">
        <v>45619</v>
      </c>
      <c r="C742" s="36" t="s">
        <v>323</v>
      </c>
      <c r="D742" s="43">
        <v>2</v>
      </c>
      <c r="E742" s="48" t="s">
        <v>26</v>
      </c>
      <c r="F742" s="48" t="s">
        <v>23</v>
      </c>
      <c r="G742" s="49">
        <v>7.0000000000000007E-2</v>
      </c>
      <c r="H742" s="10">
        <v>0.14000000000000001</v>
      </c>
      <c r="I742" s="52">
        <v>1</v>
      </c>
      <c r="J742" s="10">
        <v>2</v>
      </c>
      <c r="K742" s="55"/>
      <c r="L742" s="57">
        <v>0.92999999999999994</v>
      </c>
      <c r="M742" s="50">
        <v>1.8599999999999999</v>
      </c>
      <c r="N742" s="61"/>
      <c r="O742" s="50"/>
      <c r="P742" s="52" t="s">
        <v>20</v>
      </c>
    </row>
    <row r="743" spans="1:16" ht="15.75" customHeight="1" outlineLevel="1">
      <c r="A743" s="28">
        <v>11</v>
      </c>
      <c r="B743" s="32">
        <v>45619</v>
      </c>
      <c r="C743" s="36" t="s">
        <v>490</v>
      </c>
      <c r="D743" s="43">
        <v>4</v>
      </c>
      <c r="E743" s="48" t="s">
        <v>502</v>
      </c>
      <c r="F743" s="48" t="s">
        <v>23</v>
      </c>
      <c r="G743" s="49">
        <v>0.125</v>
      </c>
      <c r="H743" s="10">
        <v>0.5</v>
      </c>
      <c r="I743" s="52">
        <v>0.25</v>
      </c>
      <c r="J743" s="10">
        <v>1</v>
      </c>
      <c r="K743" s="55"/>
      <c r="L743" s="57">
        <v>0.5</v>
      </c>
      <c r="M743" s="50">
        <v>0.5</v>
      </c>
      <c r="N743" s="61"/>
      <c r="O743" s="50"/>
      <c r="P743" s="52" t="s">
        <v>20</v>
      </c>
    </row>
    <row r="744" spans="1:16" ht="15.75" customHeight="1" outlineLevel="1">
      <c r="A744" s="28">
        <v>11</v>
      </c>
      <c r="B744" s="32">
        <v>45619</v>
      </c>
      <c r="C744" s="36" t="s">
        <v>490</v>
      </c>
      <c r="D744" s="43">
        <v>2</v>
      </c>
      <c r="E744" s="48" t="s">
        <v>58</v>
      </c>
      <c r="F744" s="48" t="s">
        <v>23</v>
      </c>
      <c r="G744" s="49">
        <v>0.125</v>
      </c>
      <c r="H744" s="10">
        <v>0.25</v>
      </c>
      <c r="I744" s="52">
        <v>0.25</v>
      </c>
      <c r="J744" s="10">
        <v>0.5</v>
      </c>
      <c r="K744" s="55"/>
      <c r="L744" s="57">
        <v>0.5</v>
      </c>
      <c r="M744" s="50">
        <v>0.25</v>
      </c>
      <c r="N744" s="61"/>
      <c r="O744" s="50"/>
      <c r="P744" s="52" t="s">
        <v>20</v>
      </c>
    </row>
    <row r="745" spans="1:16" ht="15.75" customHeight="1" outlineLevel="1">
      <c r="A745" s="28">
        <v>11</v>
      </c>
      <c r="B745" s="32">
        <v>45619</v>
      </c>
      <c r="C745" s="36" t="s">
        <v>490</v>
      </c>
      <c r="D745" s="43">
        <v>8</v>
      </c>
      <c r="E745" s="48" t="s">
        <v>503</v>
      </c>
      <c r="F745" s="48" t="s">
        <v>23</v>
      </c>
      <c r="G745" s="49">
        <v>0.125</v>
      </c>
      <c r="H745" s="10">
        <v>1</v>
      </c>
      <c r="I745" s="52">
        <v>0.25</v>
      </c>
      <c r="J745" s="10">
        <v>2</v>
      </c>
      <c r="K745" s="55"/>
      <c r="L745" s="57">
        <v>0.5</v>
      </c>
      <c r="M745" s="50">
        <v>1</v>
      </c>
      <c r="N745" s="61"/>
      <c r="O745" s="50"/>
      <c r="P745" s="52" t="s">
        <v>20</v>
      </c>
    </row>
    <row r="746" spans="1:16" ht="15.75" customHeight="1" outlineLevel="1">
      <c r="A746" s="28">
        <v>11</v>
      </c>
      <c r="B746" s="32">
        <v>45621</v>
      </c>
      <c r="C746" s="36" t="s">
        <v>387</v>
      </c>
      <c r="D746" s="43">
        <v>1</v>
      </c>
      <c r="E746" s="48" t="s">
        <v>26</v>
      </c>
      <c r="F746" s="48" t="s">
        <v>23</v>
      </c>
      <c r="G746" s="49">
        <v>17</v>
      </c>
      <c r="H746" s="10">
        <v>17</v>
      </c>
      <c r="I746" s="52">
        <v>30</v>
      </c>
      <c r="J746" s="10">
        <v>30</v>
      </c>
      <c r="K746" s="55"/>
      <c r="L746" s="57">
        <v>0.43333333333333335</v>
      </c>
      <c r="M746" s="50">
        <v>13</v>
      </c>
      <c r="N746" s="61"/>
      <c r="O746" s="50"/>
      <c r="P746" s="52" t="s">
        <v>20</v>
      </c>
    </row>
    <row r="747" spans="1:16" ht="15.75" customHeight="1" outlineLevel="1">
      <c r="A747" s="28">
        <v>11</v>
      </c>
      <c r="B747" s="32">
        <v>45621</v>
      </c>
      <c r="C747" s="36" t="s">
        <v>323</v>
      </c>
      <c r="D747" s="43">
        <v>2</v>
      </c>
      <c r="E747" s="48" t="s">
        <v>395</v>
      </c>
      <c r="F747" s="48" t="s">
        <v>23</v>
      </c>
      <c r="G747" s="49">
        <v>7.0000000000000007E-2</v>
      </c>
      <c r="H747" s="10">
        <v>0.14000000000000001</v>
      </c>
      <c r="I747" s="52">
        <v>1</v>
      </c>
      <c r="J747" s="10">
        <v>2</v>
      </c>
      <c r="K747" s="55"/>
      <c r="L747" s="57">
        <v>0.92999999999999994</v>
      </c>
      <c r="M747" s="50">
        <v>1.8599999999999999</v>
      </c>
      <c r="N747" s="61"/>
      <c r="O747" s="50"/>
      <c r="P747" s="52" t="s">
        <v>20</v>
      </c>
    </row>
    <row r="748" spans="1:16" ht="15.75" customHeight="1" outlineLevel="1">
      <c r="A748" s="28">
        <v>11</v>
      </c>
      <c r="B748" s="32">
        <v>45621</v>
      </c>
      <c r="C748" s="36" t="s">
        <v>504</v>
      </c>
      <c r="D748" s="43">
        <v>1</v>
      </c>
      <c r="E748" s="48" t="s">
        <v>342</v>
      </c>
      <c r="F748" s="48" t="s">
        <v>23</v>
      </c>
      <c r="G748" s="49">
        <v>26.49</v>
      </c>
      <c r="H748" s="10">
        <v>26.49</v>
      </c>
      <c r="I748" s="52">
        <v>50</v>
      </c>
      <c r="J748" s="10">
        <v>50</v>
      </c>
      <c r="K748" s="55"/>
      <c r="L748" s="57">
        <v>0.47020000000000001</v>
      </c>
      <c r="M748" s="50">
        <v>23.51</v>
      </c>
      <c r="N748" s="61"/>
      <c r="O748" s="50"/>
      <c r="P748" s="52" t="s">
        <v>20</v>
      </c>
    </row>
    <row r="749" spans="1:16" ht="15.75" customHeight="1" outlineLevel="1">
      <c r="A749" s="28">
        <v>11</v>
      </c>
      <c r="B749" s="32">
        <v>45621</v>
      </c>
      <c r="C749" s="36" t="s">
        <v>505</v>
      </c>
      <c r="D749" s="43">
        <v>6</v>
      </c>
      <c r="E749" s="48" t="s">
        <v>26</v>
      </c>
      <c r="F749" s="48" t="s">
        <v>23</v>
      </c>
      <c r="G749" s="49">
        <v>0.29425000000000001</v>
      </c>
      <c r="H749" s="10">
        <v>1.7655000000000001</v>
      </c>
      <c r="I749" s="52">
        <v>5</v>
      </c>
      <c r="J749" s="10">
        <v>30</v>
      </c>
      <c r="K749" s="55"/>
      <c r="L749" s="57">
        <v>0.94115000000000004</v>
      </c>
      <c r="M749" s="50">
        <v>28.234500000000001</v>
      </c>
      <c r="N749" s="61"/>
      <c r="O749" s="50"/>
      <c r="P749" s="52" t="s">
        <v>20</v>
      </c>
    </row>
    <row r="750" spans="1:16" ht="15.75" customHeight="1" outlineLevel="1">
      <c r="A750" s="28">
        <v>11</v>
      </c>
      <c r="B750" s="32">
        <v>45621</v>
      </c>
      <c r="C750" s="36" t="s">
        <v>401</v>
      </c>
      <c r="D750" s="43">
        <v>1</v>
      </c>
      <c r="E750" s="48" t="s">
        <v>26</v>
      </c>
      <c r="F750" s="48" t="s">
        <v>23</v>
      </c>
      <c r="G750" s="49">
        <v>10</v>
      </c>
      <c r="H750" s="10">
        <v>10</v>
      </c>
      <c r="I750" s="52">
        <v>20</v>
      </c>
      <c r="J750" s="10">
        <v>20</v>
      </c>
      <c r="K750" s="55"/>
      <c r="L750" s="57">
        <v>0.5</v>
      </c>
      <c r="M750" s="50">
        <v>10</v>
      </c>
      <c r="N750" s="61"/>
      <c r="O750" s="50"/>
      <c r="P750" s="52" t="s">
        <v>20</v>
      </c>
    </row>
    <row r="751" spans="1:16" ht="15.75" customHeight="1" outlineLevel="1">
      <c r="A751" s="28">
        <v>11</v>
      </c>
      <c r="B751" s="32">
        <v>45621</v>
      </c>
      <c r="C751" s="36" t="s">
        <v>223</v>
      </c>
      <c r="D751" s="43">
        <v>1</v>
      </c>
      <c r="E751" s="48" t="s">
        <v>406</v>
      </c>
      <c r="F751" s="48" t="s">
        <v>23</v>
      </c>
      <c r="G751" s="49">
        <v>0</v>
      </c>
      <c r="H751" s="10">
        <v>0</v>
      </c>
      <c r="I751" s="52">
        <v>50</v>
      </c>
      <c r="J751" s="10">
        <v>50</v>
      </c>
      <c r="K751" s="55"/>
      <c r="L751" s="57">
        <v>1</v>
      </c>
      <c r="M751" s="50">
        <v>50</v>
      </c>
      <c r="N751" s="62"/>
      <c r="O751" s="50"/>
      <c r="P751" s="52" t="s">
        <v>20</v>
      </c>
    </row>
    <row r="752" spans="1:16" ht="15.75" customHeight="1" outlineLevel="1">
      <c r="A752" s="28">
        <v>11</v>
      </c>
      <c r="B752" s="32">
        <v>45621</v>
      </c>
      <c r="C752" s="36" t="s">
        <v>506</v>
      </c>
      <c r="D752" s="43">
        <v>1</v>
      </c>
      <c r="E752" s="48" t="s">
        <v>406</v>
      </c>
      <c r="F752" s="48" t="s">
        <v>23</v>
      </c>
      <c r="G752" s="49" t="s">
        <v>79</v>
      </c>
      <c r="H752" s="10">
        <v>0</v>
      </c>
      <c r="I752" s="52">
        <v>100</v>
      </c>
      <c r="J752" s="10">
        <v>100</v>
      </c>
      <c r="K752" s="55"/>
      <c r="L752" s="57">
        <v>1</v>
      </c>
      <c r="M752" s="50">
        <v>100</v>
      </c>
      <c r="N752" s="61"/>
      <c r="O752" s="50"/>
      <c r="P752" s="52" t="s">
        <v>20</v>
      </c>
    </row>
    <row r="753" spans="1:16" ht="15.75" customHeight="1" outlineLevel="1">
      <c r="A753" s="28">
        <v>11</v>
      </c>
      <c r="B753" s="32">
        <v>45623</v>
      </c>
      <c r="C753" s="36" t="s">
        <v>274</v>
      </c>
      <c r="D753" s="43">
        <v>1</v>
      </c>
      <c r="E753" s="48" t="s">
        <v>507</v>
      </c>
      <c r="F753" s="48" t="s">
        <v>23</v>
      </c>
      <c r="G753" s="49">
        <v>0</v>
      </c>
      <c r="H753" s="10">
        <v>0</v>
      </c>
      <c r="I753" s="52">
        <v>15</v>
      </c>
      <c r="J753" s="10">
        <v>15</v>
      </c>
      <c r="K753" s="55"/>
      <c r="L753" s="57">
        <v>1</v>
      </c>
      <c r="M753" s="50">
        <v>15</v>
      </c>
      <c r="N753" s="61"/>
      <c r="O753" s="50"/>
      <c r="P753" s="52" t="s">
        <v>20</v>
      </c>
    </row>
    <row r="754" spans="1:16" ht="15.75" customHeight="1" outlineLevel="1">
      <c r="A754" s="28">
        <v>11</v>
      </c>
      <c r="B754" s="32">
        <v>45623</v>
      </c>
      <c r="C754" s="36" t="s">
        <v>375</v>
      </c>
      <c r="D754" s="43">
        <v>1</v>
      </c>
      <c r="E754" s="48" t="s">
        <v>507</v>
      </c>
      <c r="F754" s="48" t="s">
        <v>23</v>
      </c>
      <c r="G754" s="49">
        <v>14</v>
      </c>
      <c r="H754" s="10">
        <v>14</v>
      </c>
      <c r="I754" s="52">
        <v>30</v>
      </c>
      <c r="J754" s="10">
        <v>30</v>
      </c>
      <c r="K754" s="55"/>
      <c r="L754" s="57">
        <v>0.53333333333333333</v>
      </c>
      <c r="M754" s="50">
        <v>16</v>
      </c>
      <c r="N754" s="61"/>
      <c r="O754" s="50"/>
      <c r="P754" s="52" t="s">
        <v>20</v>
      </c>
    </row>
    <row r="755" spans="1:16" ht="15.75" customHeight="1" outlineLevel="1">
      <c r="A755" s="28">
        <v>11</v>
      </c>
      <c r="B755" s="32">
        <v>45624</v>
      </c>
      <c r="C755" s="36" t="s">
        <v>274</v>
      </c>
      <c r="D755" s="43">
        <v>1</v>
      </c>
      <c r="E755" s="48" t="s">
        <v>508</v>
      </c>
      <c r="F755" s="48" t="s">
        <v>23</v>
      </c>
      <c r="G755" s="49">
        <v>0</v>
      </c>
      <c r="H755" s="10">
        <v>0</v>
      </c>
      <c r="I755" s="52">
        <v>250</v>
      </c>
      <c r="J755" s="10">
        <v>250</v>
      </c>
      <c r="K755" s="55"/>
      <c r="L755" s="57">
        <v>1</v>
      </c>
      <c r="M755" s="50">
        <v>250</v>
      </c>
      <c r="N755" s="61"/>
      <c r="O755" s="50"/>
      <c r="P755" s="52" t="s">
        <v>20</v>
      </c>
    </row>
    <row r="756" spans="1:16" ht="15.75" customHeight="1" outlineLevel="1">
      <c r="A756" s="28">
        <v>11</v>
      </c>
      <c r="B756" s="32">
        <v>45624</v>
      </c>
      <c r="C756" s="36" t="s">
        <v>323</v>
      </c>
      <c r="D756" s="43">
        <v>6</v>
      </c>
      <c r="E756" s="48" t="s">
        <v>26</v>
      </c>
      <c r="F756" s="48" t="s">
        <v>23</v>
      </c>
      <c r="G756" s="49">
        <v>7.0000000000000007E-2</v>
      </c>
      <c r="H756" s="10">
        <v>0.42000000000000004</v>
      </c>
      <c r="I756" s="52">
        <v>1</v>
      </c>
      <c r="J756" s="10">
        <v>6</v>
      </c>
      <c r="K756" s="55"/>
      <c r="L756" s="57">
        <v>0.93</v>
      </c>
      <c r="M756" s="50">
        <v>5.58</v>
      </c>
      <c r="N756" s="61"/>
      <c r="O756" s="50"/>
      <c r="P756" s="52" t="s">
        <v>20</v>
      </c>
    </row>
    <row r="757" spans="1:16" ht="15.75" customHeight="1" outlineLevel="1">
      <c r="A757" s="28">
        <v>11</v>
      </c>
      <c r="B757" s="32">
        <v>45624</v>
      </c>
      <c r="C757" s="36" t="s">
        <v>238</v>
      </c>
      <c r="D757" s="43">
        <v>1</v>
      </c>
      <c r="E757" s="48" t="s">
        <v>493</v>
      </c>
      <c r="F757" s="48" t="s">
        <v>23</v>
      </c>
      <c r="G757" s="49">
        <v>7</v>
      </c>
      <c r="H757" s="10">
        <v>7</v>
      </c>
      <c r="I757" s="52">
        <v>20</v>
      </c>
      <c r="J757" s="10">
        <v>20</v>
      </c>
      <c r="K757" s="55"/>
      <c r="L757" s="57">
        <v>0.65</v>
      </c>
      <c r="M757" s="50">
        <v>13</v>
      </c>
      <c r="N757" s="61"/>
      <c r="O757" s="50"/>
      <c r="P757" s="52" t="s">
        <v>20</v>
      </c>
    </row>
    <row r="758" spans="1:16" ht="15.75" customHeight="1" outlineLevel="1">
      <c r="A758" s="28">
        <v>11</v>
      </c>
      <c r="B758" s="32">
        <v>45625</v>
      </c>
      <c r="C758" s="36" t="s">
        <v>274</v>
      </c>
      <c r="D758" s="43">
        <v>1</v>
      </c>
      <c r="E758" s="48" t="s">
        <v>307</v>
      </c>
      <c r="F758" s="48" t="s">
        <v>23</v>
      </c>
      <c r="G758" s="49">
        <v>0</v>
      </c>
      <c r="H758" s="10">
        <v>0</v>
      </c>
      <c r="I758" s="52">
        <v>65</v>
      </c>
      <c r="J758" s="10">
        <v>65</v>
      </c>
      <c r="K758" s="55"/>
      <c r="L758" s="57">
        <v>1</v>
      </c>
      <c r="M758" s="50">
        <v>65</v>
      </c>
      <c r="N758" s="61"/>
      <c r="O758" s="50"/>
      <c r="P758" s="52" t="s">
        <v>20</v>
      </c>
    </row>
    <row r="759" spans="1:16" ht="15.75" customHeight="1" outlineLevel="1">
      <c r="A759" s="28">
        <v>11</v>
      </c>
      <c r="B759" s="32">
        <v>45626</v>
      </c>
      <c r="C759" s="36" t="s">
        <v>509</v>
      </c>
      <c r="D759" s="43">
        <v>1</v>
      </c>
      <c r="E759" s="48" t="s">
        <v>348</v>
      </c>
      <c r="F759" s="48" t="s">
        <v>23</v>
      </c>
      <c r="G759" s="49">
        <v>5.5</v>
      </c>
      <c r="H759" s="10">
        <v>5.5</v>
      </c>
      <c r="I759" s="52">
        <v>10</v>
      </c>
      <c r="J759" s="10">
        <v>10</v>
      </c>
      <c r="K759" s="55"/>
      <c r="L759" s="57">
        <v>0.45</v>
      </c>
      <c r="M759" s="50">
        <v>4.5</v>
      </c>
      <c r="N759" s="61"/>
      <c r="O759" s="50"/>
      <c r="P759" s="52" t="s">
        <v>20</v>
      </c>
    </row>
    <row r="760" spans="1:16" ht="15.75" customHeight="1" outlineLevel="1">
      <c r="A760" s="28">
        <v>11</v>
      </c>
      <c r="B760" s="32">
        <v>45626</v>
      </c>
      <c r="C760" s="36" t="s">
        <v>510</v>
      </c>
      <c r="D760" s="43">
        <v>1</v>
      </c>
      <c r="E760" s="48" t="s">
        <v>348</v>
      </c>
      <c r="F760" s="48" t="s">
        <v>23</v>
      </c>
      <c r="G760" s="49">
        <v>6.5</v>
      </c>
      <c r="H760" s="10">
        <v>6.5</v>
      </c>
      <c r="I760" s="52">
        <v>15</v>
      </c>
      <c r="J760" s="10">
        <v>15</v>
      </c>
      <c r="K760" s="55"/>
      <c r="L760" s="57">
        <v>0.56666666666666665</v>
      </c>
      <c r="M760" s="50">
        <v>8.5</v>
      </c>
      <c r="N760" s="61"/>
      <c r="O760" s="50"/>
      <c r="P760" s="52" t="s">
        <v>20</v>
      </c>
    </row>
    <row r="761" spans="1:16" ht="15.75" customHeight="1" outlineLevel="1">
      <c r="A761" s="28">
        <v>11</v>
      </c>
      <c r="B761" s="32">
        <v>45626</v>
      </c>
      <c r="C761" s="36" t="s">
        <v>496</v>
      </c>
      <c r="D761" s="43">
        <v>1</v>
      </c>
      <c r="E761" s="48" t="s">
        <v>348</v>
      </c>
      <c r="F761" s="48" t="s">
        <v>23</v>
      </c>
      <c r="G761" s="49">
        <v>3.5</v>
      </c>
      <c r="H761" s="10">
        <v>3.5</v>
      </c>
      <c r="I761" s="52">
        <v>5</v>
      </c>
      <c r="J761" s="10">
        <v>5</v>
      </c>
      <c r="K761" s="55"/>
      <c r="L761" s="57">
        <v>0.3</v>
      </c>
      <c r="M761" s="50">
        <v>1.5</v>
      </c>
      <c r="N761" s="61"/>
      <c r="O761" s="50"/>
      <c r="P761" s="52" t="s">
        <v>20</v>
      </c>
    </row>
    <row r="762" spans="1:16" ht="15.75" customHeight="1" outlineLevel="1">
      <c r="A762" s="28">
        <v>11</v>
      </c>
      <c r="B762" s="32">
        <v>45626</v>
      </c>
      <c r="C762" s="36" t="s">
        <v>511</v>
      </c>
      <c r="D762" s="43">
        <v>1</v>
      </c>
      <c r="E762" s="48" t="s">
        <v>348</v>
      </c>
      <c r="F762" s="48" t="s">
        <v>23</v>
      </c>
      <c r="G762" s="49">
        <v>14.135</v>
      </c>
      <c r="H762" s="10">
        <v>14.135</v>
      </c>
      <c r="I762" s="52">
        <v>45</v>
      </c>
      <c r="J762" s="10">
        <v>45</v>
      </c>
      <c r="K762" s="55"/>
      <c r="L762" s="57">
        <v>0.68588888888888888</v>
      </c>
      <c r="M762" s="50">
        <v>30.865000000000002</v>
      </c>
      <c r="N762" s="61"/>
      <c r="O762" s="50"/>
      <c r="P762" s="52" t="s">
        <v>20</v>
      </c>
    </row>
    <row r="763" spans="1:16" ht="15.75" customHeight="1">
      <c r="A763" s="28">
        <v>12</v>
      </c>
      <c r="B763" s="32">
        <v>45628</v>
      </c>
      <c r="C763" s="36" t="s">
        <v>401</v>
      </c>
      <c r="D763" s="43">
        <v>1</v>
      </c>
      <c r="E763" s="48" t="s">
        <v>26</v>
      </c>
      <c r="F763" s="48" t="s">
        <v>23</v>
      </c>
      <c r="G763" s="49">
        <v>10</v>
      </c>
      <c r="H763" s="10">
        <v>10</v>
      </c>
      <c r="I763" s="52">
        <v>20</v>
      </c>
      <c r="J763" s="10">
        <v>20</v>
      </c>
      <c r="K763" s="55"/>
      <c r="L763" s="57">
        <v>0.5</v>
      </c>
      <c r="M763" s="50">
        <v>10</v>
      </c>
      <c r="N763" s="64"/>
      <c r="O763" s="50"/>
      <c r="P763" s="52" t="s">
        <v>20</v>
      </c>
    </row>
    <row r="764" spans="1:16" ht="15.75" customHeight="1" outlineLevel="1">
      <c r="A764" s="28">
        <v>12</v>
      </c>
      <c r="B764" s="32">
        <v>45628</v>
      </c>
      <c r="C764" s="36" t="s">
        <v>512</v>
      </c>
      <c r="D764" s="43">
        <v>1</v>
      </c>
      <c r="E764" s="48" t="s">
        <v>513</v>
      </c>
      <c r="F764" s="48" t="s">
        <v>23</v>
      </c>
      <c r="G764" s="49">
        <v>18</v>
      </c>
      <c r="H764" s="10">
        <v>18</v>
      </c>
      <c r="I764" s="52">
        <v>40</v>
      </c>
      <c r="J764" s="10">
        <v>40</v>
      </c>
      <c r="K764" s="55"/>
      <c r="L764" s="57">
        <v>0.55000000000000004</v>
      </c>
      <c r="M764" s="50">
        <v>22</v>
      </c>
      <c r="N764" s="61"/>
      <c r="O764" s="50"/>
      <c r="P764" s="52" t="s">
        <v>20</v>
      </c>
    </row>
    <row r="765" spans="1:16" ht="15.75" customHeight="1" outlineLevel="1">
      <c r="A765" s="28">
        <v>12</v>
      </c>
      <c r="B765" s="32">
        <v>45628</v>
      </c>
      <c r="C765" s="36" t="s">
        <v>323</v>
      </c>
      <c r="D765" s="43">
        <v>1</v>
      </c>
      <c r="E765" s="48" t="s">
        <v>26</v>
      </c>
      <c r="F765" s="48" t="s">
        <v>23</v>
      </c>
      <c r="G765" s="49">
        <v>7.0000000000000007E-2</v>
      </c>
      <c r="H765" s="10">
        <v>7.0000000000000007E-2</v>
      </c>
      <c r="I765" s="52">
        <v>1</v>
      </c>
      <c r="J765" s="10">
        <v>1</v>
      </c>
      <c r="K765" s="55"/>
      <c r="L765" s="57">
        <v>0.92999999999999994</v>
      </c>
      <c r="M765" s="50">
        <v>0.92999999999999994</v>
      </c>
      <c r="N765" s="61"/>
      <c r="O765" s="50"/>
      <c r="P765" s="52" t="s">
        <v>20</v>
      </c>
    </row>
    <row r="766" spans="1:16" ht="15.75" customHeight="1" outlineLevel="1">
      <c r="A766" s="28">
        <v>12</v>
      </c>
      <c r="B766" s="32">
        <v>45628</v>
      </c>
      <c r="C766" s="36" t="s">
        <v>514</v>
      </c>
      <c r="D766" s="43">
        <v>1</v>
      </c>
      <c r="E766" s="48" t="s">
        <v>26</v>
      </c>
      <c r="F766" s="48" t="s">
        <v>23</v>
      </c>
      <c r="G766" s="49">
        <v>3.5</v>
      </c>
      <c r="H766" s="10">
        <v>3.5</v>
      </c>
      <c r="I766" s="52">
        <v>10</v>
      </c>
      <c r="J766" s="10">
        <v>10</v>
      </c>
      <c r="K766" s="55"/>
      <c r="L766" s="57">
        <v>0.65</v>
      </c>
      <c r="M766" s="50">
        <v>6.5</v>
      </c>
      <c r="N766" s="61"/>
      <c r="O766" s="50"/>
      <c r="P766" s="52" t="s">
        <v>20</v>
      </c>
    </row>
    <row r="767" spans="1:16" ht="15.75" customHeight="1" outlineLevel="1">
      <c r="A767" s="28">
        <v>12</v>
      </c>
      <c r="B767" s="32">
        <v>45628</v>
      </c>
      <c r="C767" s="36" t="s">
        <v>401</v>
      </c>
      <c r="D767" s="43">
        <v>1</v>
      </c>
      <c r="E767" s="48" t="s">
        <v>26</v>
      </c>
      <c r="F767" s="48" t="s">
        <v>23</v>
      </c>
      <c r="G767" s="49">
        <v>10</v>
      </c>
      <c r="H767" s="10">
        <v>10</v>
      </c>
      <c r="I767" s="52">
        <v>20</v>
      </c>
      <c r="J767" s="10">
        <v>20</v>
      </c>
      <c r="K767" s="55"/>
      <c r="L767" s="57">
        <v>0.5</v>
      </c>
      <c r="M767" s="50">
        <v>10</v>
      </c>
      <c r="N767" s="61"/>
      <c r="O767" s="50"/>
      <c r="P767" s="52" t="s">
        <v>20</v>
      </c>
    </row>
    <row r="768" spans="1:16" ht="15.75" customHeight="1" outlineLevel="1">
      <c r="A768" s="28">
        <v>12</v>
      </c>
      <c r="B768" s="32">
        <v>45629</v>
      </c>
      <c r="C768" s="36" t="s">
        <v>323</v>
      </c>
      <c r="D768" s="43">
        <v>3</v>
      </c>
      <c r="E768" s="48" t="s">
        <v>26</v>
      </c>
      <c r="F768" s="48" t="s">
        <v>23</v>
      </c>
      <c r="G768" s="49">
        <v>7.0000000000000007E-2</v>
      </c>
      <c r="H768" s="10">
        <v>0.21000000000000002</v>
      </c>
      <c r="I768" s="52">
        <v>1</v>
      </c>
      <c r="J768" s="10">
        <v>3</v>
      </c>
      <c r="K768" s="55"/>
      <c r="L768" s="57">
        <v>0.93</v>
      </c>
      <c r="M768" s="50">
        <v>2.79</v>
      </c>
      <c r="N768" s="61"/>
      <c r="O768" s="50"/>
      <c r="P768" s="52" t="s">
        <v>20</v>
      </c>
    </row>
    <row r="769" spans="1:16" ht="15.75" customHeight="1" outlineLevel="1">
      <c r="A769" s="28">
        <v>12</v>
      </c>
      <c r="B769" s="32">
        <v>45629</v>
      </c>
      <c r="C769" s="36" t="s">
        <v>274</v>
      </c>
      <c r="D769" s="43">
        <v>1</v>
      </c>
      <c r="E769" s="48" t="s">
        <v>26</v>
      </c>
      <c r="F769" s="48" t="s">
        <v>23</v>
      </c>
      <c r="G769" s="49">
        <v>0</v>
      </c>
      <c r="H769" s="10">
        <v>0</v>
      </c>
      <c r="I769" s="52">
        <v>20</v>
      </c>
      <c r="J769" s="10">
        <v>20</v>
      </c>
      <c r="K769" s="55"/>
      <c r="L769" s="57">
        <v>1</v>
      </c>
      <c r="M769" s="50">
        <v>20</v>
      </c>
      <c r="N769" s="61"/>
      <c r="O769" s="50"/>
      <c r="P769" s="52" t="s">
        <v>20</v>
      </c>
    </row>
    <row r="770" spans="1:16" ht="15.75" customHeight="1" outlineLevel="1">
      <c r="A770" s="28">
        <v>12</v>
      </c>
      <c r="B770" s="32">
        <v>45629</v>
      </c>
      <c r="C770" s="36" t="s">
        <v>401</v>
      </c>
      <c r="D770" s="43">
        <v>1</v>
      </c>
      <c r="E770" s="48" t="s">
        <v>26</v>
      </c>
      <c r="F770" s="48" t="s">
        <v>23</v>
      </c>
      <c r="G770" s="49">
        <v>10</v>
      </c>
      <c r="H770" s="10">
        <v>10</v>
      </c>
      <c r="I770" s="52">
        <v>20</v>
      </c>
      <c r="J770" s="10">
        <v>20</v>
      </c>
      <c r="K770" s="55"/>
      <c r="L770" s="57">
        <v>0.5</v>
      </c>
      <c r="M770" s="50">
        <v>10</v>
      </c>
      <c r="N770" s="61"/>
      <c r="O770" s="50"/>
      <c r="P770" s="52" t="s">
        <v>20</v>
      </c>
    </row>
    <row r="771" spans="1:16" ht="15.75" customHeight="1" outlineLevel="1">
      <c r="A771" s="28">
        <v>12</v>
      </c>
      <c r="B771" s="32">
        <v>45630</v>
      </c>
      <c r="C771" s="36" t="s">
        <v>416</v>
      </c>
      <c r="D771" s="43">
        <v>1</v>
      </c>
      <c r="E771" s="48" t="s">
        <v>26</v>
      </c>
      <c r="F771" s="48" t="s">
        <v>23</v>
      </c>
      <c r="G771" s="49">
        <v>3.5</v>
      </c>
      <c r="H771" s="10">
        <v>3.5</v>
      </c>
      <c r="I771" s="52">
        <v>10</v>
      </c>
      <c r="J771" s="10">
        <v>10</v>
      </c>
      <c r="K771" s="55"/>
      <c r="L771" s="57">
        <v>0.65</v>
      </c>
      <c r="M771" s="50">
        <v>6.5</v>
      </c>
      <c r="N771" s="61"/>
      <c r="O771" s="50"/>
      <c r="P771" s="52" t="s">
        <v>20</v>
      </c>
    </row>
    <row r="772" spans="1:16" ht="15.75" customHeight="1" outlineLevel="1">
      <c r="A772" s="28">
        <v>12</v>
      </c>
      <c r="B772" s="32">
        <v>45630</v>
      </c>
      <c r="C772" s="36" t="s">
        <v>501</v>
      </c>
      <c r="D772" s="43">
        <v>1</v>
      </c>
      <c r="E772" s="48" t="s">
        <v>26</v>
      </c>
      <c r="F772" s="48" t="s">
        <v>23</v>
      </c>
      <c r="G772" s="49">
        <v>0.8</v>
      </c>
      <c r="H772" s="10">
        <v>0.8</v>
      </c>
      <c r="I772" s="52">
        <v>4</v>
      </c>
      <c r="J772" s="10">
        <v>4</v>
      </c>
      <c r="K772" s="55"/>
      <c r="L772" s="57">
        <v>0.8</v>
      </c>
      <c r="M772" s="50">
        <v>3.2</v>
      </c>
      <c r="N772" s="61"/>
      <c r="O772" s="50"/>
      <c r="P772" s="52" t="s">
        <v>20</v>
      </c>
    </row>
    <row r="773" spans="1:16" ht="15.75" customHeight="1" outlineLevel="1">
      <c r="A773" s="28">
        <v>12</v>
      </c>
      <c r="B773" s="32">
        <v>45630</v>
      </c>
      <c r="C773" s="36" t="s">
        <v>441</v>
      </c>
      <c r="D773" s="43">
        <v>1</v>
      </c>
      <c r="E773" s="48" t="s">
        <v>26</v>
      </c>
      <c r="F773" s="48" t="s">
        <v>23</v>
      </c>
      <c r="G773" s="49">
        <v>0</v>
      </c>
      <c r="H773" s="10">
        <v>0</v>
      </c>
      <c r="I773" s="52">
        <v>12</v>
      </c>
      <c r="J773" s="10">
        <v>12</v>
      </c>
      <c r="K773" s="55"/>
      <c r="L773" s="57">
        <v>1</v>
      </c>
      <c r="M773" s="50">
        <v>12</v>
      </c>
      <c r="N773" s="61"/>
      <c r="O773" s="50"/>
      <c r="P773" s="52" t="s">
        <v>20</v>
      </c>
    </row>
    <row r="774" spans="1:16" ht="15.75" customHeight="1" outlineLevel="1">
      <c r="A774" s="28">
        <v>12</v>
      </c>
      <c r="B774" s="32">
        <v>45630</v>
      </c>
      <c r="C774" s="36" t="s">
        <v>274</v>
      </c>
      <c r="D774" s="43">
        <v>1</v>
      </c>
      <c r="E774" s="48" t="s">
        <v>26</v>
      </c>
      <c r="F774" s="48" t="s">
        <v>18</v>
      </c>
      <c r="G774" s="49">
        <v>0</v>
      </c>
      <c r="H774" s="10">
        <v>0.75</v>
      </c>
      <c r="I774" s="52">
        <v>47.5</v>
      </c>
      <c r="J774" s="10">
        <v>47.5</v>
      </c>
      <c r="K774" s="55"/>
      <c r="L774" s="57">
        <v>-3.3333333333333335</v>
      </c>
      <c r="M774" s="50">
        <v>1.43</v>
      </c>
      <c r="N774" s="61"/>
      <c r="O774" s="50"/>
      <c r="P774" s="52" t="s">
        <v>20</v>
      </c>
    </row>
    <row r="775" spans="1:16" ht="15.75" customHeight="1" outlineLevel="1">
      <c r="A775" s="28">
        <v>12</v>
      </c>
      <c r="B775" s="32">
        <v>45631</v>
      </c>
      <c r="C775" s="36" t="s">
        <v>515</v>
      </c>
      <c r="D775" s="43">
        <v>1</v>
      </c>
      <c r="E775" s="48" t="s">
        <v>26</v>
      </c>
      <c r="F775" s="48" t="s">
        <v>23</v>
      </c>
      <c r="G775" s="49">
        <v>0</v>
      </c>
      <c r="H775" s="10">
        <v>0</v>
      </c>
      <c r="I775" s="52">
        <v>60</v>
      </c>
      <c r="J775" s="10">
        <v>60</v>
      </c>
      <c r="K775" s="55"/>
      <c r="L775" s="57">
        <v>3.0105263157894736E-2</v>
      </c>
      <c r="M775" s="50">
        <v>46.75</v>
      </c>
      <c r="N775" s="61"/>
      <c r="O775" s="50"/>
      <c r="P775" s="52" t="s">
        <v>20</v>
      </c>
    </row>
    <row r="776" spans="1:16" ht="15.75" customHeight="1" outlineLevel="1">
      <c r="A776" s="28">
        <v>12</v>
      </c>
      <c r="B776" s="32">
        <v>45631</v>
      </c>
      <c r="C776" s="36" t="s">
        <v>488</v>
      </c>
      <c r="D776" s="43">
        <v>1</v>
      </c>
      <c r="E776" s="48" t="s">
        <v>26</v>
      </c>
      <c r="F776" s="48" t="s">
        <v>23</v>
      </c>
      <c r="G776" s="49">
        <v>6</v>
      </c>
      <c r="H776" s="10">
        <v>0</v>
      </c>
      <c r="I776" s="52">
        <v>15</v>
      </c>
      <c r="J776" s="10">
        <v>15</v>
      </c>
      <c r="K776" s="55"/>
      <c r="L776" s="57">
        <v>0.77916666666666667</v>
      </c>
      <c r="M776" s="50">
        <v>60</v>
      </c>
      <c r="N776" s="61"/>
      <c r="O776" s="50"/>
      <c r="P776" s="52" t="s">
        <v>20</v>
      </c>
    </row>
    <row r="777" spans="1:16" ht="15.75" customHeight="1" outlineLevel="1">
      <c r="A777" s="28">
        <v>12</v>
      </c>
      <c r="B777" s="32">
        <v>45631</v>
      </c>
      <c r="C777" s="36" t="s">
        <v>323</v>
      </c>
      <c r="D777" s="43">
        <v>1</v>
      </c>
      <c r="E777" s="48" t="s">
        <v>455</v>
      </c>
      <c r="F777" s="48" t="s">
        <v>23</v>
      </c>
      <c r="G777" s="49">
        <v>7.0000000000000007E-2</v>
      </c>
      <c r="H777" s="10">
        <v>6</v>
      </c>
      <c r="I777" s="52">
        <v>1</v>
      </c>
      <c r="J777" s="10">
        <v>1</v>
      </c>
      <c r="K777" s="55"/>
      <c r="L777" s="57">
        <v>4</v>
      </c>
      <c r="M777" s="50">
        <v>15</v>
      </c>
      <c r="N777" s="61"/>
      <c r="O777" s="50"/>
      <c r="P777" s="52" t="s">
        <v>20</v>
      </c>
    </row>
    <row r="778" spans="1:16" ht="15.75" customHeight="1" outlineLevel="1">
      <c r="A778" s="28">
        <v>12</v>
      </c>
      <c r="B778" s="32">
        <v>45631</v>
      </c>
      <c r="C778" s="36" t="s">
        <v>490</v>
      </c>
      <c r="D778" s="43">
        <v>6</v>
      </c>
      <c r="E778" s="48" t="s">
        <v>26</v>
      </c>
      <c r="F778" s="48" t="s">
        <v>23</v>
      </c>
      <c r="G778" s="49">
        <v>0.125</v>
      </c>
      <c r="H778" s="10">
        <v>7.0000000000000007E-2</v>
      </c>
      <c r="I778" s="52">
        <v>0.25</v>
      </c>
      <c r="J778" s="10">
        <v>1.5</v>
      </c>
      <c r="K778" s="55"/>
      <c r="L778" s="57">
        <v>15</v>
      </c>
      <c r="M778" s="50">
        <v>-5</v>
      </c>
      <c r="N778" s="61"/>
      <c r="O778" s="50"/>
      <c r="P778" s="52" t="s">
        <v>20</v>
      </c>
    </row>
    <row r="779" spans="1:16" ht="15.75" customHeight="1" outlineLevel="1">
      <c r="A779" s="28">
        <v>12</v>
      </c>
      <c r="B779" s="32">
        <v>45632</v>
      </c>
      <c r="C779" s="36" t="s">
        <v>516</v>
      </c>
      <c r="D779" s="43">
        <v>1</v>
      </c>
      <c r="E779" s="48" t="s">
        <v>517</v>
      </c>
      <c r="F779" s="48" t="s">
        <v>23</v>
      </c>
      <c r="G779" s="49">
        <v>270</v>
      </c>
      <c r="H779" s="10">
        <v>270</v>
      </c>
      <c r="I779" s="52">
        <v>370</v>
      </c>
      <c r="J779" s="10">
        <v>370</v>
      </c>
      <c r="K779" s="55"/>
      <c r="L779" s="57">
        <v>0.27027027027027029</v>
      </c>
      <c r="M779" s="50">
        <v>100</v>
      </c>
      <c r="N779" s="61"/>
      <c r="O779" s="50"/>
      <c r="P779" s="52" t="s">
        <v>20</v>
      </c>
    </row>
    <row r="780" spans="1:16" ht="15.75" customHeight="1" outlineLevel="1">
      <c r="A780" s="28">
        <v>12</v>
      </c>
      <c r="B780" s="32">
        <v>45632</v>
      </c>
      <c r="C780" s="36" t="s">
        <v>426</v>
      </c>
      <c r="D780" s="43">
        <v>1</v>
      </c>
      <c r="E780" s="48" t="s">
        <v>518</v>
      </c>
      <c r="F780" s="48" t="s">
        <v>23</v>
      </c>
      <c r="G780" s="49">
        <v>17</v>
      </c>
      <c r="H780" s="10">
        <v>17</v>
      </c>
      <c r="I780" s="52">
        <v>50</v>
      </c>
      <c r="J780" s="10">
        <v>50</v>
      </c>
      <c r="K780" s="55"/>
      <c r="L780" s="57">
        <v>0.66</v>
      </c>
      <c r="M780" s="50">
        <v>33</v>
      </c>
      <c r="N780" s="61"/>
      <c r="O780" s="50"/>
      <c r="P780" s="52" t="s">
        <v>20</v>
      </c>
    </row>
    <row r="781" spans="1:16" ht="15.75" customHeight="1" outlineLevel="1">
      <c r="A781" s="28">
        <v>12</v>
      </c>
      <c r="B781" s="32">
        <v>45632</v>
      </c>
      <c r="C781" s="36" t="s">
        <v>323</v>
      </c>
      <c r="D781" s="43">
        <v>2</v>
      </c>
      <c r="E781" s="48" t="s">
        <v>519</v>
      </c>
      <c r="F781" s="48" t="s">
        <v>23</v>
      </c>
      <c r="G781" s="49">
        <v>7.0000000000000007E-2</v>
      </c>
      <c r="H781" s="10">
        <v>0.14000000000000001</v>
      </c>
      <c r="I781" s="52">
        <v>1</v>
      </c>
      <c r="J781" s="10">
        <v>2</v>
      </c>
      <c r="K781" s="55"/>
      <c r="L781" s="57">
        <v>0.92999999999999994</v>
      </c>
      <c r="M781" s="50">
        <v>1.8599999999999999</v>
      </c>
      <c r="N781" s="61"/>
      <c r="O781" s="50"/>
      <c r="P781" s="52" t="s">
        <v>20</v>
      </c>
    </row>
    <row r="782" spans="1:16" ht="15.75" customHeight="1" outlineLevel="1">
      <c r="A782" s="28">
        <v>12</v>
      </c>
      <c r="B782" s="32">
        <v>45632</v>
      </c>
      <c r="C782" s="36" t="s">
        <v>520</v>
      </c>
      <c r="D782" s="43">
        <v>1</v>
      </c>
      <c r="E782" s="48" t="s">
        <v>26</v>
      </c>
      <c r="F782" s="48" t="s">
        <v>23</v>
      </c>
      <c r="G782" s="49">
        <v>54.9</v>
      </c>
      <c r="H782" s="10">
        <v>54.9</v>
      </c>
      <c r="I782" s="52">
        <v>55</v>
      </c>
      <c r="J782" s="10">
        <v>55</v>
      </c>
      <c r="K782" s="55"/>
      <c r="L782" s="57">
        <v>1.818181818181844E-3</v>
      </c>
      <c r="M782" s="50">
        <v>0.10000000000000142</v>
      </c>
      <c r="N782" s="61"/>
      <c r="O782" s="50"/>
      <c r="P782" s="52" t="s">
        <v>20</v>
      </c>
    </row>
    <row r="783" spans="1:16" ht="15.75" customHeight="1" outlineLevel="1">
      <c r="A783" s="28">
        <v>12</v>
      </c>
      <c r="B783" s="32">
        <v>45633</v>
      </c>
      <c r="C783" s="36" t="s">
        <v>521</v>
      </c>
      <c r="D783" s="43">
        <v>1</v>
      </c>
      <c r="E783" s="48" t="s">
        <v>522</v>
      </c>
      <c r="F783" s="48" t="s">
        <v>23</v>
      </c>
      <c r="G783" s="49" t="s">
        <v>79</v>
      </c>
      <c r="H783" s="10">
        <v>0</v>
      </c>
      <c r="I783" s="52">
        <v>200</v>
      </c>
      <c r="J783" s="10">
        <v>200</v>
      </c>
      <c r="K783" s="55"/>
      <c r="L783" s="57">
        <v>1</v>
      </c>
      <c r="M783" s="50">
        <v>200</v>
      </c>
      <c r="N783" s="61"/>
      <c r="O783" s="50"/>
      <c r="P783" s="52" t="s">
        <v>20</v>
      </c>
    </row>
    <row r="784" spans="1:16" ht="15.75" customHeight="1" outlineLevel="1">
      <c r="A784" s="28">
        <v>12</v>
      </c>
      <c r="B784" s="32">
        <v>45633</v>
      </c>
      <c r="C784" s="36" t="s">
        <v>223</v>
      </c>
      <c r="D784" s="43">
        <v>1</v>
      </c>
      <c r="E784" s="48" t="s">
        <v>522</v>
      </c>
      <c r="F784" s="48" t="s">
        <v>23</v>
      </c>
      <c r="G784" s="49">
        <v>0</v>
      </c>
      <c r="H784" s="10">
        <v>0</v>
      </c>
      <c r="I784" s="52">
        <v>30</v>
      </c>
      <c r="J784" s="10">
        <v>30</v>
      </c>
      <c r="K784" s="55"/>
      <c r="L784" s="57">
        <v>1</v>
      </c>
      <c r="M784" s="50">
        <v>30</v>
      </c>
      <c r="N784" s="61"/>
      <c r="O784" s="50"/>
      <c r="P784" s="52" t="s">
        <v>20</v>
      </c>
    </row>
    <row r="785" spans="1:16" ht="15.75" customHeight="1" outlineLevel="1">
      <c r="A785" s="28">
        <v>12</v>
      </c>
      <c r="B785" s="32">
        <v>45634</v>
      </c>
      <c r="C785" s="36" t="s">
        <v>490</v>
      </c>
      <c r="D785" s="43">
        <v>5</v>
      </c>
      <c r="E785" s="48" t="s">
        <v>26</v>
      </c>
      <c r="F785" s="48" t="s">
        <v>23</v>
      </c>
      <c r="G785" s="49">
        <v>0.125</v>
      </c>
      <c r="H785" s="10">
        <v>92</v>
      </c>
      <c r="I785" s="52">
        <v>0.25</v>
      </c>
      <c r="J785" s="10">
        <v>1.25</v>
      </c>
      <c r="K785" s="55"/>
      <c r="L785" s="57">
        <v>0.46666666666666667</v>
      </c>
      <c r="M785" s="50">
        <v>150</v>
      </c>
      <c r="N785" s="61"/>
      <c r="O785" s="50"/>
      <c r="P785" s="52" t="s">
        <v>20</v>
      </c>
    </row>
    <row r="786" spans="1:16" ht="15.75" customHeight="1" outlineLevel="1">
      <c r="A786" s="28">
        <v>12</v>
      </c>
      <c r="B786" s="32">
        <v>45635</v>
      </c>
      <c r="C786" s="36" t="s">
        <v>323</v>
      </c>
      <c r="D786" s="43">
        <v>3</v>
      </c>
      <c r="E786" s="48" t="s">
        <v>26</v>
      </c>
      <c r="F786" s="48" t="s">
        <v>23</v>
      </c>
      <c r="G786" s="49">
        <v>7.0000000000000007E-2</v>
      </c>
      <c r="H786" s="10"/>
      <c r="I786" s="52">
        <v>1</v>
      </c>
      <c r="J786" s="10"/>
      <c r="K786" s="55"/>
      <c r="L786" s="57">
        <v>120</v>
      </c>
      <c r="M786" s="50">
        <v>-90.75</v>
      </c>
      <c r="N786" s="61"/>
      <c r="O786" s="50"/>
      <c r="P786" s="52" t="s">
        <v>20</v>
      </c>
    </row>
    <row r="787" spans="1:16" ht="15.75" customHeight="1" outlineLevel="1">
      <c r="A787" s="28">
        <v>12</v>
      </c>
      <c r="B787" s="32">
        <v>45635</v>
      </c>
      <c r="C787" s="36" t="s">
        <v>505</v>
      </c>
      <c r="D787" s="43">
        <v>4</v>
      </c>
      <c r="E787" s="48" t="s">
        <v>523</v>
      </c>
      <c r="F787" s="48" t="s">
        <v>23</v>
      </c>
      <c r="G787" s="49">
        <v>0.29425000000000001</v>
      </c>
      <c r="H787" s="10">
        <v>0.21000000000000002</v>
      </c>
      <c r="I787" s="52">
        <v>5</v>
      </c>
      <c r="J787" s="10">
        <v>20</v>
      </c>
      <c r="K787" s="55"/>
      <c r="L787" s="57" t="s">
        <v>436</v>
      </c>
      <c r="M787" s="50">
        <v>0</v>
      </c>
      <c r="N787" s="61"/>
      <c r="O787" s="50"/>
      <c r="P787" s="52" t="s">
        <v>20</v>
      </c>
    </row>
    <row r="788" spans="1:16" ht="15.75" customHeight="1" outlineLevel="1">
      <c r="A788" s="28">
        <v>12</v>
      </c>
      <c r="B788" s="32">
        <v>45636</v>
      </c>
      <c r="C788" s="36" t="s">
        <v>323</v>
      </c>
      <c r="D788" s="43">
        <v>6</v>
      </c>
      <c r="E788" s="48" t="s">
        <v>26</v>
      </c>
      <c r="F788" s="48" t="s">
        <v>23</v>
      </c>
      <c r="G788" s="49">
        <v>7.0000000000000007E-2</v>
      </c>
      <c r="H788" s="10">
        <v>1.177</v>
      </c>
      <c r="I788" s="52">
        <v>1</v>
      </c>
      <c r="J788" s="10">
        <v>6</v>
      </c>
      <c r="K788" s="55"/>
      <c r="L788" s="57">
        <v>0</v>
      </c>
      <c r="M788" s="50">
        <v>19.79</v>
      </c>
      <c r="N788" s="61"/>
      <c r="O788" s="50"/>
      <c r="P788" s="52" t="s">
        <v>20</v>
      </c>
    </row>
    <row r="789" spans="1:16" ht="15.75" customHeight="1" outlineLevel="1">
      <c r="A789" s="28">
        <v>12</v>
      </c>
      <c r="B789" s="32">
        <v>45636</v>
      </c>
      <c r="C789" s="36" t="s">
        <v>520</v>
      </c>
      <c r="D789" s="43">
        <v>1</v>
      </c>
      <c r="E789" s="48" t="s">
        <v>58</v>
      </c>
      <c r="F789" s="48" t="s">
        <v>23</v>
      </c>
      <c r="G789" s="49">
        <v>54.9</v>
      </c>
      <c r="H789" s="10">
        <v>0.42000000000000004</v>
      </c>
      <c r="I789" s="52">
        <v>55</v>
      </c>
      <c r="J789" s="10">
        <v>55</v>
      </c>
      <c r="K789" s="55"/>
      <c r="L789" s="57">
        <v>3.2983333333333333</v>
      </c>
      <c r="M789" s="50">
        <v>4.8230000000000004</v>
      </c>
      <c r="N789" s="61"/>
      <c r="O789" s="50"/>
      <c r="P789" s="52" t="s">
        <v>20</v>
      </c>
    </row>
    <row r="790" spans="1:16" ht="15.75" customHeight="1" outlineLevel="1">
      <c r="A790" s="28">
        <v>12</v>
      </c>
      <c r="B790" s="32">
        <v>45636</v>
      </c>
      <c r="C790" s="36" t="s">
        <v>307</v>
      </c>
      <c r="D790" s="43">
        <v>1</v>
      </c>
      <c r="E790" s="48" t="s">
        <v>307</v>
      </c>
      <c r="F790" s="48" t="s">
        <v>23</v>
      </c>
      <c r="G790" s="49" t="s">
        <v>79</v>
      </c>
      <c r="H790" s="10">
        <v>54.9</v>
      </c>
      <c r="I790" s="52">
        <v>123.28</v>
      </c>
      <c r="J790" s="10">
        <v>123.28</v>
      </c>
      <c r="K790" s="55"/>
      <c r="L790" s="57">
        <v>8.7690909090909097E-2</v>
      </c>
      <c r="M790" s="50">
        <v>54.58</v>
      </c>
      <c r="N790" s="61"/>
      <c r="O790" s="50"/>
      <c r="P790" s="52" t="s">
        <v>20</v>
      </c>
    </row>
    <row r="791" spans="1:16" ht="15.75" customHeight="1" outlineLevel="1">
      <c r="A791" s="28">
        <v>12</v>
      </c>
      <c r="B791" s="32">
        <v>45637</v>
      </c>
      <c r="C791" s="36" t="s">
        <v>223</v>
      </c>
      <c r="D791" s="43">
        <v>1</v>
      </c>
      <c r="E791" s="48" t="s">
        <v>524</v>
      </c>
      <c r="F791" s="48" t="s">
        <v>23</v>
      </c>
      <c r="G791" s="49">
        <v>0</v>
      </c>
      <c r="H791" s="10">
        <v>0</v>
      </c>
      <c r="I791" s="52">
        <v>50</v>
      </c>
      <c r="J791" s="10">
        <v>50</v>
      </c>
      <c r="K791" s="55"/>
      <c r="L791" s="57">
        <v>0.44273199221284876</v>
      </c>
      <c r="M791" s="50">
        <v>68.38</v>
      </c>
      <c r="N791" s="61"/>
      <c r="O791" s="50"/>
      <c r="P791" s="52" t="s">
        <v>20</v>
      </c>
    </row>
    <row r="792" spans="1:16" ht="15.75" customHeight="1" outlineLevel="1">
      <c r="A792" s="28">
        <v>12</v>
      </c>
      <c r="B792" s="32">
        <v>45637</v>
      </c>
      <c r="C792" s="36" t="s">
        <v>525</v>
      </c>
      <c r="D792" s="43">
        <v>1</v>
      </c>
      <c r="E792" s="48" t="s">
        <v>524</v>
      </c>
      <c r="F792" s="48" t="s">
        <v>23</v>
      </c>
      <c r="G792" s="49" t="s">
        <v>79</v>
      </c>
      <c r="H792" s="10">
        <v>0</v>
      </c>
      <c r="I792" s="52">
        <v>70</v>
      </c>
      <c r="J792" s="10">
        <v>70</v>
      </c>
      <c r="K792" s="55"/>
      <c r="L792" s="57">
        <v>1.3675999999999999</v>
      </c>
      <c r="M792" s="50">
        <v>50</v>
      </c>
      <c r="N792" s="61"/>
      <c r="O792" s="50"/>
      <c r="P792" s="52" t="s">
        <v>20</v>
      </c>
    </row>
    <row r="793" spans="1:16" ht="15.75" customHeight="1" outlineLevel="1">
      <c r="A793" s="28">
        <v>12</v>
      </c>
      <c r="B793" s="32">
        <v>45637</v>
      </c>
      <c r="C793" s="36" t="s">
        <v>526</v>
      </c>
      <c r="D793" s="43">
        <v>1</v>
      </c>
      <c r="E793" s="48" t="s">
        <v>524</v>
      </c>
      <c r="F793" s="48" t="s">
        <v>23</v>
      </c>
      <c r="G793" s="49">
        <v>92</v>
      </c>
      <c r="H793" s="10">
        <v>0</v>
      </c>
      <c r="I793" s="52">
        <v>150</v>
      </c>
      <c r="J793" s="10">
        <v>150</v>
      </c>
      <c r="K793" s="55"/>
      <c r="L793" s="57">
        <v>0.7142857142857143</v>
      </c>
      <c r="M793" s="50">
        <v>70</v>
      </c>
      <c r="N793" s="61"/>
      <c r="O793" s="50"/>
      <c r="P793" s="52" t="s">
        <v>20</v>
      </c>
    </row>
    <row r="794" spans="1:16" ht="15.75" customHeight="1" outlineLevel="1">
      <c r="A794" s="28">
        <v>12</v>
      </c>
      <c r="B794" s="32">
        <v>45637</v>
      </c>
      <c r="C794" s="36" t="s">
        <v>274</v>
      </c>
      <c r="D794" s="43">
        <v>1</v>
      </c>
      <c r="E794" s="48" t="s">
        <v>26</v>
      </c>
      <c r="F794" s="48" t="s">
        <v>23</v>
      </c>
      <c r="G794" s="49">
        <v>0</v>
      </c>
      <c r="H794" s="10">
        <v>0</v>
      </c>
      <c r="I794" s="52">
        <v>10</v>
      </c>
      <c r="J794" s="10">
        <v>10</v>
      </c>
      <c r="K794" s="55"/>
      <c r="L794" s="57">
        <v>1</v>
      </c>
      <c r="M794" s="50">
        <v>10</v>
      </c>
      <c r="N794" s="61"/>
      <c r="O794" s="50"/>
      <c r="P794" s="52" t="s">
        <v>20</v>
      </c>
    </row>
    <row r="795" spans="1:16" ht="15.75" customHeight="1" outlineLevel="1">
      <c r="A795" s="28">
        <v>12</v>
      </c>
      <c r="B795" s="32">
        <v>45637</v>
      </c>
      <c r="C795" s="36" t="s">
        <v>501</v>
      </c>
      <c r="D795" s="43">
        <v>1</v>
      </c>
      <c r="E795" s="48" t="s">
        <v>58</v>
      </c>
      <c r="F795" s="48" t="s">
        <v>23</v>
      </c>
      <c r="G795" s="49">
        <v>0.8</v>
      </c>
      <c r="H795" s="10">
        <v>0.8</v>
      </c>
      <c r="I795" s="52">
        <v>4</v>
      </c>
      <c r="J795" s="10">
        <v>4</v>
      </c>
      <c r="K795" s="55"/>
      <c r="L795" s="57">
        <v>0.8</v>
      </c>
      <c r="M795" s="50">
        <v>3.2</v>
      </c>
      <c r="N795" s="61"/>
      <c r="O795" s="50"/>
      <c r="P795" s="52" t="s">
        <v>20</v>
      </c>
    </row>
    <row r="796" spans="1:16" ht="15.75" customHeight="1" outlineLevel="1">
      <c r="A796" s="28">
        <v>12</v>
      </c>
      <c r="B796" s="32">
        <v>45637</v>
      </c>
      <c r="C796" s="36" t="s">
        <v>527</v>
      </c>
      <c r="D796" s="43">
        <v>1</v>
      </c>
      <c r="E796" s="48" t="s">
        <v>528</v>
      </c>
      <c r="F796" s="48" t="s">
        <v>23</v>
      </c>
      <c r="G796" s="49">
        <v>19</v>
      </c>
      <c r="H796" s="10">
        <v>19</v>
      </c>
      <c r="I796" s="52">
        <v>35</v>
      </c>
      <c r="J796" s="10">
        <v>35</v>
      </c>
      <c r="K796" s="55"/>
      <c r="L796" s="57">
        <v>0.45714285714285713</v>
      </c>
      <c r="M796" s="50">
        <v>16</v>
      </c>
      <c r="N796" s="61"/>
      <c r="O796" s="50"/>
      <c r="P796" s="52" t="s">
        <v>20</v>
      </c>
    </row>
    <row r="797" spans="1:16" ht="15.75" customHeight="1" outlineLevel="1">
      <c r="A797" s="28">
        <v>12</v>
      </c>
      <c r="B797" s="32">
        <v>45639</v>
      </c>
      <c r="C797" s="36" t="s">
        <v>415</v>
      </c>
      <c r="D797" s="43">
        <v>1</v>
      </c>
      <c r="E797" s="48" t="s">
        <v>26</v>
      </c>
      <c r="F797" s="48" t="s">
        <v>23</v>
      </c>
      <c r="G797" s="49">
        <v>10</v>
      </c>
      <c r="H797" s="10">
        <v>10</v>
      </c>
      <c r="I797" s="52">
        <v>20</v>
      </c>
      <c r="J797" s="10">
        <v>20</v>
      </c>
      <c r="K797" s="55"/>
      <c r="L797" s="57">
        <v>0.5</v>
      </c>
      <c r="M797" s="50">
        <v>10</v>
      </c>
      <c r="N797" s="61"/>
      <c r="O797" s="50"/>
      <c r="P797" s="52" t="s">
        <v>20</v>
      </c>
    </row>
    <row r="798" spans="1:16" ht="15.75" customHeight="1" outlineLevel="1">
      <c r="A798" s="28">
        <v>12</v>
      </c>
      <c r="B798" s="32">
        <v>45639</v>
      </c>
      <c r="C798" s="36" t="s">
        <v>323</v>
      </c>
      <c r="D798" s="43">
        <v>1</v>
      </c>
      <c r="E798" s="48" t="s">
        <v>26</v>
      </c>
      <c r="F798" s="48" t="s">
        <v>23</v>
      </c>
      <c r="G798" s="49">
        <v>7.0000000000000007E-2</v>
      </c>
      <c r="H798" s="10">
        <v>7.0000000000000007E-2</v>
      </c>
      <c r="I798" s="52">
        <v>1</v>
      </c>
      <c r="J798" s="10">
        <v>1</v>
      </c>
      <c r="K798" s="55"/>
      <c r="L798" s="57">
        <v>0.92999999999999994</v>
      </c>
      <c r="M798" s="50">
        <v>0.92999999999999994</v>
      </c>
      <c r="N798" s="61"/>
      <c r="O798" s="50"/>
      <c r="P798" s="52" t="s">
        <v>20</v>
      </c>
    </row>
    <row r="799" spans="1:16" ht="15.75" customHeight="1" outlineLevel="1">
      <c r="A799" s="28">
        <v>12</v>
      </c>
      <c r="B799" s="32">
        <v>45640</v>
      </c>
      <c r="C799" s="36" t="s">
        <v>274</v>
      </c>
      <c r="D799" s="43">
        <v>1</v>
      </c>
      <c r="E799" s="48" t="s">
        <v>529</v>
      </c>
      <c r="F799" s="48" t="s">
        <v>23</v>
      </c>
      <c r="G799" s="49">
        <v>0</v>
      </c>
      <c r="H799" s="10">
        <v>0</v>
      </c>
      <c r="I799" s="52">
        <v>5</v>
      </c>
      <c r="J799" s="10">
        <v>5</v>
      </c>
      <c r="K799" s="55"/>
      <c r="L799" s="57">
        <v>1</v>
      </c>
      <c r="M799" s="50">
        <v>5</v>
      </c>
      <c r="N799" s="61"/>
      <c r="O799" s="50"/>
      <c r="P799" s="52" t="s">
        <v>20</v>
      </c>
    </row>
    <row r="800" spans="1:16" ht="15.75" customHeight="1" outlineLevel="1">
      <c r="A800" s="28">
        <v>12</v>
      </c>
      <c r="B800" s="32">
        <v>45640</v>
      </c>
      <c r="C800" s="36" t="s">
        <v>530</v>
      </c>
      <c r="D800" s="43">
        <v>1</v>
      </c>
      <c r="E800" s="48" t="s">
        <v>529</v>
      </c>
      <c r="F800" s="48" t="s">
        <v>23</v>
      </c>
      <c r="G800" s="49">
        <v>13</v>
      </c>
      <c r="H800" s="10">
        <v>13</v>
      </c>
      <c r="I800" s="52">
        <v>25</v>
      </c>
      <c r="J800" s="10">
        <v>25</v>
      </c>
      <c r="K800" s="55"/>
      <c r="L800" s="57">
        <v>0.48</v>
      </c>
      <c r="M800" s="50">
        <v>12</v>
      </c>
      <c r="N800" s="61"/>
      <c r="O800" s="50"/>
      <c r="P800" s="52" t="s">
        <v>20</v>
      </c>
    </row>
    <row r="801" spans="1:16" ht="15.75" customHeight="1" outlineLevel="1">
      <c r="A801" s="28">
        <v>12</v>
      </c>
      <c r="B801" s="32">
        <v>45642</v>
      </c>
      <c r="C801" s="36" t="s">
        <v>531</v>
      </c>
      <c r="D801" s="43">
        <v>1</v>
      </c>
      <c r="E801" s="48" t="s">
        <v>139</v>
      </c>
      <c r="F801" s="48" t="s">
        <v>23</v>
      </c>
      <c r="G801" s="49">
        <v>33</v>
      </c>
      <c r="H801" s="10">
        <v>33</v>
      </c>
      <c r="I801" s="52">
        <v>75</v>
      </c>
      <c r="J801" s="10">
        <v>75</v>
      </c>
      <c r="K801" s="55"/>
      <c r="L801" s="57">
        <v>0.56000000000000005</v>
      </c>
      <c r="M801" s="50">
        <v>42</v>
      </c>
      <c r="N801" s="61"/>
      <c r="O801" s="50"/>
      <c r="P801" s="52" t="s">
        <v>20</v>
      </c>
    </row>
    <row r="802" spans="1:16" ht="15.75" customHeight="1" outlineLevel="1">
      <c r="A802" s="28">
        <v>12</v>
      </c>
      <c r="B802" s="32">
        <v>45642</v>
      </c>
      <c r="C802" s="36" t="s">
        <v>191</v>
      </c>
      <c r="D802" s="43">
        <v>1</v>
      </c>
      <c r="E802" s="48" t="s">
        <v>139</v>
      </c>
      <c r="F802" s="48" t="s">
        <v>23</v>
      </c>
      <c r="G802" s="49">
        <v>20</v>
      </c>
      <c r="H802" s="10">
        <v>20</v>
      </c>
      <c r="I802" s="52">
        <v>40</v>
      </c>
      <c r="J802" s="10">
        <v>40</v>
      </c>
      <c r="K802" s="55"/>
      <c r="L802" s="57">
        <v>0.5</v>
      </c>
      <c r="M802" s="50">
        <v>20</v>
      </c>
      <c r="N802" s="61"/>
      <c r="O802" s="50"/>
      <c r="P802" s="52" t="s">
        <v>20</v>
      </c>
    </row>
    <row r="803" spans="1:16" ht="15.75" customHeight="1" outlineLevel="1">
      <c r="A803" s="28">
        <v>12</v>
      </c>
      <c r="B803" s="32">
        <v>45643</v>
      </c>
      <c r="C803" s="36" t="s">
        <v>532</v>
      </c>
      <c r="D803" s="43">
        <v>1</v>
      </c>
      <c r="E803" s="48" t="s">
        <v>455</v>
      </c>
      <c r="F803" s="48" t="s">
        <v>23</v>
      </c>
      <c r="G803" s="49">
        <v>1.5</v>
      </c>
      <c r="H803" s="10">
        <v>1.5</v>
      </c>
      <c r="I803" s="52">
        <v>5</v>
      </c>
      <c r="J803" s="10">
        <v>5</v>
      </c>
      <c r="K803" s="55"/>
      <c r="L803" s="57">
        <v>0.7</v>
      </c>
      <c r="M803" s="50">
        <v>3.5</v>
      </c>
      <c r="N803" s="61"/>
      <c r="O803" s="50"/>
      <c r="P803" s="52" t="s">
        <v>20</v>
      </c>
    </row>
    <row r="804" spans="1:16" ht="15.75" customHeight="1" outlineLevel="1">
      <c r="A804" s="28">
        <v>12</v>
      </c>
      <c r="B804" s="32">
        <v>45643</v>
      </c>
      <c r="C804" s="36" t="s">
        <v>323</v>
      </c>
      <c r="D804" s="43">
        <v>2</v>
      </c>
      <c r="E804" s="48" t="s">
        <v>58</v>
      </c>
      <c r="F804" s="48" t="s">
        <v>23</v>
      </c>
      <c r="G804" s="49">
        <v>7.0000000000000007E-2</v>
      </c>
      <c r="H804" s="10">
        <v>0.14000000000000001</v>
      </c>
      <c r="I804" s="52">
        <v>1</v>
      </c>
      <c r="J804" s="10">
        <v>2</v>
      </c>
      <c r="K804" s="55"/>
      <c r="L804" s="57">
        <v>0.92999999999999994</v>
      </c>
      <c r="M804" s="50">
        <v>1.8599999999999999</v>
      </c>
      <c r="N804" s="61"/>
      <c r="O804" s="50"/>
      <c r="P804" s="52" t="s">
        <v>20</v>
      </c>
    </row>
    <row r="805" spans="1:16" ht="15.75" customHeight="1" outlineLevel="1">
      <c r="A805" s="28">
        <v>12</v>
      </c>
      <c r="B805" s="32">
        <v>45643</v>
      </c>
      <c r="C805" s="36" t="s">
        <v>533</v>
      </c>
      <c r="D805" s="43">
        <v>1</v>
      </c>
      <c r="E805" s="48" t="s">
        <v>534</v>
      </c>
      <c r="F805" s="48" t="s">
        <v>23</v>
      </c>
      <c r="G805" s="49">
        <v>3.5</v>
      </c>
      <c r="H805" s="10">
        <v>3.5</v>
      </c>
      <c r="I805" s="52">
        <v>10</v>
      </c>
      <c r="J805" s="10">
        <v>10</v>
      </c>
      <c r="K805" s="55"/>
      <c r="L805" s="57">
        <v>0.65</v>
      </c>
      <c r="M805" s="50">
        <v>6.5</v>
      </c>
      <c r="N805" s="61"/>
      <c r="O805" s="50"/>
      <c r="P805" s="52" t="s">
        <v>20</v>
      </c>
    </row>
    <row r="806" spans="1:16" ht="15.75" customHeight="1" outlineLevel="1">
      <c r="A806" s="28">
        <v>12</v>
      </c>
      <c r="B806" s="32">
        <v>45643</v>
      </c>
      <c r="C806" s="36" t="s">
        <v>413</v>
      </c>
      <c r="D806" s="43">
        <v>1</v>
      </c>
      <c r="E806" s="48" t="s">
        <v>534</v>
      </c>
      <c r="F806" s="48" t="s">
        <v>23</v>
      </c>
      <c r="G806" s="49">
        <v>4.5999999999999996</v>
      </c>
      <c r="H806" s="10">
        <v>4.5999999999999996</v>
      </c>
      <c r="I806" s="52">
        <v>10</v>
      </c>
      <c r="J806" s="10">
        <v>10</v>
      </c>
      <c r="K806" s="55"/>
      <c r="L806" s="57">
        <v>0.54</v>
      </c>
      <c r="M806" s="50">
        <v>5.4</v>
      </c>
      <c r="N806" s="61"/>
      <c r="O806" s="50"/>
      <c r="P806" s="52" t="s">
        <v>20</v>
      </c>
    </row>
    <row r="807" spans="1:16" ht="15.75" customHeight="1" outlineLevel="1">
      <c r="A807" s="28">
        <v>12</v>
      </c>
      <c r="B807" s="32">
        <v>45643</v>
      </c>
      <c r="C807" s="36" t="s">
        <v>535</v>
      </c>
      <c r="D807" s="43">
        <v>1</v>
      </c>
      <c r="E807" s="48" t="s">
        <v>348</v>
      </c>
      <c r="F807" s="48" t="s">
        <v>23</v>
      </c>
      <c r="G807" s="49">
        <v>6.5</v>
      </c>
      <c r="H807" s="10">
        <v>6.5</v>
      </c>
      <c r="I807" s="52">
        <v>15</v>
      </c>
      <c r="J807" s="10">
        <v>15</v>
      </c>
      <c r="K807" s="55"/>
      <c r="L807" s="57">
        <v>0.56666666666666665</v>
      </c>
      <c r="M807" s="50">
        <v>8.5</v>
      </c>
      <c r="N807" s="61"/>
      <c r="O807" s="50"/>
      <c r="P807" s="52" t="s">
        <v>20</v>
      </c>
    </row>
    <row r="808" spans="1:16" ht="15.75" customHeight="1" outlineLevel="1">
      <c r="A808" s="28">
        <v>12</v>
      </c>
      <c r="B808" s="32">
        <v>45643</v>
      </c>
      <c r="C808" s="36" t="s">
        <v>323</v>
      </c>
      <c r="D808" s="43">
        <v>1</v>
      </c>
      <c r="E808" s="48" t="s">
        <v>26</v>
      </c>
      <c r="F808" s="48" t="s">
        <v>23</v>
      </c>
      <c r="G808" s="49">
        <v>7.0000000000000007E-2</v>
      </c>
      <c r="H808" s="10">
        <v>7.0000000000000007E-2</v>
      </c>
      <c r="I808" s="52">
        <v>1</v>
      </c>
      <c r="J808" s="10">
        <v>1</v>
      </c>
      <c r="K808" s="55"/>
      <c r="L808" s="57">
        <v>0.92999999999999994</v>
      </c>
      <c r="M808" s="50">
        <v>0.92999999999999994</v>
      </c>
      <c r="N808" s="61"/>
      <c r="O808" s="50"/>
      <c r="P808" s="52" t="s">
        <v>20</v>
      </c>
    </row>
    <row r="809" spans="1:16" ht="15.75" customHeight="1" outlineLevel="1">
      <c r="A809" s="28">
        <v>12</v>
      </c>
      <c r="B809" s="32">
        <v>45643</v>
      </c>
      <c r="C809" s="36" t="s">
        <v>274</v>
      </c>
      <c r="D809" s="43">
        <v>1</v>
      </c>
      <c r="E809" s="48" t="s">
        <v>26</v>
      </c>
      <c r="F809" s="48" t="s">
        <v>23</v>
      </c>
      <c r="G809" s="49">
        <v>0</v>
      </c>
      <c r="H809" s="10">
        <v>0</v>
      </c>
      <c r="I809" s="52">
        <v>40</v>
      </c>
      <c r="J809" s="10">
        <v>40</v>
      </c>
      <c r="K809" s="55"/>
      <c r="L809" s="57">
        <v>1</v>
      </c>
      <c r="M809" s="50">
        <v>40</v>
      </c>
      <c r="N809" s="61"/>
      <c r="O809" s="50"/>
      <c r="P809" s="52" t="s">
        <v>20</v>
      </c>
    </row>
    <row r="810" spans="1:16" ht="15.75" customHeight="1" outlineLevel="1">
      <c r="A810" s="28">
        <v>12</v>
      </c>
      <c r="B810" s="32">
        <v>45644</v>
      </c>
      <c r="C810" s="36" t="s">
        <v>274</v>
      </c>
      <c r="D810" s="43">
        <v>1</v>
      </c>
      <c r="E810" s="48" t="s">
        <v>26</v>
      </c>
      <c r="F810" s="48" t="s">
        <v>23</v>
      </c>
      <c r="G810" s="49">
        <v>0</v>
      </c>
      <c r="H810" s="10">
        <v>0</v>
      </c>
      <c r="I810" s="52">
        <v>15</v>
      </c>
      <c r="J810" s="10">
        <v>15</v>
      </c>
      <c r="K810" s="55"/>
      <c r="L810" s="57">
        <v>1</v>
      </c>
      <c r="M810" s="50">
        <v>15</v>
      </c>
      <c r="N810" s="61"/>
      <c r="O810" s="50"/>
      <c r="P810" s="52" t="s">
        <v>20</v>
      </c>
    </row>
    <row r="811" spans="1:16" ht="15.75" customHeight="1" outlineLevel="1">
      <c r="A811" s="28">
        <v>12</v>
      </c>
      <c r="B811" s="32">
        <v>45646</v>
      </c>
      <c r="C811" s="36" t="s">
        <v>536</v>
      </c>
      <c r="D811" s="43">
        <v>1</v>
      </c>
      <c r="E811" s="48" t="s">
        <v>26</v>
      </c>
      <c r="F811" s="48" t="s">
        <v>23</v>
      </c>
      <c r="G811" s="49">
        <v>0</v>
      </c>
      <c r="H811" s="10">
        <v>0</v>
      </c>
      <c r="I811" s="52">
        <v>10</v>
      </c>
      <c r="J811" s="10">
        <v>10</v>
      </c>
      <c r="K811" s="55"/>
      <c r="L811" s="57">
        <v>1</v>
      </c>
      <c r="M811" s="50">
        <v>10</v>
      </c>
      <c r="N811" s="61"/>
      <c r="O811" s="50"/>
      <c r="P811" s="52" t="s">
        <v>20</v>
      </c>
    </row>
    <row r="812" spans="1:16" ht="15.75" customHeight="1" outlineLevel="1">
      <c r="A812" s="28">
        <v>12</v>
      </c>
      <c r="B812" s="32">
        <v>45646</v>
      </c>
      <c r="C812" s="36" t="s">
        <v>537</v>
      </c>
      <c r="D812" s="43">
        <v>1</v>
      </c>
      <c r="E812" s="48" t="s">
        <v>26</v>
      </c>
      <c r="F812" s="48" t="s">
        <v>23</v>
      </c>
      <c r="G812" s="49">
        <v>50</v>
      </c>
      <c r="H812" s="10">
        <v>50</v>
      </c>
      <c r="I812" s="52">
        <v>80</v>
      </c>
      <c r="J812" s="10">
        <v>80</v>
      </c>
      <c r="K812" s="55"/>
      <c r="L812" s="57">
        <v>0.375</v>
      </c>
      <c r="M812" s="50">
        <v>30</v>
      </c>
      <c r="N812" s="61"/>
      <c r="O812" s="50"/>
      <c r="P812" s="52" t="s">
        <v>20</v>
      </c>
    </row>
    <row r="813" spans="1:16" ht="15.75" customHeight="1" outlineLevel="1">
      <c r="A813" s="28">
        <v>12</v>
      </c>
      <c r="B813" s="32">
        <v>45646</v>
      </c>
      <c r="C813" s="36" t="s">
        <v>538</v>
      </c>
      <c r="D813" s="43">
        <v>1</v>
      </c>
      <c r="E813" s="48" t="s">
        <v>539</v>
      </c>
      <c r="F813" s="48" t="s">
        <v>23</v>
      </c>
      <c r="G813" s="49">
        <v>60</v>
      </c>
      <c r="H813" s="10">
        <v>60</v>
      </c>
      <c r="I813" s="52">
        <v>120</v>
      </c>
      <c r="J813" s="10">
        <v>120</v>
      </c>
      <c r="K813" s="55"/>
      <c r="L813" s="57">
        <v>0.5</v>
      </c>
      <c r="M813" s="50">
        <v>60</v>
      </c>
      <c r="N813" s="61"/>
      <c r="O813" s="50"/>
      <c r="P813" s="52" t="s">
        <v>20</v>
      </c>
    </row>
    <row r="814" spans="1:16" ht="15.75" customHeight="1" outlineLevel="1">
      <c r="A814" s="28">
        <v>12</v>
      </c>
      <c r="B814" s="32">
        <v>45646</v>
      </c>
      <c r="C814" s="36" t="s">
        <v>530</v>
      </c>
      <c r="D814" s="43">
        <v>1</v>
      </c>
      <c r="E814" s="48" t="s">
        <v>26</v>
      </c>
      <c r="F814" s="48" t="s">
        <v>23</v>
      </c>
      <c r="G814" s="49">
        <v>13</v>
      </c>
      <c r="H814" s="10">
        <v>13</v>
      </c>
      <c r="I814" s="52">
        <v>30</v>
      </c>
      <c r="J814" s="10">
        <v>30</v>
      </c>
      <c r="K814" s="55"/>
      <c r="L814" s="57">
        <v>0.56666666666666665</v>
      </c>
      <c r="M814" s="50">
        <v>17</v>
      </c>
      <c r="N814" s="61"/>
      <c r="O814" s="50"/>
      <c r="P814" s="52" t="s">
        <v>20</v>
      </c>
    </row>
    <row r="815" spans="1:16" ht="15.75" customHeight="1" outlineLevel="1">
      <c r="A815" s="28">
        <v>12</v>
      </c>
      <c r="B815" s="32">
        <v>45646</v>
      </c>
      <c r="C815" s="36" t="s">
        <v>274</v>
      </c>
      <c r="D815" s="43">
        <v>1</v>
      </c>
      <c r="E815" s="48" t="s">
        <v>26</v>
      </c>
      <c r="F815" s="48" t="s">
        <v>23</v>
      </c>
      <c r="G815" s="49">
        <v>0</v>
      </c>
      <c r="H815" s="10">
        <v>0</v>
      </c>
      <c r="I815" s="52">
        <v>50</v>
      </c>
      <c r="J815" s="10">
        <v>50</v>
      </c>
      <c r="K815" s="55"/>
      <c r="L815" s="57">
        <v>1</v>
      </c>
      <c r="M815" s="50">
        <v>50</v>
      </c>
      <c r="N815" s="61"/>
      <c r="O815" s="50"/>
      <c r="P815" s="52" t="s">
        <v>20</v>
      </c>
    </row>
    <row r="816" spans="1:16" ht="15.75" customHeight="1" outlineLevel="1">
      <c r="A816" s="28">
        <v>12</v>
      </c>
      <c r="B816" s="32">
        <v>45646</v>
      </c>
      <c r="C816" s="36" t="s">
        <v>274</v>
      </c>
      <c r="D816" s="43">
        <v>1</v>
      </c>
      <c r="E816" s="48" t="s">
        <v>26</v>
      </c>
      <c r="F816" s="48" t="s">
        <v>23</v>
      </c>
      <c r="G816" s="49">
        <v>0</v>
      </c>
      <c r="H816" s="10">
        <v>0</v>
      </c>
      <c r="I816" s="52">
        <v>10</v>
      </c>
      <c r="J816" s="10">
        <v>10</v>
      </c>
      <c r="K816" s="55"/>
      <c r="L816" s="57">
        <v>1</v>
      </c>
      <c r="M816" s="50">
        <v>10</v>
      </c>
      <c r="N816" s="61"/>
      <c r="O816" s="50"/>
      <c r="P816" s="52" t="s">
        <v>20</v>
      </c>
    </row>
    <row r="817" spans="1:16" ht="15.75" customHeight="1" outlineLevel="1">
      <c r="A817" s="28">
        <v>12</v>
      </c>
      <c r="B817" s="32">
        <v>45647</v>
      </c>
      <c r="C817" s="36" t="s">
        <v>323</v>
      </c>
      <c r="D817" s="43">
        <v>28</v>
      </c>
      <c r="E817" s="48" t="s">
        <v>58</v>
      </c>
      <c r="F817" s="48" t="s">
        <v>23</v>
      </c>
      <c r="G817" s="49">
        <v>7.0000000000000007E-2</v>
      </c>
      <c r="H817" s="10">
        <v>1.9600000000000002</v>
      </c>
      <c r="I817" s="52">
        <v>1</v>
      </c>
      <c r="J817" s="10">
        <v>28</v>
      </c>
      <c r="K817" s="55"/>
      <c r="L817" s="57">
        <v>0.92999999999999994</v>
      </c>
      <c r="M817" s="50">
        <v>26.04</v>
      </c>
      <c r="N817" s="61"/>
      <c r="O817" s="50"/>
      <c r="P817" s="52" t="s">
        <v>20</v>
      </c>
    </row>
    <row r="818" spans="1:16" ht="15.75" customHeight="1" outlineLevel="1">
      <c r="A818" s="28">
        <v>12</v>
      </c>
      <c r="B818" s="32">
        <v>45647</v>
      </c>
      <c r="C818" s="36" t="s">
        <v>364</v>
      </c>
      <c r="D818" s="43">
        <v>1</v>
      </c>
      <c r="E818" s="48" t="s">
        <v>26</v>
      </c>
      <c r="F818" s="48" t="s">
        <v>23</v>
      </c>
      <c r="G818" s="49">
        <v>6</v>
      </c>
      <c r="H818" s="10">
        <v>6</v>
      </c>
      <c r="I818" s="52">
        <v>25</v>
      </c>
      <c r="J818" s="10">
        <v>25</v>
      </c>
      <c r="K818" s="55"/>
      <c r="L818" s="57">
        <v>0.76</v>
      </c>
      <c r="M818" s="50">
        <v>19</v>
      </c>
      <c r="N818" s="61"/>
      <c r="O818" s="50"/>
      <c r="P818" s="52" t="s">
        <v>20</v>
      </c>
    </row>
    <row r="819" spans="1:16" ht="15.75" customHeight="1" outlineLevel="1">
      <c r="A819" s="28">
        <v>12</v>
      </c>
      <c r="B819" s="32">
        <v>45647</v>
      </c>
      <c r="C819" s="36" t="s">
        <v>540</v>
      </c>
      <c r="D819" s="43">
        <v>1</v>
      </c>
      <c r="E819" s="48" t="s">
        <v>541</v>
      </c>
      <c r="F819" s="48" t="s">
        <v>23</v>
      </c>
      <c r="G819" s="49">
        <v>25</v>
      </c>
      <c r="H819" s="10">
        <v>25</v>
      </c>
      <c r="I819" s="52">
        <v>50</v>
      </c>
      <c r="J819" s="10">
        <v>50</v>
      </c>
      <c r="K819" s="55"/>
      <c r="L819" s="57">
        <v>0.5</v>
      </c>
      <c r="M819" s="50">
        <v>25</v>
      </c>
      <c r="N819" s="61"/>
      <c r="O819" s="50"/>
      <c r="P819" s="52" t="s">
        <v>20</v>
      </c>
    </row>
    <row r="820" spans="1:16" ht="15.75" customHeight="1" outlineLevel="1">
      <c r="A820" s="28">
        <v>12</v>
      </c>
      <c r="B820" s="32">
        <v>45648</v>
      </c>
      <c r="C820" s="36" t="s">
        <v>542</v>
      </c>
      <c r="D820" s="43">
        <v>1</v>
      </c>
      <c r="E820" s="48" t="s">
        <v>543</v>
      </c>
      <c r="F820" s="48" t="s">
        <v>23</v>
      </c>
      <c r="G820" s="49">
        <v>20</v>
      </c>
      <c r="H820" s="10">
        <v>20</v>
      </c>
      <c r="I820" s="52">
        <v>50</v>
      </c>
      <c r="J820" s="10">
        <v>50</v>
      </c>
      <c r="K820" s="55"/>
      <c r="L820" s="57">
        <v>0.6</v>
      </c>
      <c r="M820" s="50">
        <v>30</v>
      </c>
      <c r="N820" s="61"/>
      <c r="O820" s="50"/>
      <c r="P820" s="52" t="s">
        <v>20</v>
      </c>
    </row>
    <row r="821" spans="1:16" ht="15.75" customHeight="1" outlineLevel="1">
      <c r="A821" s="28">
        <v>12</v>
      </c>
      <c r="B821" s="32">
        <v>45649</v>
      </c>
      <c r="C821" s="36" t="s">
        <v>505</v>
      </c>
      <c r="D821" s="43">
        <v>2</v>
      </c>
      <c r="E821" s="48" t="s">
        <v>26</v>
      </c>
      <c r="F821" s="48" t="s">
        <v>23</v>
      </c>
      <c r="G821" s="49">
        <v>0.29425000000000001</v>
      </c>
      <c r="H821" s="10">
        <v>0.58850000000000002</v>
      </c>
      <c r="I821" s="52">
        <v>5</v>
      </c>
      <c r="J821" s="10">
        <v>10</v>
      </c>
      <c r="K821" s="55"/>
      <c r="L821" s="57">
        <v>0.94115000000000004</v>
      </c>
      <c r="M821" s="50">
        <v>9.4115000000000002</v>
      </c>
      <c r="N821" s="61"/>
      <c r="O821" s="50"/>
      <c r="P821" s="52" t="s">
        <v>20</v>
      </c>
    </row>
    <row r="822" spans="1:16" ht="15.75" customHeight="1" outlineLevel="1">
      <c r="A822" s="28">
        <v>12</v>
      </c>
      <c r="B822" s="32">
        <v>45649</v>
      </c>
      <c r="C822" s="36" t="s">
        <v>544</v>
      </c>
      <c r="D822" s="43">
        <v>1</v>
      </c>
      <c r="E822" s="48" t="s">
        <v>545</v>
      </c>
      <c r="F822" s="48" t="s">
        <v>23</v>
      </c>
      <c r="G822" s="49" t="s">
        <v>79</v>
      </c>
      <c r="H822" s="10">
        <v>0</v>
      </c>
      <c r="I822" s="52">
        <v>15</v>
      </c>
      <c r="J822" s="10">
        <v>15</v>
      </c>
      <c r="K822" s="55"/>
      <c r="L822" s="57">
        <v>1</v>
      </c>
      <c r="M822" s="50">
        <v>15</v>
      </c>
      <c r="N822" s="61"/>
      <c r="O822" s="50"/>
      <c r="P822" s="52" t="s">
        <v>20</v>
      </c>
    </row>
    <row r="823" spans="1:16" ht="15.75" customHeight="1" outlineLevel="1">
      <c r="A823" s="28">
        <v>12</v>
      </c>
      <c r="B823" s="32">
        <v>45649</v>
      </c>
      <c r="C823" s="36" t="s">
        <v>387</v>
      </c>
      <c r="D823" s="43">
        <v>1</v>
      </c>
      <c r="E823" s="48" t="s">
        <v>26</v>
      </c>
      <c r="F823" s="48" t="s">
        <v>23</v>
      </c>
      <c r="G823" s="49">
        <v>17</v>
      </c>
      <c r="H823" s="10">
        <v>17</v>
      </c>
      <c r="I823" s="52">
        <v>30</v>
      </c>
      <c r="J823" s="10">
        <v>30</v>
      </c>
      <c r="K823" s="55"/>
      <c r="L823" s="57">
        <v>0.43333333333333335</v>
      </c>
      <c r="M823" s="50">
        <v>13</v>
      </c>
      <c r="N823" s="61"/>
      <c r="O823" s="50"/>
      <c r="P823" s="52" t="s">
        <v>20</v>
      </c>
    </row>
    <row r="824" spans="1:16" ht="15.75" customHeight="1" outlineLevel="1">
      <c r="A824" s="28">
        <v>12</v>
      </c>
      <c r="B824" s="32">
        <v>45649</v>
      </c>
      <c r="C824" s="36" t="s">
        <v>546</v>
      </c>
      <c r="D824" s="43">
        <v>1</v>
      </c>
      <c r="E824" s="48" t="s">
        <v>26</v>
      </c>
      <c r="F824" s="48" t="s">
        <v>23</v>
      </c>
      <c r="G824" s="49">
        <v>5</v>
      </c>
      <c r="H824" s="10">
        <v>5</v>
      </c>
      <c r="I824" s="52">
        <v>10</v>
      </c>
      <c r="J824" s="10">
        <v>10</v>
      </c>
      <c r="K824" s="55"/>
      <c r="L824" s="57">
        <v>0.5</v>
      </c>
      <c r="M824" s="50">
        <v>5</v>
      </c>
      <c r="N824" s="61"/>
      <c r="O824" s="50"/>
      <c r="P824" s="52" t="s">
        <v>20</v>
      </c>
    </row>
    <row r="825" spans="1:16" ht="15.75" customHeight="1" outlineLevel="1">
      <c r="A825" s="28">
        <v>12</v>
      </c>
      <c r="B825" s="32">
        <v>45652</v>
      </c>
      <c r="C825" s="36" t="s">
        <v>547</v>
      </c>
      <c r="D825" s="43">
        <v>1</v>
      </c>
      <c r="E825" s="48" t="s">
        <v>548</v>
      </c>
      <c r="F825" s="48" t="s">
        <v>23</v>
      </c>
      <c r="G825" s="49">
        <v>7</v>
      </c>
      <c r="H825" s="10">
        <v>7</v>
      </c>
      <c r="I825" s="52">
        <v>15</v>
      </c>
      <c r="J825" s="10">
        <v>15</v>
      </c>
      <c r="K825" s="55"/>
      <c r="L825" s="57">
        <v>0.53333333333333333</v>
      </c>
      <c r="M825" s="50">
        <v>8</v>
      </c>
      <c r="N825" s="61"/>
      <c r="O825" s="50"/>
      <c r="P825" s="52" t="s">
        <v>20</v>
      </c>
    </row>
    <row r="826" spans="1:16" ht="15.75" customHeight="1" outlineLevel="1">
      <c r="A826" s="28">
        <v>12</v>
      </c>
      <c r="B826" s="32">
        <v>45652</v>
      </c>
      <c r="C826" s="36" t="s">
        <v>274</v>
      </c>
      <c r="D826" s="43">
        <v>1</v>
      </c>
      <c r="E826" s="48" t="s">
        <v>548</v>
      </c>
      <c r="F826" s="48" t="s">
        <v>23</v>
      </c>
      <c r="G826" s="49">
        <v>0</v>
      </c>
      <c r="H826" s="10">
        <v>0</v>
      </c>
      <c r="I826" s="52">
        <v>30</v>
      </c>
      <c r="J826" s="10">
        <v>30</v>
      </c>
      <c r="K826" s="55"/>
      <c r="L826" s="57">
        <v>1</v>
      </c>
      <c r="M826" s="50">
        <v>30</v>
      </c>
      <c r="N826" s="61"/>
      <c r="O826" s="50"/>
      <c r="P826" s="52" t="s">
        <v>20</v>
      </c>
    </row>
    <row r="827" spans="1:16" ht="15.75" customHeight="1" outlineLevel="1">
      <c r="A827" s="28">
        <v>12</v>
      </c>
      <c r="B827" s="32">
        <v>45652</v>
      </c>
      <c r="C827" s="36" t="s">
        <v>549</v>
      </c>
      <c r="D827" s="43">
        <v>1</v>
      </c>
      <c r="E827" s="48" t="s">
        <v>548</v>
      </c>
      <c r="F827" s="48" t="s">
        <v>23</v>
      </c>
      <c r="G827" s="49">
        <v>16</v>
      </c>
      <c r="H827" s="10">
        <v>16</v>
      </c>
      <c r="I827" s="52">
        <v>40</v>
      </c>
      <c r="J827" s="10">
        <v>40</v>
      </c>
      <c r="K827" s="55"/>
      <c r="L827" s="57">
        <v>0.6</v>
      </c>
      <c r="M827" s="50">
        <v>24</v>
      </c>
      <c r="N827" s="61"/>
      <c r="O827" s="50"/>
      <c r="P827" s="52" t="s">
        <v>20</v>
      </c>
    </row>
    <row r="828" spans="1:16" ht="15.75" customHeight="1" outlineLevel="1">
      <c r="A828" s="28">
        <v>12</v>
      </c>
      <c r="B828" s="32">
        <v>45652</v>
      </c>
      <c r="C828" s="36" t="s">
        <v>352</v>
      </c>
      <c r="D828" s="43">
        <v>1</v>
      </c>
      <c r="E828" s="48" t="s">
        <v>26</v>
      </c>
      <c r="F828" s="48" t="s">
        <v>23</v>
      </c>
      <c r="G828" s="49">
        <v>7</v>
      </c>
      <c r="H828" s="10">
        <v>7</v>
      </c>
      <c r="I828" s="52">
        <v>10</v>
      </c>
      <c r="J828" s="10">
        <v>10</v>
      </c>
      <c r="K828" s="55"/>
      <c r="L828" s="57">
        <v>0.3</v>
      </c>
      <c r="M828" s="50">
        <v>3</v>
      </c>
      <c r="N828" s="61"/>
      <c r="O828" s="50"/>
      <c r="P828" s="52" t="s">
        <v>20</v>
      </c>
    </row>
    <row r="829" spans="1:16" ht="15.75" customHeight="1" outlineLevel="1">
      <c r="A829" s="28">
        <v>12</v>
      </c>
      <c r="B829" s="32">
        <v>45653</v>
      </c>
      <c r="C829" s="36" t="s">
        <v>323</v>
      </c>
      <c r="D829" s="43">
        <v>1</v>
      </c>
      <c r="E829" s="48" t="s">
        <v>26</v>
      </c>
      <c r="F829" s="48" t="s">
        <v>23</v>
      </c>
      <c r="G829" s="49">
        <v>7.0000000000000007E-2</v>
      </c>
      <c r="H829" s="10">
        <v>7.0000000000000007E-2</v>
      </c>
      <c r="I829" s="52">
        <v>1</v>
      </c>
      <c r="J829" s="10">
        <v>1</v>
      </c>
      <c r="K829" s="55"/>
      <c r="L829" s="57">
        <v>0.92999999999999994</v>
      </c>
      <c r="M829" s="50">
        <v>0.92999999999999994</v>
      </c>
      <c r="N829" s="61"/>
      <c r="O829" s="50"/>
      <c r="P829" s="52" t="s">
        <v>20</v>
      </c>
    </row>
    <row r="830" spans="1:16" ht="15.75" customHeight="1" outlineLevel="1">
      <c r="A830" s="28">
        <v>12</v>
      </c>
      <c r="B830" s="32">
        <v>45653</v>
      </c>
      <c r="C830" s="36" t="s">
        <v>323</v>
      </c>
      <c r="D830" s="43">
        <v>1</v>
      </c>
      <c r="E830" s="48" t="s">
        <v>455</v>
      </c>
      <c r="F830" s="48" t="s">
        <v>23</v>
      </c>
      <c r="G830" s="49">
        <v>7.0000000000000007E-2</v>
      </c>
      <c r="H830" s="10">
        <v>7.0000000000000007E-2</v>
      </c>
      <c r="I830" s="52">
        <v>1</v>
      </c>
      <c r="J830" s="10">
        <v>1</v>
      </c>
      <c r="K830" s="55"/>
      <c r="L830" s="57">
        <v>0.92999999999999994</v>
      </c>
      <c r="M830" s="50">
        <v>0.92999999999999994</v>
      </c>
      <c r="N830" s="62"/>
      <c r="O830" s="50"/>
      <c r="P830" s="52" t="s">
        <v>20</v>
      </c>
    </row>
    <row r="831" spans="1:16" ht="15.75" customHeight="1" outlineLevel="1">
      <c r="A831" s="28">
        <v>12</v>
      </c>
      <c r="B831" s="32">
        <v>45653</v>
      </c>
      <c r="C831" s="36" t="s">
        <v>544</v>
      </c>
      <c r="D831" s="43">
        <v>1</v>
      </c>
      <c r="E831" s="48" t="s">
        <v>493</v>
      </c>
      <c r="F831" s="48" t="s">
        <v>23</v>
      </c>
      <c r="G831" s="49" t="s">
        <v>79</v>
      </c>
      <c r="H831" s="10">
        <v>0</v>
      </c>
      <c r="I831" s="52">
        <v>30</v>
      </c>
      <c r="J831" s="10">
        <v>30</v>
      </c>
      <c r="K831" s="55"/>
      <c r="L831" s="57">
        <v>1</v>
      </c>
      <c r="M831" s="50">
        <v>30</v>
      </c>
      <c r="N831" s="62"/>
      <c r="O831" s="50"/>
      <c r="P831" s="52" t="s">
        <v>20</v>
      </c>
    </row>
    <row r="832" spans="1:16" ht="15.75" customHeight="1" outlineLevel="1">
      <c r="A832" s="28">
        <v>12</v>
      </c>
      <c r="B832" s="32">
        <v>45653</v>
      </c>
      <c r="C832" s="36" t="s">
        <v>544</v>
      </c>
      <c r="D832" s="43">
        <v>1</v>
      </c>
      <c r="E832" s="48" t="s">
        <v>455</v>
      </c>
      <c r="F832" s="48" t="s">
        <v>23</v>
      </c>
      <c r="G832" s="49" t="s">
        <v>79</v>
      </c>
      <c r="H832" s="10">
        <v>0</v>
      </c>
      <c r="I832" s="52">
        <v>15</v>
      </c>
      <c r="J832" s="10">
        <v>15</v>
      </c>
      <c r="K832" s="55"/>
      <c r="L832" s="57">
        <v>1</v>
      </c>
      <c r="M832" s="50">
        <v>15</v>
      </c>
      <c r="N832" s="62"/>
      <c r="O832" s="50"/>
      <c r="P832" s="52" t="s">
        <v>20</v>
      </c>
    </row>
    <row r="833" spans="1:16" ht="15.75" customHeight="1" outlineLevel="1">
      <c r="A833" s="28">
        <v>12</v>
      </c>
      <c r="B833" s="32">
        <v>45653</v>
      </c>
      <c r="C833" s="36" t="s">
        <v>466</v>
      </c>
      <c r="D833" s="43">
        <v>1</v>
      </c>
      <c r="E833" s="48" t="s">
        <v>26</v>
      </c>
      <c r="F833" s="48" t="s">
        <v>23</v>
      </c>
      <c r="G833" s="49">
        <v>8.3333333333333339</v>
      </c>
      <c r="H833" s="10">
        <v>8.3333333333333339</v>
      </c>
      <c r="I833" s="52">
        <v>25</v>
      </c>
      <c r="J833" s="10">
        <v>25</v>
      </c>
      <c r="K833" s="55"/>
      <c r="L833" s="57">
        <v>0.66666666666666652</v>
      </c>
      <c r="M833" s="50">
        <v>16.666666666666664</v>
      </c>
      <c r="N833" s="61"/>
      <c r="O833" s="50"/>
      <c r="P833" s="52" t="s">
        <v>20</v>
      </c>
    </row>
    <row r="834" spans="1:16" ht="15.75" customHeight="1" outlineLevel="1">
      <c r="A834" s="28">
        <v>12</v>
      </c>
      <c r="B834" s="32">
        <v>45653</v>
      </c>
      <c r="C834" s="36" t="s">
        <v>550</v>
      </c>
      <c r="D834" s="43">
        <v>1</v>
      </c>
      <c r="E834" s="48" t="s">
        <v>26</v>
      </c>
      <c r="F834" s="48" t="s">
        <v>23</v>
      </c>
      <c r="G834" s="49">
        <v>19</v>
      </c>
      <c r="H834" s="10">
        <v>19</v>
      </c>
      <c r="I834" s="52">
        <v>20</v>
      </c>
      <c r="J834" s="10">
        <v>20</v>
      </c>
      <c r="K834" s="55"/>
      <c r="L834" s="57">
        <v>0.05</v>
      </c>
      <c r="M834" s="50">
        <v>1</v>
      </c>
      <c r="N834" s="61"/>
      <c r="O834" s="50"/>
      <c r="P834" s="52" t="s">
        <v>20</v>
      </c>
    </row>
    <row r="835" spans="1:16" ht="15.75" customHeight="1" outlineLevel="1">
      <c r="A835" s="28">
        <v>12</v>
      </c>
      <c r="B835" s="32">
        <v>45654</v>
      </c>
      <c r="C835" s="36" t="s">
        <v>415</v>
      </c>
      <c r="D835" s="43">
        <v>1</v>
      </c>
      <c r="E835" s="48" t="s">
        <v>26</v>
      </c>
      <c r="F835" s="48" t="s">
        <v>23</v>
      </c>
      <c r="G835" s="49">
        <v>10</v>
      </c>
      <c r="H835" s="10">
        <v>10</v>
      </c>
      <c r="I835" s="52">
        <v>15</v>
      </c>
      <c r="J835" s="10">
        <v>15</v>
      </c>
      <c r="K835" s="55"/>
      <c r="L835" s="57">
        <v>0.33333333333333331</v>
      </c>
      <c r="M835" s="50">
        <v>5</v>
      </c>
      <c r="N835" s="61"/>
      <c r="O835" s="50"/>
      <c r="P835" s="52" t="s">
        <v>20</v>
      </c>
    </row>
    <row r="836" spans="1:16" ht="15.75" customHeight="1" outlineLevel="1">
      <c r="A836" s="28">
        <v>12</v>
      </c>
      <c r="B836" s="32">
        <v>45654</v>
      </c>
      <c r="C836" s="36" t="s">
        <v>387</v>
      </c>
      <c r="D836" s="43">
        <v>1</v>
      </c>
      <c r="E836" s="48" t="s">
        <v>26</v>
      </c>
      <c r="F836" s="48" t="s">
        <v>23</v>
      </c>
      <c r="G836" s="49">
        <v>17</v>
      </c>
      <c r="H836" s="10">
        <v>17</v>
      </c>
      <c r="I836" s="52">
        <v>30</v>
      </c>
      <c r="J836" s="10">
        <v>30</v>
      </c>
      <c r="K836" s="55"/>
      <c r="L836" s="57">
        <v>0.43333333333333335</v>
      </c>
      <c r="M836" s="50">
        <v>13</v>
      </c>
      <c r="N836" s="61"/>
      <c r="O836" s="50"/>
      <c r="P836" s="52" t="s">
        <v>20</v>
      </c>
    </row>
    <row r="837" spans="1:16" ht="15.75" customHeight="1" outlineLevel="1">
      <c r="A837" s="28">
        <v>12</v>
      </c>
      <c r="B837" s="32">
        <v>45654</v>
      </c>
      <c r="C837" s="36" t="s">
        <v>97</v>
      </c>
      <c r="D837" s="43">
        <v>1</v>
      </c>
      <c r="E837" s="48" t="s">
        <v>455</v>
      </c>
      <c r="F837" s="48" t="s">
        <v>23</v>
      </c>
      <c r="G837" s="49">
        <v>3</v>
      </c>
      <c r="H837" s="10">
        <v>3</v>
      </c>
      <c r="I837" s="52">
        <v>15</v>
      </c>
      <c r="J837" s="10">
        <v>15</v>
      </c>
      <c r="K837" s="55"/>
      <c r="L837" s="57">
        <v>0.8</v>
      </c>
      <c r="M837" s="50">
        <v>12</v>
      </c>
      <c r="N837" s="61"/>
      <c r="O837" s="50"/>
      <c r="P837" s="52" t="s">
        <v>20</v>
      </c>
    </row>
    <row r="838" spans="1:16" ht="15.75" customHeight="1" outlineLevel="1">
      <c r="A838" s="28">
        <v>12</v>
      </c>
      <c r="B838" s="32">
        <v>45653</v>
      </c>
      <c r="C838" s="36" t="s">
        <v>274</v>
      </c>
      <c r="D838" s="43">
        <v>1</v>
      </c>
      <c r="E838" s="48" t="s">
        <v>455</v>
      </c>
      <c r="F838" s="48" t="s">
        <v>23</v>
      </c>
      <c r="G838" s="49">
        <v>0</v>
      </c>
      <c r="H838" s="10">
        <v>0</v>
      </c>
      <c r="I838" s="52">
        <v>25</v>
      </c>
      <c r="J838" s="10">
        <v>25</v>
      </c>
      <c r="K838" s="55"/>
      <c r="L838" s="57">
        <v>1</v>
      </c>
      <c r="M838" s="50">
        <v>25</v>
      </c>
      <c r="N838" s="61"/>
      <c r="O838" s="50"/>
      <c r="P838" s="52" t="s">
        <v>20</v>
      </c>
    </row>
    <row r="839" spans="1:16" ht="15.75" customHeight="1" outlineLevel="1">
      <c r="A839" s="28">
        <v>12</v>
      </c>
      <c r="B839" s="32">
        <v>45654</v>
      </c>
      <c r="C839" s="36" t="s">
        <v>551</v>
      </c>
      <c r="D839" s="43">
        <v>1</v>
      </c>
      <c r="E839" s="48" t="s">
        <v>26</v>
      </c>
      <c r="F839" s="48" t="s">
        <v>23</v>
      </c>
      <c r="G839" s="49">
        <v>145</v>
      </c>
      <c r="H839" s="10">
        <v>145</v>
      </c>
      <c r="I839" s="52">
        <v>170</v>
      </c>
      <c r="J839" s="10">
        <v>170</v>
      </c>
      <c r="K839" s="55"/>
      <c r="L839" s="57">
        <v>0.14705882352941177</v>
      </c>
      <c r="M839" s="50">
        <v>25</v>
      </c>
      <c r="N839" s="61"/>
      <c r="O839" s="50"/>
      <c r="P839" s="52" t="s">
        <v>20</v>
      </c>
    </row>
    <row r="840" spans="1:16" ht="15.75" customHeight="1" outlineLevel="1">
      <c r="A840" s="28">
        <v>12</v>
      </c>
      <c r="B840" s="32">
        <v>45654</v>
      </c>
      <c r="C840" s="36" t="s">
        <v>274</v>
      </c>
      <c r="D840" s="43">
        <v>1</v>
      </c>
      <c r="E840" s="48" t="s">
        <v>455</v>
      </c>
      <c r="F840" s="48" t="s">
        <v>23</v>
      </c>
      <c r="G840" s="49">
        <v>0</v>
      </c>
      <c r="H840" s="10">
        <v>0</v>
      </c>
      <c r="I840" s="52">
        <v>40</v>
      </c>
      <c r="J840" s="10">
        <v>40</v>
      </c>
      <c r="K840" s="55"/>
      <c r="L840" s="57">
        <v>1</v>
      </c>
      <c r="M840" s="50">
        <v>40</v>
      </c>
      <c r="N840" s="61"/>
      <c r="O840" s="50"/>
      <c r="P840" s="52" t="s">
        <v>20</v>
      </c>
    </row>
    <row r="841" spans="1:16" ht="15.75" customHeight="1" outlineLevel="1">
      <c r="A841" s="28">
        <v>12</v>
      </c>
      <c r="B841" s="32">
        <v>45654</v>
      </c>
      <c r="C841" s="36" t="s">
        <v>352</v>
      </c>
      <c r="D841" s="43">
        <v>1</v>
      </c>
      <c r="E841" s="48" t="s">
        <v>26</v>
      </c>
      <c r="F841" s="48" t="s">
        <v>23</v>
      </c>
      <c r="G841" s="49">
        <v>7</v>
      </c>
      <c r="H841" s="10">
        <v>7</v>
      </c>
      <c r="I841" s="52">
        <v>10</v>
      </c>
      <c r="J841" s="10">
        <v>10</v>
      </c>
      <c r="K841" s="55"/>
      <c r="L841" s="57">
        <v>0.3</v>
      </c>
      <c r="M841" s="50">
        <v>3</v>
      </c>
      <c r="N841" s="61"/>
      <c r="O841" s="50"/>
      <c r="P841" s="52" t="s">
        <v>20</v>
      </c>
    </row>
    <row r="842" spans="1:16" ht="15.75" customHeight="1" outlineLevel="1">
      <c r="A842" s="28">
        <v>12</v>
      </c>
      <c r="B842" s="32">
        <v>45656</v>
      </c>
      <c r="C842" s="36" t="s">
        <v>274</v>
      </c>
      <c r="D842" s="43">
        <v>1</v>
      </c>
      <c r="E842" s="48" t="s">
        <v>457</v>
      </c>
      <c r="F842" s="48" t="s">
        <v>23</v>
      </c>
      <c r="G842" s="49">
        <v>0</v>
      </c>
      <c r="H842" s="10">
        <v>0</v>
      </c>
      <c r="I842" s="52">
        <v>22</v>
      </c>
      <c r="J842" s="10">
        <v>22</v>
      </c>
      <c r="K842" s="55"/>
      <c r="L842" s="57">
        <v>1</v>
      </c>
      <c r="M842" s="50">
        <v>22</v>
      </c>
      <c r="N842" s="61"/>
      <c r="O842" s="50"/>
      <c r="P842" s="52" t="s">
        <v>20</v>
      </c>
    </row>
    <row r="843" spans="1:16" ht="15.75" customHeight="1" outlineLevel="1">
      <c r="A843" s="28">
        <v>12</v>
      </c>
      <c r="B843" s="32">
        <v>45657</v>
      </c>
      <c r="C843" s="36" t="s">
        <v>274</v>
      </c>
      <c r="D843" s="43">
        <v>1</v>
      </c>
      <c r="E843" s="48" t="s">
        <v>457</v>
      </c>
      <c r="F843" s="48" t="s">
        <v>23</v>
      </c>
      <c r="G843" s="49">
        <v>0</v>
      </c>
      <c r="H843" s="10">
        <v>0</v>
      </c>
      <c r="I843" s="52">
        <v>30</v>
      </c>
      <c r="J843" s="10">
        <v>30</v>
      </c>
      <c r="K843" s="55"/>
      <c r="L843" s="57">
        <v>1</v>
      </c>
      <c r="M843" s="50">
        <v>30</v>
      </c>
      <c r="N843" s="61"/>
      <c r="O843" s="50"/>
      <c r="P843" s="52" t="s">
        <v>20</v>
      </c>
    </row>
    <row r="844" spans="1:16" ht="15.75" customHeight="1" outlineLevel="1">
      <c r="A844" s="28">
        <v>12</v>
      </c>
      <c r="B844" s="32">
        <v>45657</v>
      </c>
      <c r="C844" s="36" t="s">
        <v>183</v>
      </c>
      <c r="D844" s="43">
        <v>1</v>
      </c>
      <c r="E844" s="48" t="s">
        <v>26</v>
      </c>
      <c r="F844" s="48" t="s">
        <v>23</v>
      </c>
      <c r="G844" s="49">
        <v>5</v>
      </c>
      <c r="H844" s="10">
        <v>5</v>
      </c>
      <c r="I844" s="52">
        <v>20</v>
      </c>
      <c r="J844" s="10">
        <v>20</v>
      </c>
      <c r="K844" s="55"/>
      <c r="L844" s="57">
        <v>0.75</v>
      </c>
      <c r="M844" s="50">
        <v>15</v>
      </c>
      <c r="N844" s="61"/>
      <c r="O844" s="50"/>
      <c r="P844" s="52" t="s">
        <v>20</v>
      </c>
    </row>
    <row r="845" spans="1:16" ht="15.75" customHeight="1" outlineLevel="1">
      <c r="A845" s="28">
        <v>12</v>
      </c>
      <c r="B845" s="32">
        <v>45657</v>
      </c>
      <c r="C845" s="36" t="s">
        <v>552</v>
      </c>
      <c r="D845" s="43">
        <v>1</v>
      </c>
      <c r="E845" s="48" t="s">
        <v>26</v>
      </c>
      <c r="F845" s="48" t="s">
        <v>23</v>
      </c>
      <c r="G845" s="49">
        <v>50</v>
      </c>
      <c r="H845" s="10">
        <v>50</v>
      </c>
      <c r="I845" s="52">
        <v>100</v>
      </c>
      <c r="J845" s="10">
        <v>100</v>
      </c>
      <c r="K845" s="55"/>
      <c r="L845" s="57">
        <v>0.5</v>
      </c>
      <c r="M845" s="50">
        <v>50</v>
      </c>
      <c r="N845" s="61"/>
      <c r="O845" s="50"/>
      <c r="P845" s="52" t="s">
        <v>20</v>
      </c>
    </row>
    <row r="846" spans="1:16" ht="15.75" customHeight="1" outlineLevel="1">
      <c r="A846" s="28">
        <v>12</v>
      </c>
      <c r="B846" s="32">
        <v>45657</v>
      </c>
      <c r="C846" s="36" t="s">
        <v>553</v>
      </c>
      <c r="D846" s="43">
        <v>1</v>
      </c>
      <c r="E846" s="48" t="s">
        <v>26</v>
      </c>
      <c r="F846" s="48" t="s">
        <v>23</v>
      </c>
      <c r="G846" s="49">
        <v>15</v>
      </c>
      <c r="H846" s="10">
        <v>15</v>
      </c>
      <c r="I846" s="52">
        <v>35</v>
      </c>
      <c r="J846" s="10">
        <v>35</v>
      </c>
      <c r="K846" s="55"/>
      <c r="L846" s="57">
        <v>0.5714285714285714</v>
      </c>
      <c r="M846" s="50">
        <v>20</v>
      </c>
      <c r="N846" s="61"/>
      <c r="O846" s="50"/>
      <c r="P846" s="52" t="s">
        <v>20</v>
      </c>
    </row>
    <row r="847" spans="1:16" ht="15" customHeight="1">
      <c r="B847" s="18"/>
      <c r="C847" s="19"/>
      <c r="D847" s="20"/>
      <c r="E847" s="20"/>
      <c r="F847" s="21"/>
      <c r="G847" s="21"/>
      <c r="H847" s="22"/>
      <c r="I847" s="22"/>
      <c r="J847" s="21"/>
      <c r="K847" s="22"/>
      <c r="L847" s="22"/>
      <c r="M847" s="21"/>
      <c r="N847" s="23"/>
      <c r="O847" s="24"/>
    </row>
    <row r="848" spans="1:16" ht="15" customHeight="1">
      <c r="B848" s="18"/>
      <c r="C848" s="19"/>
      <c r="D848" s="20"/>
      <c r="E848" s="20"/>
      <c r="F848" s="21"/>
      <c r="G848" s="21"/>
      <c r="H848" s="22"/>
      <c r="I848" s="22"/>
      <c r="J848" s="21"/>
      <c r="K848" s="22"/>
      <c r="L848" s="22"/>
      <c r="M848" s="21"/>
      <c r="N848" s="23"/>
      <c r="O848" s="24"/>
    </row>
    <row r="849" spans="2:15" ht="15" customHeight="1">
      <c r="B849" s="18"/>
      <c r="C849" s="19"/>
      <c r="D849" s="20"/>
      <c r="E849" s="20"/>
      <c r="F849" s="21"/>
      <c r="G849" s="21"/>
      <c r="H849" s="22"/>
      <c r="I849" s="22"/>
      <c r="J849" s="21"/>
      <c r="K849" s="22"/>
      <c r="L849" s="22"/>
      <c r="M849" s="21"/>
      <c r="N849" s="23"/>
      <c r="O849" s="24"/>
    </row>
    <row r="850" spans="2:15" ht="15" customHeight="1">
      <c r="B850" s="18"/>
      <c r="C850" s="19"/>
      <c r="D850" s="20"/>
      <c r="E850" s="20"/>
      <c r="F850" s="21"/>
      <c r="G850" s="21"/>
      <c r="H850" s="22"/>
      <c r="I850" s="22"/>
      <c r="J850" s="21"/>
      <c r="K850" s="22"/>
      <c r="L850" s="22"/>
      <c r="M850" s="21"/>
      <c r="N850" s="23"/>
      <c r="O850" s="24"/>
    </row>
    <row r="851" spans="2:15" ht="15" customHeight="1">
      <c r="B851" s="18"/>
      <c r="C851" s="19"/>
      <c r="D851" s="20"/>
      <c r="E851" s="20"/>
      <c r="F851" s="21"/>
      <c r="G851" s="21"/>
      <c r="H851" s="22"/>
      <c r="I851" s="22"/>
      <c r="J851" s="21"/>
      <c r="K851" s="22"/>
      <c r="L851" s="22"/>
      <c r="M851" s="21"/>
      <c r="N851" s="23"/>
      <c r="O851" s="24"/>
    </row>
    <row r="852" spans="2:15" ht="15" customHeight="1">
      <c r="B852" s="18"/>
      <c r="C852" s="19"/>
      <c r="D852" s="20"/>
      <c r="E852" s="20"/>
      <c r="F852" s="21"/>
      <c r="G852" s="21"/>
      <c r="H852" s="22"/>
      <c r="I852" s="22"/>
      <c r="J852" s="21"/>
      <c r="K852" s="22"/>
      <c r="L852" s="22"/>
      <c r="M852" s="21"/>
      <c r="N852" s="23"/>
      <c r="O852" s="24"/>
    </row>
    <row r="853" spans="2:15" ht="15" customHeight="1">
      <c r="B853" s="18"/>
      <c r="C853" s="19"/>
      <c r="D853" s="20"/>
      <c r="E853" s="20"/>
      <c r="F853" s="21"/>
      <c r="G853" s="21"/>
      <c r="H853" s="22"/>
      <c r="I853" s="22"/>
      <c r="J853" s="21"/>
      <c r="K853" s="22"/>
      <c r="L853" s="22"/>
      <c r="M853" s="21"/>
      <c r="N853" s="23"/>
      <c r="O853" s="24"/>
    </row>
    <row r="854" spans="2:15" ht="15" customHeight="1">
      <c r="B854" s="18"/>
      <c r="C854" s="19"/>
      <c r="D854" s="20"/>
      <c r="E854" s="20"/>
      <c r="F854" s="21"/>
      <c r="G854" s="21"/>
      <c r="H854" s="22"/>
      <c r="I854" s="22"/>
      <c r="J854" s="21"/>
      <c r="K854" s="22"/>
      <c r="L854" s="22"/>
      <c r="M854" s="21"/>
      <c r="N854" s="23"/>
      <c r="O854" s="24"/>
    </row>
    <row r="855" spans="2:15" ht="15" customHeight="1">
      <c r="B855" s="18"/>
      <c r="C855" s="19"/>
      <c r="D855" s="20"/>
      <c r="E855" s="20"/>
      <c r="F855" s="21"/>
      <c r="G855" s="21"/>
      <c r="H855" s="22"/>
      <c r="I855" s="22"/>
      <c r="J855" s="21"/>
      <c r="K855" s="22"/>
      <c r="L855" s="22"/>
      <c r="M855" s="21"/>
      <c r="N855" s="23"/>
      <c r="O855" s="24"/>
    </row>
    <row r="856" spans="2:15" ht="15" customHeight="1">
      <c r="B856" s="18"/>
      <c r="C856" s="19"/>
      <c r="D856" s="20"/>
      <c r="E856" s="20"/>
      <c r="F856" s="21"/>
      <c r="G856" s="21"/>
      <c r="H856" s="22"/>
      <c r="I856" s="22"/>
      <c r="J856" s="21"/>
      <c r="K856" s="22"/>
      <c r="L856" s="22"/>
      <c r="M856" s="21"/>
      <c r="N856" s="23"/>
      <c r="O856" s="24"/>
    </row>
    <row r="857" spans="2:15" ht="15" customHeight="1">
      <c r="B857" s="18"/>
      <c r="C857" s="19"/>
      <c r="D857" s="20"/>
      <c r="E857" s="20"/>
      <c r="F857" s="21"/>
      <c r="G857" s="21"/>
      <c r="H857" s="22"/>
      <c r="I857" s="22"/>
      <c r="J857" s="21"/>
      <c r="K857" s="22"/>
      <c r="L857" s="22"/>
      <c r="M857" s="21"/>
      <c r="N857" s="23"/>
      <c r="O857" s="24"/>
    </row>
    <row r="858" spans="2:15" ht="15" customHeight="1">
      <c r="B858" s="18"/>
      <c r="C858" s="19"/>
      <c r="D858" s="20"/>
      <c r="E858" s="20"/>
      <c r="F858" s="21"/>
      <c r="G858" s="21"/>
      <c r="H858" s="22"/>
      <c r="I858" s="22"/>
      <c r="J858" s="21"/>
      <c r="K858" s="22"/>
      <c r="L858" s="22"/>
      <c r="M858" s="21"/>
      <c r="N858" s="23"/>
      <c r="O858" s="24"/>
    </row>
    <row r="859" spans="2:15" ht="15" customHeight="1">
      <c r="B859" s="18"/>
      <c r="C859" s="19"/>
      <c r="D859" s="20"/>
      <c r="E859" s="20"/>
      <c r="F859" s="21"/>
      <c r="G859" s="21"/>
      <c r="H859" s="22"/>
      <c r="I859" s="22"/>
      <c r="J859" s="21"/>
      <c r="K859" s="22"/>
      <c r="L859" s="22"/>
      <c r="M859" s="21"/>
      <c r="N859" s="23"/>
      <c r="O859" s="24"/>
    </row>
    <row r="860" spans="2:15" ht="15" customHeight="1">
      <c r="B860" s="18"/>
      <c r="C860" s="19"/>
      <c r="D860" s="20"/>
      <c r="E860" s="20"/>
      <c r="F860" s="21"/>
      <c r="G860" s="21"/>
      <c r="H860" s="22"/>
      <c r="I860" s="22"/>
      <c r="J860" s="21"/>
      <c r="K860" s="22"/>
      <c r="L860" s="22"/>
      <c r="M860" s="21"/>
      <c r="N860" s="23"/>
      <c r="O860" s="24"/>
    </row>
    <row r="861" spans="2:15" ht="15" customHeight="1">
      <c r="B861" s="18"/>
      <c r="C861" s="19"/>
      <c r="D861" s="20"/>
      <c r="E861" s="20"/>
      <c r="F861" s="21"/>
      <c r="G861" s="21"/>
      <c r="H861" s="22"/>
      <c r="I861" s="22"/>
      <c r="J861" s="21"/>
      <c r="K861" s="22"/>
      <c r="L861" s="22"/>
      <c r="M861" s="21"/>
      <c r="N861" s="23"/>
      <c r="O861" s="24"/>
    </row>
    <row r="862" spans="2:15" ht="15" customHeight="1">
      <c r="B862" s="18"/>
      <c r="C862" s="19"/>
      <c r="D862" s="20"/>
      <c r="E862" s="20"/>
      <c r="F862" s="21"/>
      <c r="G862" s="21"/>
      <c r="H862" s="22"/>
      <c r="I862" s="22"/>
      <c r="J862" s="21"/>
      <c r="K862" s="22"/>
      <c r="L862" s="22"/>
      <c r="M862" s="21"/>
      <c r="N862" s="23"/>
      <c r="O862" s="24"/>
    </row>
    <row r="863" spans="2:15" ht="15" customHeight="1">
      <c r="B863" s="18"/>
      <c r="C863" s="19"/>
      <c r="D863" s="20"/>
      <c r="E863" s="20"/>
      <c r="F863" s="21"/>
      <c r="G863" s="21"/>
      <c r="H863" s="22"/>
      <c r="I863" s="22"/>
      <c r="J863" s="21"/>
      <c r="K863" s="22"/>
      <c r="L863" s="22"/>
      <c r="M863" s="21"/>
      <c r="N863" s="23"/>
      <c r="O863" s="24"/>
    </row>
    <row r="864" spans="2:15" ht="15" customHeight="1">
      <c r="B864" s="18"/>
      <c r="C864" s="19"/>
      <c r="D864" s="20"/>
      <c r="E864" s="20"/>
      <c r="F864" s="21"/>
      <c r="G864" s="21"/>
      <c r="H864" s="22"/>
      <c r="I864" s="22"/>
      <c r="J864" s="21"/>
      <c r="K864" s="22"/>
      <c r="L864" s="22"/>
      <c r="M864" s="21"/>
      <c r="N864" s="23"/>
      <c r="O864" s="24"/>
    </row>
    <row r="865" spans="2:15" ht="15" customHeight="1">
      <c r="B865" s="18"/>
      <c r="C865" s="19"/>
      <c r="D865" s="20"/>
      <c r="E865" s="20"/>
      <c r="F865" s="21"/>
      <c r="G865" s="21"/>
      <c r="H865" s="22"/>
      <c r="I865" s="22"/>
      <c r="J865" s="21"/>
      <c r="K865" s="22"/>
      <c r="L865" s="22"/>
      <c r="M865" s="21"/>
      <c r="N865" s="23"/>
      <c r="O865" s="24"/>
    </row>
    <row r="866" spans="2:15" ht="15" customHeight="1">
      <c r="B866" s="18"/>
      <c r="C866" s="19"/>
      <c r="D866" s="20"/>
      <c r="E866" s="20"/>
      <c r="F866" s="21"/>
      <c r="G866" s="21"/>
      <c r="H866" s="22"/>
      <c r="I866" s="22"/>
      <c r="J866" s="21"/>
      <c r="K866" s="22"/>
      <c r="L866" s="22"/>
      <c r="M866" s="21"/>
      <c r="N866" s="23"/>
      <c r="O866" s="24"/>
    </row>
    <row r="867" spans="2:15" ht="15" customHeight="1">
      <c r="B867" s="18"/>
      <c r="C867" s="19"/>
      <c r="D867" s="20"/>
      <c r="E867" s="20"/>
      <c r="F867" s="21"/>
      <c r="G867" s="21"/>
      <c r="H867" s="22"/>
      <c r="I867" s="22"/>
      <c r="J867" s="21"/>
      <c r="K867" s="22"/>
      <c r="L867" s="22"/>
      <c r="M867" s="21"/>
      <c r="N867" s="23"/>
      <c r="O867" s="24"/>
    </row>
    <row r="868" spans="2:15" ht="15" customHeight="1">
      <c r="B868" s="18"/>
      <c r="C868" s="19"/>
      <c r="D868" s="20"/>
      <c r="E868" s="20"/>
      <c r="F868" s="21"/>
      <c r="G868" s="21"/>
      <c r="H868" s="22"/>
      <c r="I868" s="22"/>
      <c r="J868" s="21"/>
      <c r="K868" s="22"/>
      <c r="L868" s="22"/>
      <c r="M868" s="21"/>
      <c r="N868" s="23"/>
      <c r="O868" s="24"/>
    </row>
    <row r="869" spans="2:15" ht="15" customHeight="1">
      <c r="B869" s="18"/>
      <c r="C869" s="19"/>
      <c r="D869" s="20"/>
      <c r="E869" s="20"/>
      <c r="F869" s="21"/>
      <c r="G869" s="21"/>
      <c r="H869" s="22"/>
      <c r="I869" s="22"/>
      <c r="J869" s="21"/>
      <c r="K869" s="22"/>
      <c r="L869" s="22"/>
      <c r="M869" s="21"/>
      <c r="N869" s="23"/>
      <c r="O869" s="24"/>
    </row>
    <row r="870" spans="2:15" ht="15" customHeight="1">
      <c r="B870" s="18"/>
      <c r="C870" s="19"/>
      <c r="D870" s="20"/>
      <c r="E870" s="20"/>
      <c r="F870" s="21"/>
      <c r="G870" s="21"/>
      <c r="H870" s="22"/>
      <c r="I870" s="22"/>
      <c r="J870" s="21"/>
      <c r="K870" s="22"/>
      <c r="L870" s="22"/>
      <c r="M870" s="21"/>
      <c r="N870" s="23"/>
      <c r="O870" s="24"/>
    </row>
    <row r="871" spans="2:15" ht="15" customHeight="1">
      <c r="B871" s="18"/>
      <c r="C871" s="19"/>
      <c r="D871" s="20"/>
      <c r="E871" s="20"/>
      <c r="F871" s="21"/>
      <c r="G871" s="21"/>
      <c r="H871" s="22"/>
      <c r="I871" s="22"/>
      <c r="J871" s="21"/>
      <c r="K871" s="22"/>
      <c r="L871" s="22"/>
      <c r="M871" s="21"/>
      <c r="N871" s="23"/>
      <c r="O871" s="24"/>
    </row>
    <row r="872" spans="2:15" ht="15" customHeight="1">
      <c r="B872" s="18"/>
      <c r="C872" s="19"/>
      <c r="D872" s="20"/>
      <c r="E872" s="20"/>
      <c r="F872" s="21"/>
      <c r="G872" s="21"/>
      <c r="H872" s="22"/>
      <c r="I872" s="22"/>
      <c r="J872" s="21"/>
      <c r="K872" s="22"/>
      <c r="L872" s="22"/>
      <c r="M872" s="21"/>
      <c r="N872" s="23"/>
      <c r="O872" s="24"/>
    </row>
    <row r="873" spans="2:15" ht="15" customHeight="1">
      <c r="B873" s="18"/>
      <c r="C873" s="19"/>
      <c r="D873" s="20"/>
      <c r="E873" s="20"/>
      <c r="F873" s="21"/>
      <c r="G873" s="21"/>
      <c r="H873" s="22"/>
      <c r="I873" s="22"/>
      <c r="J873" s="21"/>
      <c r="K873" s="22"/>
      <c r="L873" s="22"/>
      <c r="M873" s="21"/>
      <c r="N873" s="23"/>
      <c r="O873" s="24"/>
    </row>
    <row r="874" spans="2:15" ht="15" customHeight="1">
      <c r="B874" s="18"/>
      <c r="C874" s="19"/>
      <c r="D874" s="20"/>
      <c r="E874" s="20"/>
      <c r="F874" s="21"/>
      <c r="G874" s="21"/>
      <c r="H874" s="22"/>
      <c r="I874" s="22"/>
      <c r="J874" s="21"/>
      <c r="K874" s="22"/>
      <c r="L874" s="22"/>
      <c r="M874" s="21"/>
      <c r="N874" s="23"/>
      <c r="O874" s="24"/>
    </row>
    <row r="875" spans="2:15" ht="15" customHeight="1">
      <c r="B875" s="18"/>
      <c r="C875" s="19"/>
      <c r="D875" s="20"/>
      <c r="E875" s="20"/>
      <c r="F875" s="21"/>
      <c r="G875" s="21"/>
      <c r="H875" s="22"/>
      <c r="I875" s="22"/>
      <c r="J875" s="21"/>
      <c r="K875" s="22"/>
      <c r="L875" s="22"/>
      <c r="M875" s="21"/>
      <c r="N875" s="23"/>
      <c r="O875" s="24"/>
    </row>
    <row r="876" spans="2:15" ht="15" customHeight="1">
      <c r="B876" s="18"/>
      <c r="C876" s="19"/>
      <c r="D876" s="20"/>
      <c r="E876" s="20"/>
      <c r="F876" s="21"/>
      <c r="G876" s="21"/>
      <c r="H876" s="22"/>
      <c r="I876" s="22"/>
      <c r="J876" s="21"/>
      <c r="K876" s="22"/>
      <c r="L876" s="22"/>
      <c r="M876" s="21"/>
      <c r="N876" s="23"/>
      <c r="O876" s="24"/>
    </row>
    <row r="877" spans="2:15" ht="15" customHeight="1">
      <c r="B877" s="18"/>
      <c r="C877" s="19"/>
      <c r="D877" s="20"/>
      <c r="E877" s="20"/>
      <c r="F877" s="21"/>
      <c r="G877" s="21"/>
      <c r="H877" s="22"/>
      <c r="I877" s="22"/>
      <c r="J877" s="21"/>
      <c r="K877" s="22"/>
      <c r="L877" s="22"/>
      <c r="M877" s="21"/>
      <c r="N877" s="23"/>
      <c r="O877" s="24"/>
    </row>
    <row r="878" spans="2:15" ht="15" customHeight="1">
      <c r="B878" s="18"/>
      <c r="C878" s="19"/>
      <c r="D878" s="20"/>
      <c r="E878" s="20"/>
      <c r="F878" s="21"/>
      <c r="G878" s="21"/>
      <c r="H878" s="22"/>
      <c r="I878" s="22"/>
      <c r="J878" s="21"/>
      <c r="K878" s="22"/>
      <c r="L878" s="22"/>
      <c r="M878" s="21"/>
      <c r="N878" s="23"/>
      <c r="O878" s="24"/>
    </row>
    <row r="879" spans="2:15" ht="15" customHeight="1">
      <c r="B879" s="18"/>
      <c r="C879" s="19"/>
      <c r="D879" s="20"/>
      <c r="E879" s="20"/>
      <c r="F879" s="21"/>
      <c r="G879" s="21"/>
      <c r="H879" s="22"/>
      <c r="I879" s="22"/>
      <c r="J879" s="21"/>
      <c r="K879" s="22"/>
      <c r="L879" s="22"/>
      <c r="M879" s="21"/>
      <c r="N879" s="23"/>
      <c r="O879" s="24"/>
    </row>
    <row r="880" spans="2:15" ht="15" customHeight="1">
      <c r="B880" s="18"/>
      <c r="C880" s="19"/>
      <c r="D880" s="20"/>
      <c r="E880" s="20"/>
      <c r="F880" s="21"/>
      <c r="G880" s="21"/>
      <c r="H880" s="22"/>
      <c r="I880" s="22"/>
      <c r="J880" s="21"/>
      <c r="K880" s="22"/>
      <c r="L880" s="22"/>
      <c r="M880" s="21"/>
      <c r="N880" s="23"/>
      <c r="O880" s="24"/>
    </row>
    <row r="881" spans="2:15" ht="15" customHeight="1">
      <c r="B881" s="18"/>
      <c r="C881" s="19"/>
      <c r="D881" s="20"/>
      <c r="E881" s="20"/>
      <c r="F881" s="21"/>
      <c r="G881" s="21"/>
      <c r="H881" s="22"/>
      <c r="I881" s="22"/>
      <c r="J881" s="21"/>
      <c r="K881" s="22"/>
      <c r="L881" s="22"/>
      <c r="M881" s="21"/>
      <c r="N881" s="23"/>
      <c r="O881" s="24"/>
    </row>
    <row r="882" spans="2:15" ht="15" customHeight="1">
      <c r="B882" s="18"/>
      <c r="C882" s="19"/>
      <c r="D882" s="20"/>
      <c r="E882" s="20"/>
      <c r="F882" s="21"/>
      <c r="G882" s="21"/>
      <c r="H882" s="22"/>
      <c r="I882" s="22"/>
      <c r="J882" s="21"/>
      <c r="K882" s="22"/>
      <c r="L882" s="22"/>
      <c r="M882" s="21"/>
      <c r="N882" s="23"/>
      <c r="O882" s="24"/>
    </row>
    <row r="883" spans="2:15" ht="15" customHeight="1">
      <c r="B883" s="18"/>
      <c r="C883" s="19"/>
      <c r="D883" s="20"/>
      <c r="E883" s="20"/>
      <c r="F883" s="21"/>
      <c r="G883" s="21"/>
      <c r="H883" s="22"/>
      <c r="I883" s="22"/>
      <c r="J883" s="21"/>
      <c r="K883" s="22"/>
      <c r="L883" s="22"/>
      <c r="M883" s="21"/>
      <c r="N883" s="23"/>
      <c r="O883" s="24"/>
    </row>
    <row r="884" spans="2:15" ht="15" customHeight="1">
      <c r="B884" s="18"/>
      <c r="C884" s="19"/>
      <c r="D884" s="20"/>
      <c r="E884" s="20"/>
      <c r="F884" s="21"/>
      <c r="G884" s="21"/>
      <c r="H884" s="22"/>
      <c r="I884" s="22"/>
      <c r="J884" s="21"/>
      <c r="K884" s="22"/>
      <c r="L884" s="22"/>
      <c r="M884" s="21"/>
      <c r="N884" s="23"/>
      <c r="O884" s="24"/>
    </row>
    <row r="885" spans="2:15" ht="15" customHeight="1">
      <c r="B885" s="18"/>
      <c r="C885" s="19"/>
      <c r="D885" s="20"/>
      <c r="E885" s="20"/>
      <c r="F885" s="21"/>
      <c r="G885" s="21"/>
      <c r="H885" s="22"/>
      <c r="I885" s="22"/>
      <c r="J885" s="21"/>
      <c r="K885" s="22"/>
      <c r="L885" s="22"/>
      <c r="M885" s="21"/>
      <c r="N885" s="23"/>
      <c r="O885" s="24"/>
    </row>
    <row r="886" spans="2:15" ht="15" customHeight="1">
      <c r="B886" s="18"/>
      <c r="C886" s="19"/>
      <c r="D886" s="20"/>
      <c r="E886" s="20"/>
      <c r="F886" s="21"/>
      <c r="G886" s="21"/>
      <c r="H886" s="22"/>
      <c r="I886" s="22"/>
      <c r="J886" s="21"/>
      <c r="K886" s="22"/>
      <c r="L886" s="22"/>
      <c r="M886" s="21"/>
      <c r="N886" s="23"/>
      <c r="O886" s="24"/>
    </row>
    <row r="887" spans="2:15" ht="15" customHeight="1">
      <c r="B887" s="18"/>
      <c r="C887" s="19"/>
      <c r="D887" s="20"/>
      <c r="E887" s="20"/>
      <c r="F887" s="21"/>
      <c r="G887" s="21"/>
      <c r="H887" s="22"/>
      <c r="I887" s="22"/>
      <c r="J887" s="21"/>
      <c r="K887" s="22"/>
      <c r="L887" s="22"/>
      <c r="M887" s="21"/>
      <c r="N887" s="23"/>
      <c r="O887" s="24"/>
    </row>
    <row r="888" spans="2:15" ht="15" customHeight="1">
      <c r="B888" s="18"/>
      <c r="C888" s="19"/>
      <c r="D888" s="20"/>
      <c r="E888" s="20"/>
      <c r="F888" s="21"/>
      <c r="G888" s="21"/>
      <c r="H888" s="22"/>
      <c r="I888" s="22"/>
      <c r="J888" s="21"/>
      <c r="K888" s="22"/>
      <c r="L888" s="22"/>
      <c r="M888" s="21"/>
      <c r="N888" s="23"/>
      <c r="O888" s="24"/>
    </row>
    <row r="889" spans="2:15" ht="15" customHeight="1">
      <c r="B889" s="18"/>
      <c r="C889" s="19"/>
      <c r="D889" s="20"/>
      <c r="E889" s="20"/>
      <c r="F889" s="21"/>
      <c r="G889" s="21"/>
      <c r="H889" s="22"/>
      <c r="I889" s="22"/>
      <c r="J889" s="21"/>
      <c r="K889" s="22"/>
      <c r="L889" s="22"/>
      <c r="M889" s="21"/>
      <c r="N889" s="23"/>
      <c r="O889" s="24"/>
    </row>
    <row r="890" spans="2:15" ht="15" customHeight="1">
      <c r="B890" s="18"/>
      <c r="C890" s="19"/>
      <c r="D890" s="20"/>
      <c r="E890" s="20"/>
      <c r="F890" s="21"/>
      <c r="G890" s="21"/>
      <c r="H890" s="22"/>
      <c r="I890" s="22"/>
      <c r="J890" s="21"/>
      <c r="K890" s="22"/>
      <c r="L890" s="22"/>
      <c r="M890" s="21"/>
      <c r="N890" s="23"/>
      <c r="O890" s="24"/>
    </row>
    <row r="891" spans="2:15" ht="15" customHeight="1">
      <c r="B891" s="18"/>
      <c r="C891" s="19"/>
      <c r="D891" s="20"/>
      <c r="E891" s="20"/>
      <c r="F891" s="21"/>
      <c r="G891" s="21"/>
      <c r="H891" s="22"/>
      <c r="I891" s="22"/>
      <c r="J891" s="21"/>
      <c r="K891" s="22"/>
      <c r="L891" s="22"/>
      <c r="M891" s="21"/>
      <c r="N891" s="23"/>
      <c r="O891" s="24"/>
    </row>
    <row r="892" spans="2:15" ht="15" customHeight="1">
      <c r="B892" s="18"/>
      <c r="C892" s="19"/>
      <c r="D892" s="20"/>
      <c r="E892" s="20"/>
      <c r="F892" s="21"/>
      <c r="G892" s="21"/>
      <c r="H892" s="22"/>
      <c r="I892" s="22"/>
      <c r="J892" s="21"/>
      <c r="K892" s="22"/>
      <c r="L892" s="22"/>
      <c r="M892" s="21"/>
      <c r="N892" s="23"/>
      <c r="O892" s="24"/>
    </row>
    <row r="893" spans="2:15" ht="15" customHeight="1">
      <c r="B893" s="18"/>
      <c r="C893" s="19"/>
      <c r="D893" s="20"/>
      <c r="E893" s="20"/>
      <c r="F893" s="21"/>
      <c r="G893" s="21"/>
      <c r="H893" s="22"/>
      <c r="I893" s="22"/>
      <c r="J893" s="21"/>
      <c r="K893" s="22"/>
      <c r="L893" s="22"/>
      <c r="M893" s="21"/>
      <c r="N893" s="23"/>
      <c r="O893" s="24"/>
    </row>
    <row r="894" spans="2:15" ht="15" customHeight="1">
      <c r="B894" s="18"/>
      <c r="C894" s="19"/>
      <c r="D894" s="20"/>
      <c r="E894" s="20"/>
      <c r="F894" s="21"/>
      <c r="G894" s="21"/>
      <c r="H894" s="22"/>
      <c r="I894" s="22"/>
      <c r="J894" s="21"/>
      <c r="K894" s="22"/>
      <c r="L894" s="22"/>
      <c r="M894" s="21"/>
      <c r="N894" s="23"/>
      <c r="O894" s="24"/>
    </row>
    <row r="895" spans="2:15" ht="15" customHeight="1">
      <c r="B895" s="18"/>
      <c r="C895" s="19"/>
      <c r="D895" s="20"/>
      <c r="E895" s="20"/>
      <c r="F895" s="21"/>
      <c r="G895" s="21"/>
      <c r="H895" s="22"/>
      <c r="I895" s="22"/>
      <c r="J895" s="21"/>
      <c r="K895" s="22"/>
      <c r="L895" s="22"/>
      <c r="M895" s="21"/>
      <c r="N895" s="23"/>
      <c r="O895" s="24"/>
    </row>
    <row r="896" spans="2:15" ht="15" customHeight="1">
      <c r="B896" s="18"/>
      <c r="C896" s="19"/>
      <c r="D896" s="20"/>
      <c r="E896" s="20"/>
      <c r="F896" s="21"/>
      <c r="G896" s="21"/>
      <c r="H896" s="22"/>
      <c r="I896" s="22"/>
      <c r="J896" s="21"/>
      <c r="K896" s="22"/>
      <c r="L896" s="22"/>
      <c r="M896" s="21"/>
      <c r="N896" s="23"/>
      <c r="O896" s="24"/>
    </row>
    <row r="897" spans="2:15" ht="15" customHeight="1">
      <c r="B897" s="18"/>
      <c r="C897" s="19"/>
      <c r="D897" s="20"/>
      <c r="E897" s="20"/>
      <c r="F897" s="21"/>
      <c r="G897" s="21"/>
      <c r="H897" s="22"/>
      <c r="I897" s="22"/>
      <c r="J897" s="21"/>
      <c r="K897" s="22"/>
      <c r="L897" s="22"/>
      <c r="M897" s="21"/>
      <c r="N897" s="23"/>
      <c r="O897" s="24"/>
    </row>
    <row r="898" spans="2:15" ht="15" customHeight="1">
      <c r="B898" s="18"/>
      <c r="C898" s="19"/>
      <c r="D898" s="20"/>
      <c r="E898" s="20"/>
      <c r="F898" s="21"/>
      <c r="G898" s="21"/>
      <c r="H898" s="22"/>
      <c r="I898" s="22"/>
      <c r="J898" s="21"/>
      <c r="K898" s="22"/>
      <c r="L898" s="22"/>
      <c r="M898" s="21"/>
      <c r="N898" s="23"/>
      <c r="O898" s="24"/>
    </row>
    <row r="899" spans="2:15" ht="15" customHeight="1">
      <c r="B899" s="18"/>
      <c r="C899" s="19"/>
      <c r="D899" s="20"/>
      <c r="E899" s="20"/>
      <c r="F899" s="21"/>
      <c r="G899" s="21"/>
      <c r="H899" s="22"/>
      <c r="I899" s="22"/>
      <c r="J899" s="21"/>
      <c r="K899" s="22"/>
      <c r="L899" s="22"/>
      <c r="M899" s="21"/>
      <c r="N899" s="23"/>
      <c r="O899" s="24"/>
    </row>
    <row r="900" spans="2:15" ht="15" customHeight="1">
      <c r="B900" s="18"/>
      <c r="C900" s="19"/>
      <c r="D900" s="20"/>
      <c r="E900" s="20"/>
      <c r="F900" s="21"/>
      <c r="G900" s="21"/>
      <c r="H900" s="22"/>
      <c r="I900" s="22"/>
      <c r="J900" s="21"/>
      <c r="K900" s="22"/>
      <c r="L900" s="22"/>
      <c r="M900" s="21"/>
      <c r="N900" s="23"/>
      <c r="O900" s="24"/>
    </row>
    <row r="901" spans="2:15" ht="15" customHeight="1">
      <c r="B901" s="18"/>
      <c r="C901" s="19"/>
      <c r="D901" s="20"/>
      <c r="E901" s="20"/>
      <c r="F901" s="21"/>
      <c r="G901" s="21"/>
      <c r="H901" s="22"/>
      <c r="I901" s="22"/>
      <c r="J901" s="21"/>
      <c r="K901" s="22"/>
      <c r="L901" s="22"/>
      <c r="M901" s="21"/>
      <c r="N901" s="23"/>
      <c r="O901" s="24"/>
    </row>
    <row r="902" spans="2:15" ht="15" customHeight="1">
      <c r="B902" s="18"/>
      <c r="C902" s="19"/>
      <c r="D902" s="20"/>
      <c r="E902" s="20"/>
      <c r="F902" s="21"/>
      <c r="G902" s="21"/>
      <c r="H902" s="22"/>
      <c r="I902" s="22"/>
      <c r="J902" s="21"/>
      <c r="K902" s="22"/>
      <c r="L902" s="22"/>
      <c r="M902" s="21"/>
      <c r="N902" s="23"/>
      <c r="O902" s="24"/>
    </row>
    <row r="903" spans="2:15" ht="15" customHeight="1">
      <c r="B903" s="18"/>
      <c r="C903" s="19"/>
      <c r="D903" s="20"/>
      <c r="E903" s="20"/>
      <c r="F903" s="21"/>
      <c r="G903" s="21"/>
      <c r="H903" s="22"/>
      <c r="I903" s="22"/>
      <c r="J903" s="21"/>
      <c r="K903" s="22"/>
      <c r="L903" s="22"/>
      <c r="M903" s="21"/>
      <c r="N903" s="23"/>
      <c r="O903" s="24"/>
    </row>
    <row r="904" spans="2:15" ht="15" customHeight="1">
      <c r="B904" s="18"/>
      <c r="C904" s="19"/>
      <c r="D904" s="20"/>
      <c r="E904" s="20"/>
      <c r="F904" s="21"/>
      <c r="G904" s="21"/>
      <c r="H904" s="22"/>
      <c r="I904" s="22"/>
      <c r="J904" s="21"/>
      <c r="K904" s="22"/>
      <c r="L904" s="22"/>
      <c r="M904" s="21"/>
      <c r="N904" s="23"/>
      <c r="O904" s="24"/>
    </row>
    <row r="905" spans="2:15" ht="15" customHeight="1">
      <c r="B905" s="18"/>
      <c r="C905" s="19"/>
      <c r="D905" s="20"/>
      <c r="E905" s="20"/>
      <c r="F905" s="21"/>
      <c r="G905" s="21"/>
      <c r="H905" s="22"/>
      <c r="I905" s="22"/>
      <c r="J905" s="21"/>
      <c r="K905" s="22"/>
      <c r="L905" s="22"/>
      <c r="M905" s="21"/>
      <c r="N905" s="23"/>
      <c r="O905" s="24"/>
    </row>
    <row r="906" spans="2:15" ht="15" customHeight="1">
      <c r="B906" s="18"/>
      <c r="C906" s="19"/>
      <c r="D906" s="20"/>
      <c r="E906" s="20"/>
      <c r="F906" s="21"/>
      <c r="G906" s="21"/>
      <c r="H906" s="22"/>
      <c r="I906" s="22"/>
      <c r="J906" s="21"/>
      <c r="K906" s="22"/>
      <c r="L906" s="22"/>
      <c r="M906" s="21"/>
      <c r="N906" s="23"/>
      <c r="O906" s="24"/>
    </row>
    <row r="907" spans="2:15" ht="15" customHeight="1">
      <c r="B907" s="18"/>
      <c r="C907" s="19"/>
      <c r="D907" s="20"/>
      <c r="E907" s="20"/>
      <c r="F907" s="21"/>
      <c r="G907" s="21"/>
      <c r="H907" s="22"/>
      <c r="I907" s="22"/>
      <c r="J907" s="21"/>
      <c r="K907" s="22"/>
      <c r="L907" s="22"/>
      <c r="M907" s="21"/>
      <c r="N907" s="23"/>
      <c r="O907" s="24"/>
    </row>
    <row r="908" spans="2:15" ht="15" customHeight="1">
      <c r="B908" s="18"/>
      <c r="C908" s="19"/>
      <c r="D908" s="20"/>
      <c r="E908" s="20"/>
      <c r="F908" s="21"/>
      <c r="G908" s="21"/>
      <c r="H908" s="22"/>
      <c r="I908" s="22"/>
      <c r="J908" s="21"/>
      <c r="K908" s="22"/>
      <c r="L908" s="22"/>
      <c r="M908" s="21"/>
      <c r="N908" s="23"/>
      <c r="O908" s="24"/>
    </row>
    <row r="909" spans="2:15" ht="15" customHeight="1">
      <c r="B909" s="18"/>
      <c r="C909" s="19"/>
      <c r="D909" s="20"/>
      <c r="E909" s="20"/>
      <c r="F909" s="21"/>
      <c r="G909" s="21"/>
      <c r="H909" s="22"/>
      <c r="I909" s="22"/>
      <c r="J909" s="21"/>
      <c r="K909" s="22"/>
      <c r="L909" s="22"/>
      <c r="M909" s="21"/>
      <c r="N909" s="23"/>
      <c r="O909" s="24"/>
    </row>
    <row r="910" spans="2:15" ht="15" customHeight="1">
      <c r="B910" s="18"/>
      <c r="C910" s="19"/>
      <c r="D910" s="20"/>
      <c r="E910" s="20"/>
      <c r="F910" s="21"/>
      <c r="G910" s="21"/>
      <c r="H910" s="22"/>
      <c r="I910" s="22"/>
      <c r="J910" s="21"/>
      <c r="K910" s="22"/>
      <c r="L910" s="22"/>
      <c r="M910" s="21"/>
      <c r="N910" s="23"/>
      <c r="O910" s="24"/>
    </row>
    <row r="911" spans="2:15" ht="15" customHeight="1">
      <c r="B911" s="18"/>
      <c r="C911" s="19"/>
      <c r="D911" s="20"/>
      <c r="E911" s="20"/>
      <c r="F911" s="21"/>
      <c r="G911" s="21"/>
      <c r="H911" s="22"/>
      <c r="I911" s="22"/>
      <c r="J911" s="21"/>
      <c r="K911" s="22"/>
      <c r="L911" s="22"/>
      <c r="M911" s="21"/>
      <c r="N911" s="23"/>
      <c r="O911" s="24"/>
    </row>
    <row r="912" spans="2:15" ht="15" customHeight="1">
      <c r="B912" s="18"/>
      <c r="C912" s="19"/>
      <c r="D912" s="20"/>
      <c r="E912" s="20"/>
      <c r="F912" s="21"/>
      <c r="G912" s="21"/>
      <c r="H912" s="22"/>
      <c r="I912" s="22"/>
      <c r="J912" s="21"/>
      <c r="K912" s="22"/>
      <c r="L912" s="22"/>
      <c r="M912" s="21"/>
      <c r="N912" s="23"/>
      <c r="O912" s="24"/>
    </row>
    <row r="913" spans="2:15" ht="15" customHeight="1">
      <c r="B913" s="18"/>
      <c r="C913" s="19"/>
      <c r="D913" s="20"/>
      <c r="E913" s="20"/>
      <c r="F913" s="21"/>
      <c r="G913" s="21"/>
      <c r="H913" s="22"/>
      <c r="I913" s="22"/>
      <c r="J913" s="21"/>
      <c r="K913" s="22"/>
      <c r="L913" s="22"/>
      <c r="M913" s="21"/>
      <c r="N913" s="23"/>
      <c r="O913" s="24"/>
    </row>
    <row r="914" spans="2:15" ht="15" customHeight="1">
      <c r="B914" s="18"/>
      <c r="C914" s="19"/>
      <c r="D914" s="20"/>
      <c r="E914" s="20"/>
      <c r="F914" s="21"/>
      <c r="G914" s="21"/>
      <c r="H914" s="22"/>
      <c r="I914" s="22"/>
      <c r="J914" s="21"/>
      <c r="K914" s="22"/>
      <c r="L914" s="22"/>
      <c r="M914" s="21"/>
      <c r="N914" s="23"/>
      <c r="O914" s="24"/>
    </row>
    <row r="915" spans="2:15" ht="15" customHeight="1">
      <c r="B915" s="18"/>
      <c r="C915" s="19"/>
      <c r="D915" s="20"/>
      <c r="E915" s="20"/>
      <c r="F915" s="21"/>
      <c r="G915" s="21"/>
      <c r="H915" s="22"/>
      <c r="I915" s="22"/>
      <c r="J915" s="21"/>
      <c r="K915" s="22"/>
      <c r="L915" s="22"/>
      <c r="M915" s="21"/>
      <c r="N915" s="23"/>
      <c r="O915" s="24"/>
    </row>
    <row r="916" spans="2:15" ht="15" customHeight="1">
      <c r="B916" s="18"/>
      <c r="C916" s="19"/>
      <c r="D916" s="20"/>
      <c r="E916" s="20"/>
      <c r="F916" s="21"/>
      <c r="G916" s="21"/>
      <c r="H916" s="22"/>
      <c r="I916" s="22"/>
      <c r="J916" s="21"/>
      <c r="K916" s="22"/>
      <c r="L916" s="22"/>
      <c r="M916" s="21"/>
      <c r="N916" s="23"/>
      <c r="O916" s="24"/>
    </row>
    <row r="917" spans="2:15" ht="15" customHeight="1">
      <c r="B917" s="18"/>
      <c r="C917" s="19"/>
      <c r="D917" s="20"/>
      <c r="E917" s="20"/>
      <c r="F917" s="21"/>
      <c r="G917" s="21"/>
      <c r="H917" s="22"/>
      <c r="I917" s="22"/>
      <c r="J917" s="21"/>
      <c r="K917" s="22"/>
      <c r="L917" s="22"/>
      <c r="M917" s="21"/>
      <c r="N917" s="23"/>
      <c r="O917" s="24"/>
    </row>
    <row r="918" spans="2:15" ht="15" customHeight="1">
      <c r="B918" s="18"/>
      <c r="C918" s="19"/>
      <c r="D918" s="20"/>
      <c r="E918" s="20"/>
      <c r="F918" s="21"/>
      <c r="G918" s="21"/>
      <c r="H918" s="22"/>
      <c r="I918" s="22"/>
      <c r="J918" s="21"/>
      <c r="K918" s="22"/>
      <c r="L918" s="22"/>
      <c r="M918" s="21"/>
      <c r="N918" s="23"/>
      <c r="O918" s="24"/>
    </row>
    <row r="919" spans="2:15" ht="15" customHeight="1">
      <c r="B919" s="18"/>
      <c r="C919" s="19"/>
      <c r="D919" s="20"/>
      <c r="E919" s="20"/>
      <c r="F919" s="21"/>
      <c r="G919" s="21"/>
      <c r="H919" s="22"/>
      <c r="I919" s="22"/>
      <c r="J919" s="21"/>
      <c r="K919" s="22"/>
      <c r="L919" s="22"/>
      <c r="M919" s="21"/>
      <c r="N919" s="23"/>
      <c r="O919" s="24"/>
    </row>
    <row r="920" spans="2:15" ht="15" customHeight="1">
      <c r="B920" s="18"/>
      <c r="C920" s="19"/>
      <c r="D920" s="20"/>
      <c r="E920" s="20"/>
      <c r="F920" s="21"/>
      <c r="G920" s="21"/>
      <c r="H920" s="22"/>
      <c r="I920" s="22"/>
      <c r="J920" s="21"/>
      <c r="K920" s="22"/>
      <c r="L920" s="22"/>
      <c r="M920" s="21"/>
      <c r="N920" s="23"/>
      <c r="O920" s="24"/>
    </row>
    <row r="921" spans="2:15" ht="15" customHeight="1">
      <c r="B921" s="18"/>
      <c r="C921" s="19"/>
      <c r="D921" s="20"/>
      <c r="E921" s="20"/>
      <c r="F921" s="21"/>
      <c r="G921" s="21"/>
      <c r="H921" s="22"/>
      <c r="I921" s="22"/>
      <c r="J921" s="21"/>
      <c r="K921" s="22"/>
      <c r="L921" s="22"/>
      <c r="M921" s="21"/>
      <c r="N921" s="23"/>
      <c r="O921" s="24"/>
    </row>
    <row r="922" spans="2:15" ht="15" customHeight="1">
      <c r="B922" s="18"/>
      <c r="C922" s="19"/>
      <c r="D922" s="20"/>
      <c r="E922" s="20"/>
      <c r="F922" s="21"/>
      <c r="G922" s="21"/>
      <c r="H922" s="22"/>
      <c r="I922" s="22"/>
      <c r="J922" s="21"/>
      <c r="K922" s="22"/>
      <c r="L922" s="22"/>
      <c r="M922" s="21"/>
      <c r="N922" s="23"/>
      <c r="O922" s="24"/>
    </row>
    <row r="923" spans="2:15" ht="15" customHeight="1">
      <c r="B923" s="18"/>
      <c r="C923" s="19"/>
      <c r="D923" s="20"/>
      <c r="E923" s="20"/>
      <c r="F923" s="21"/>
      <c r="G923" s="21"/>
      <c r="H923" s="22"/>
      <c r="I923" s="22"/>
      <c r="J923" s="21"/>
      <c r="K923" s="22"/>
      <c r="L923" s="22"/>
      <c r="M923" s="21"/>
      <c r="N923" s="23"/>
      <c r="O923" s="24"/>
    </row>
    <row r="924" spans="2:15" ht="15" customHeight="1">
      <c r="B924" s="18"/>
      <c r="C924" s="19"/>
      <c r="D924" s="20"/>
      <c r="E924" s="20"/>
      <c r="F924" s="21"/>
      <c r="G924" s="21"/>
      <c r="H924" s="22"/>
      <c r="I924" s="22"/>
      <c r="J924" s="21"/>
      <c r="K924" s="22"/>
      <c r="L924" s="22"/>
      <c r="M924" s="21"/>
      <c r="N924" s="23"/>
      <c r="O924" s="24"/>
    </row>
    <row r="925" spans="2:15" ht="15" customHeight="1">
      <c r="B925" s="18"/>
      <c r="C925" s="19"/>
      <c r="D925" s="20"/>
      <c r="E925" s="20"/>
      <c r="F925" s="21"/>
      <c r="G925" s="21"/>
      <c r="H925" s="22"/>
      <c r="I925" s="22"/>
      <c r="J925" s="21"/>
      <c r="K925" s="22"/>
      <c r="L925" s="22"/>
      <c r="M925" s="21"/>
      <c r="N925" s="23"/>
      <c r="O925" s="24"/>
    </row>
    <row r="926" spans="2:15" ht="15" customHeight="1">
      <c r="B926" s="18"/>
      <c r="C926" s="19"/>
      <c r="D926" s="20"/>
      <c r="E926" s="20"/>
      <c r="F926" s="21"/>
      <c r="G926" s="21"/>
      <c r="H926" s="22"/>
      <c r="I926" s="22"/>
      <c r="J926" s="21"/>
      <c r="K926" s="22"/>
      <c r="L926" s="22"/>
      <c r="M926" s="21"/>
      <c r="N926" s="23"/>
      <c r="O926" s="24"/>
    </row>
    <row r="927" spans="2:15" ht="15" customHeight="1">
      <c r="B927" s="18"/>
      <c r="C927" s="19"/>
      <c r="D927" s="20"/>
      <c r="E927" s="20"/>
      <c r="F927" s="21"/>
      <c r="G927" s="21"/>
      <c r="H927" s="22"/>
      <c r="I927" s="22"/>
      <c r="J927" s="21"/>
      <c r="K927" s="22"/>
      <c r="L927" s="22"/>
      <c r="M927" s="21"/>
      <c r="N927" s="23"/>
      <c r="O927" s="24"/>
    </row>
    <row r="928" spans="2:15" ht="15" customHeight="1">
      <c r="B928" s="18"/>
      <c r="C928" s="19"/>
      <c r="D928" s="20"/>
      <c r="E928" s="20"/>
      <c r="F928" s="21"/>
      <c r="G928" s="21"/>
      <c r="H928" s="22"/>
      <c r="I928" s="22"/>
      <c r="J928" s="21"/>
      <c r="K928" s="22"/>
      <c r="L928" s="22"/>
      <c r="M928" s="21"/>
      <c r="N928" s="23"/>
      <c r="O928" s="24"/>
    </row>
    <row r="929" spans="2:15" ht="15" customHeight="1">
      <c r="B929" s="18"/>
      <c r="C929" s="19"/>
      <c r="D929" s="20"/>
      <c r="E929" s="20"/>
      <c r="F929" s="21"/>
      <c r="G929" s="21"/>
      <c r="H929" s="22"/>
      <c r="I929" s="22"/>
      <c r="J929" s="21"/>
      <c r="K929" s="22"/>
      <c r="L929" s="22"/>
      <c r="M929" s="21"/>
      <c r="N929" s="23"/>
      <c r="O929" s="24"/>
    </row>
    <row r="930" spans="2:15" ht="15" customHeight="1">
      <c r="B930" s="18"/>
      <c r="C930" s="19"/>
      <c r="D930" s="20"/>
      <c r="E930" s="20"/>
      <c r="F930" s="21"/>
      <c r="G930" s="21"/>
      <c r="H930" s="22"/>
      <c r="I930" s="22"/>
      <c r="J930" s="21"/>
      <c r="K930" s="22"/>
      <c r="L930" s="22"/>
      <c r="M930" s="21"/>
      <c r="N930" s="23"/>
      <c r="O930" s="24"/>
    </row>
    <row r="931" spans="2:15" ht="15" customHeight="1">
      <c r="B931" s="18"/>
      <c r="C931" s="19"/>
      <c r="D931" s="20"/>
      <c r="E931" s="20"/>
      <c r="F931" s="21"/>
      <c r="G931" s="21"/>
      <c r="H931" s="22"/>
      <c r="I931" s="22"/>
      <c r="J931" s="21"/>
      <c r="K931" s="22"/>
      <c r="L931" s="22"/>
      <c r="M931" s="21"/>
      <c r="N931" s="23"/>
      <c r="O931" s="24"/>
    </row>
    <row r="932" spans="2:15" ht="15" customHeight="1">
      <c r="B932" s="18"/>
      <c r="C932" s="19"/>
      <c r="D932" s="20"/>
      <c r="E932" s="20"/>
      <c r="F932" s="21"/>
      <c r="G932" s="21"/>
      <c r="H932" s="22"/>
      <c r="I932" s="22"/>
      <c r="J932" s="21"/>
      <c r="K932" s="22"/>
      <c r="L932" s="22"/>
      <c r="M932" s="21"/>
      <c r="N932" s="23"/>
      <c r="O932" s="24"/>
    </row>
    <row r="933" spans="2:15" ht="15" customHeight="1">
      <c r="B933" s="18"/>
      <c r="C933" s="19"/>
      <c r="D933" s="20"/>
      <c r="E933" s="20"/>
      <c r="F933" s="21"/>
      <c r="G933" s="21"/>
      <c r="H933" s="22"/>
      <c r="I933" s="22"/>
      <c r="J933" s="21"/>
      <c r="K933" s="22"/>
      <c r="L933" s="22"/>
      <c r="M933" s="21"/>
      <c r="N933" s="23"/>
      <c r="O933" s="24"/>
    </row>
    <row r="934" spans="2:15" ht="15" customHeight="1">
      <c r="B934" s="18"/>
      <c r="C934" s="19"/>
      <c r="D934" s="20"/>
      <c r="E934" s="20"/>
      <c r="F934" s="21"/>
      <c r="G934" s="21"/>
      <c r="H934" s="22"/>
      <c r="I934" s="22"/>
      <c r="J934" s="21"/>
      <c r="K934" s="22"/>
      <c r="L934" s="22"/>
      <c r="M934" s="21"/>
      <c r="N934" s="23"/>
      <c r="O934" s="24"/>
    </row>
    <row r="935" spans="2:15" ht="15" customHeight="1">
      <c r="B935" s="18"/>
      <c r="C935" s="19"/>
      <c r="D935" s="20"/>
      <c r="E935" s="20"/>
      <c r="F935" s="21"/>
      <c r="G935" s="21"/>
      <c r="H935" s="22"/>
      <c r="I935" s="22"/>
      <c r="J935" s="21"/>
      <c r="K935" s="22"/>
      <c r="L935" s="22"/>
      <c r="M935" s="21"/>
      <c r="N935" s="23"/>
      <c r="O935" s="24"/>
    </row>
    <row r="936" spans="2:15" ht="15" customHeight="1">
      <c r="B936" s="18"/>
      <c r="C936" s="19"/>
      <c r="D936" s="20"/>
      <c r="E936" s="20"/>
      <c r="F936" s="21"/>
      <c r="G936" s="21"/>
      <c r="H936" s="22"/>
      <c r="I936" s="22"/>
      <c r="J936" s="21"/>
      <c r="K936" s="22"/>
      <c r="L936" s="22"/>
      <c r="M936" s="21"/>
      <c r="N936" s="23"/>
      <c r="O936" s="24"/>
    </row>
    <row r="937" spans="2:15" ht="15" customHeight="1">
      <c r="B937" s="18"/>
      <c r="C937" s="19"/>
      <c r="D937" s="20"/>
      <c r="E937" s="20"/>
      <c r="F937" s="21"/>
      <c r="G937" s="21"/>
      <c r="H937" s="22"/>
      <c r="I937" s="22"/>
      <c r="J937" s="21"/>
      <c r="K937" s="22"/>
      <c r="L937" s="22"/>
      <c r="M937" s="21"/>
      <c r="N937" s="23"/>
      <c r="O937" s="24"/>
    </row>
    <row r="938" spans="2:15" ht="15" customHeight="1">
      <c r="B938" s="18"/>
      <c r="C938" s="19"/>
      <c r="D938" s="20"/>
      <c r="E938" s="20"/>
      <c r="F938" s="21"/>
      <c r="G938" s="21"/>
      <c r="H938" s="22"/>
      <c r="I938" s="22"/>
      <c r="J938" s="21"/>
      <c r="K938" s="22"/>
      <c r="L938" s="22"/>
      <c r="M938" s="21"/>
      <c r="N938" s="23"/>
      <c r="O938" s="24"/>
    </row>
    <row r="939" spans="2:15" ht="15" customHeight="1">
      <c r="B939" s="18"/>
      <c r="C939" s="19"/>
      <c r="D939" s="20"/>
      <c r="E939" s="20"/>
      <c r="F939" s="21"/>
      <c r="G939" s="21"/>
      <c r="H939" s="22"/>
      <c r="I939" s="22"/>
      <c r="J939" s="21"/>
      <c r="K939" s="22"/>
      <c r="L939" s="22"/>
      <c r="M939" s="21"/>
      <c r="N939" s="23"/>
      <c r="O939" s="24"/>
    </row>
    <row r="940" spans="2:15" ht="15" customHeight="1">
      <c r="B940" s="18"/>
      <c r="C940" s="19"/>
      <c r="D940" s="20"/>
      <c r="E940" s="20"/>
      <c r="F940" s="21"/>
      <c r="G940" s="21"/>
      <c r="H940" s="22"/>
      <c r="I940" s="22"/>
      <c r="J940" s="21"/>
      <c r="K940" s="22"/>
      <c r="L940" s="22"/>
      <c r="M940" s="21"/>
      <c r="N940" s="23"/>
      <c r="O940" s="24"/>
    </row>
    <row r="941" spans="2:15" ht="15" customHeight="1">
      <c r="B941" s="18"/>
      <c r="C941" s="19"/>
      <c r="D941" s="20"/>
      <c r="E941" s="20"/>
      <c r="F941" s="21"/>
      <c r="G941" s="21"/>
      <c r="H941" s="22"/>
      <c r="I941" s="22"/>
      <c r="J941" s="21"/>
      <c r="K941" s="22"/>
      <c r="L941" s="22"/>
      <c r="M941" s="21"/>
      <c r="N941" s="23"/>
      <c r="O941" s="24"/>
    </row>
    <row r="942" spans="2:15" ht="15" customHeight="1">
      <c r="B942" s="18"/>
      <c r="C942" s="19"/>
      <c r="D942" s="20"/>
      <c r="E942" s="20"/>
      <c r="F942" s="21"/>
      <c r="G942" s="21"/>
      <c r="H942" s="22"/>
      <c r="I942" s="22"/>
      <c r="J942" s="21"/>
      <c r="K942" s="22"/>
      <c r="L942" s="22"/>
      <c r="M942" s="21"/>
      <c r="N942" s="23"/>
      <c r="O942" s="24"/>
    </row>
    <row r="943" spans="2:15" ht="15" customHeight="1">
      <c r="B943" s="18"/>
      <c r="C943" s="19"/>
      <c r="D943" s="20"/>
      <c r="E943" s="20"/>
      <c r="F943" s="21"/>
      <c r="G943" s="21"/>
      <c r="H943" s="22"/>
      <c r="I943" s="22"/>
      <c r="J943" s="21"/>
      <c r="K943" s="22"/>
      <c r="L943" s="22"/>
      <c r="M943" s="21"/>
      <c r="N943" s="23"/>
      <c r="O943" s="24"/>
    </row>
    <row r="944" spans="2:15" ht="15" customHeight="1">
      <c r="B944" s="18"/>
      <c r="C944" s="19"/>
      <c r="D944" s="20"/>
      <c r="E944" s="20"/>
      <c r="F944" s="21"/>
      <c r="G944" s="21"/>
      <c r="H944" s="22"/>
      <c r="I944" s="22"/>
      <c r="J944" s="21"/>
      <c r="K944" s="22"/>
      <c r="L944" s="22"/>
      <c r="M944" s="21"/>
      <c r="N944" s="23"/>
      <c r="O944" s="24"/>
    </row>
    <row r="945" spans="2:15" ht="15" customHeight="1">
      <c r="B945" s="18"/>
      <c r="C945" s="19"/>
      <c r="D945" s="20"/>
      <c r="E945" s="20"/>
      <c r="F945" s="21"/>
      <c r="G945" s="21"/>
      <c r="H945" s="22"/>
      <c r="I945" s="22"/>
      <c r="J945" s="21"/>
      <c r="K945" s="22"/>
      <c r="L945" s="22"/>
      <c r="M945" s="21"/>
      <c r="N945" s="23"/>
      <c r="O945" s="24"/>
    </row>
    <row r="946" spans="2:15" ht="15" customHeight="1">
      <c r="B946" s="18"/>
      <c r="C946" s="19"/>
      <c r="D946" s="20"/>
      <c r="E946" s="20"/>
      <c r="F946" s="21"/>
      <c r="G946" s="21"/>
      <c r="H946" s="22"/>
      <c r="I946" s="22"/>
      <c r="J946" s="21"/>
      <c r="K946" s="22"/>
      <c r="L946" s="22"/>
      <c r="M946" s="21"/>
      <c r="N946" s="23"/>
      <c r="O946" s="24"/>
    </row>
    <row r="947" spans="2:15" ht="15" customHeight="1">
      <c r="B947" s="18"/>
      <c r="C947" s="19"/>
      <c r="D947" s="20"/>
      <c r="E947" s="20"/>
      <c r="F947" s="21"/>
      <c r="G947" s="21"/>
      <c r="H947" s="22"/>
      <c r="I947" s="22"/>
      <c r="J947" s="21"/>
      <c r="K947" s="22"/>
      <c r="L947" s="22"/>
      <c r="M947" s="21"/>
      <c r="N947" s="23"/>
      <c r="O947" s="24"/>
    </row>
    <row r="948" spans="2:15" ht="15" customHeight="1">
      <c r="B948" s="18"/>
      <c r="C948" s="19"/>
      <c r="D948" s="20"/>
      <c r="E948" s="20"/>
      <c r="F948" s="21"/>
      <c r="G948" s="21"/>
      <c r="H948" s="22"/>
      <c r="I948" s="22"/>
      <c r="J948" s="21"/>
      <c r="K948" s="22"/>
      <c r="L948" s="22"/>
      <c r="M948" s="21"/>
      <c r="N948" s="23"/>
      <c r="O948" s="24"/>
    </row>
    <row r="949" spans="2:15" ht="15" customHeight="1">
      <c r="B949" s="18"/>
      <c r="C949" s="19"/>
      <c r="D949" s="20"/>
      <c r="E949" s="20"/>
      <c r="F949" s="21"/>
      <c r="G949" s="21"/>
      <c r="H949" s="22"/>
      <c r="I949" s="22"/>
      <c r="J949" s="21"/>
      <c r="K949" s="22"/>
      <c r="L949" s="22"/>
      <c r="M949" s="21"/>
      <c r="N949" s="23"/>
      <c r="O949" s="24"/>
    </row>
    <row r="950" spans="2:15" ht="15" customHeight="1">
      <c r="B950" s="18"/>
      <c r="C950" s="19"/>
      <c r="D950" s="20"/>
      <c r="E950" s="20"/>
      <c r="F950" s="21"/>
      <c r="G950" s="21"/>
      <c r="H950" s="22"/>
      <c r="I950" s="22"/>
      <c r="J950" s="21"/>
      <c r="K950" s="22"/>
      <c r="L950" s="22"/>
      <c r="M950" s="21"/>
      <c r="N950" s="23"/>
      <c r="O950" s="24"/>
    </row>
    <row r="951" spans="2:15" ht="15" customHeight="1">
      <c r="B951" s="18"/>
      <c r="C951" s="19"/>
      <c r="D951" s="20"/>
      <c r="E951" s="20"/>
      <c r="F951" s="21"/>
      <c r="G951" s="21"/>
      <c r="H951" s="22"/>
      <c r="I951" s="22"/>
      <c r="J951" s="21"/>
      <c r="K951" s="22"/>
      <c r="L951" s="22"/>
      <c r="M951" s="21"/>
      <c r="N951" s="23"/>
      <c r="O951" s="24"/>
    </row>
    <row r="952" spans="2:15" ht="15" customHeight="1">
      <c r="B952" s="18"/>
      <c r="C952" s="19"/>
      <c r="D952" s="20"/>
      <c r="E952" s="20"/>
      <c r="F952" s="21"/>
      <c r="G952" s="21"/>
      <c r="H952" s="22"/>
      <c r="I952" s="22"/>
      <c r="J952" s="21"/>
      <c r="K952" s="22"/>
      <c r="L952" s="22"/>
      <c r="M952" s="21"/>
      <c r="N952" s="23"/>
      <c r="O952" s="24"/>
    </row>
    <row r="953" spans="2:15" ht="15" customHeight="1">
      <c r="B953" s="18"/>
      <c r="C953" s="19"/>
      <c r="D953" s="20"/>
      <c r="E953" s="20"/>
      <c r="F953" s="21"/>
      <c r="G953" s="21"/>
      <c r="H953" s="22"/>
      <c r="I953" s="22"/>
      <c r="J953" s="21"/>
      <c r="K953" s="22"/>
      <c r="L953" s="22"/>
      <c r="M953" s="21"/>
      <c r="N953" s="23"/>
      <c r="O953" s="24"/>
    </row>
    <row r="954" spans="2:15" ht="15" customHeight="1">
      <c r="B954" s="18"/>
      <c r="C954" s="19"/>
      <c r="D954" s="20"/>
      <c r="E954" s="20"/>
      <c r="F954" s="21"/>
      <c r="G954" s="21"/>
      <c r="H954" s="22"/>
      <c r="I954" s="22"/>
      <c r="J954" s="21"/>
      <c r="K954" s="22"/>
      <c r="L954" s="22"/>
      <c r="M954" s="21"/>
      <c r="N954" s="23"/>
      <c r="O954" s="24"/>
    </row>
    <row r="955" spans="2:15" ht="15" customHeight="1">
      <c r="B955" s="18"/>
      <c r="C955" s="19"/>
      <c r="D955" s="20"/>
      <c r="E955" s="20"/>
      <c r="F955" s="21"/>
      <c r="G955" s="21"/>
      <c r="H955" s="22"/>
      <c r="I955" s="22"/>
      <c r="J955" s="21"/>
      <c r="K955" s="22"/>
      <c r="L955" s="22"/>
      <c r="M955" s="21"/>
      <c r="N955" s="23"/>
      <c r="O955" s="24"/>
    </row>
    <row r="956" spans="2:15" ht="15" customHeight="1">
      <c r="B956" s="18"/>
      <c r="C956" s="19"/>
      <c r="D956" s="20"/>
      <c r="E956" s="20"/>
      <c r="F956" s="21"/>
      <c r="G956" s="21"/>
      <c r="H956" s="22"/>
      <c r="I956" s="22"/>
      <c r="J956" s="21"/>
      <c r="K956" s="22"/>
      <c r="L956" s="22"/>
      <c r="M956" s="21"/>
      <c r="N956" s="23"/>
      <c r="O956" s="24"/>
    </row>
    <row r="957" spans="2:15" ht="15" customHeight="1">
      <c r="B957" s="18"/>
      <c r="C957" s="19"/>
      <c r="D957" s="20"/>
      <c r="E957" s="20"/>
      <c r="F957" s="21"/>
      <c r="G957" s="21"/>
      <c r="H957" s="22"/>
      <c r="I957" s="22"/>
      <c r="J957" s="21"/>
      <c r="K957" s="22"/>
      <c r="L957" s="22"/>
      <c r="M957" s="21"/>
      <c r="N957" s="23"/>
      <c r="O957" s="24"/>
    </row>
    <row r="958" spans="2:15" ht="15" customHeight="1">
      <c r="B958" s="18"/>
      <c r="C958" s="19"/>
      <c r="D958" s="20"/>
      <c r="E958" s="20"/>
      <c r="F958" s="21"/>
      <c r="G958" s="21"/>
      <c r="H958" s="22"/>
      <c r="I958" s="22"/>
      <c r="J958" s="21"/>
      <c r="K958" s="22"/>
      <c r="L958" s="22"/>
      <c r="M958" s="21"/>
      <c r="N958" s="23"/>
      <c r="O958" s="24"/>
    </row>
    <row r="959" spans="2:15" ht="15" customHeight="1">
      <c r="B959" s="18"/>
      <c r="C959" s="19"/>
      <c r="D959" s="20"/>
      <c r="E959" s="20"/>
      <c r="F959" s="21"/>
      <c r="G959" s="21"/>
      <c r="H959" s="22"/>
      <c r="I959" s="22"/>
      <c r="J959" s="21"/>
      <c r="K959" s="22"/>
      <c r="L959" s="22"/>
      <c r="M959" s="21"/>
      <c r="N959" s="23"/>
      <c r="O959" s="24"/>
    </row>
    <row r="960" spans="2:15" ht="15" customHeight="1">
      <c r="B960" s="18"/>
      <c r="C960" s="19"/>
      <c r="D960" s="20"/>
      <c r="E960" s="20"/>
      <c r="F960" s="21"/>
      <c r="G960" s="21"/>
      <c r="H960" s="22"/>
      <c r="I960" s="22"/>
      <c r="J960" s="21"/>
      <c r="K960" s="22"/>
      <c r="L960" s="22"/>
      <c r="M960" s="21"/>
      <c r="N960" s="23"/>
      <c r="O960" s="24"/>
    </row>
    <row r="961" spans="2:15" ht="15" customHeight="1">
      <c r="B961" s="18"/>
      <c r="C961" s="19"/>
      <c r="D961" s="20"/>
      <c r="E961" s="20"/>
      <c r="F961" s="21"/>
      <c r="G961" s="21"/>
      <c r="H961" s="22"/>
      <c r="I961" s="22"/>
      <c r="J961" s="21"/>
      <c r="K961" s="22"/>
      <c r="L961" s="22"/>
      <c r="M961" s="21"/>
      <c r="N961" s="23"/>
      <c r="O961" s="24"/>
    </row>
    <row r="962" spans="2:15" ht="15" customHeight="1">
      <c r="B962" s="18"/>
      <c r="C962" s="19"/>
      <c r="D962" s="20"/>
      <c r="E962" s="20"/>
      <c r="F962" s="21"/>
      <c r="G962" s="21"/>
      <c r="H962" s="22"/>
      <c r="I962" s="22"/>
      <c r="J962" s="21"/>
      <c r="K962" s="22"/>
      <c r="L962" s="22"/>
      <c r="M962" s="21"/>
      <c r="N962" s="23"/>
      <c r="O962" s="24"/>
    </row>
    <row r="963" spans="2:15" ht="15" customHeight="1">
      <c r="B963" s="18"/>
      <c r="C963" s="19"/>
      <c r="D963" s="20"/>
      <c r="E963" s="20"/>
      <c r="F963" s="21"/>
      <c r="G963" s="21"/>
      <c r="H963" s="22"/>
      <c r="I963" s="22"/>
      <c r="J963" s="21"/>
      <c r="K963" s="22"/>
      <c r="L963" s="22"/>
      <c r="M963" s="21"/>
      <c r="N963" s="23"/>
      <c r="O963" s="24"/>
    </row>
    <row r="964" spans="2:15" ht="15" customHeight="1">
      <c r="B964" s="18"/>
      <c r="C964" s="19"/>
      <c r="D964" s="20"/>
      <c r="E964" s="20"/>
      <c r="F964" s="21"/>
      <c r="G964" s="21"/>
      <c r="H964" s="22"/>
      <c r="I964" s="22"/>
      <c r="J964" s="21"/>
      <c r="K964" s="22"/>
      <c r="L964" s="22"/>
      <c r="M964" s="21"/>
      <c r="N964" s="23"/>
      <c r="O964" s="24"/>
    </row>
    <row r="965" spans="2:15" ht="15" customHeight="1">
      <c r="B965" s="18"/>
      <c r="C965" s="19"/>
      <c r="D965" s="20"/>
      <c r="E965" s="20"/>
      <c r="F965" s="21"/>
      <c r="G965" s="21"/>
      <c r="H965" s="22"/>
      <c r="I965" s="22"/>
      <c r="J965" s="21"/>
      <c r="K965" s="22"/>
      <c r="L965" s="22"/>
      <c r="M965" s="21"/>
      <c r="N965" s="23"/>
      <c r="O965" s="24"/>
    </row>
    <row r="966" spans="2:15" ht="15" customHeight="1">
      <c r="B966" s="18"/>
      <c r="C966" s="19"/>
      <c r="D966" s="20"/>
      <c r="E966" s="20"/>
      <c r="F966" s="21"/>
      <c r="G966" s="21"/>
      <c r="H966" s="22"/>
      <c r="I966" s="22"/>
      <c r="J966" s="21"/>
      <c r="K966" s="22"/>
      <c r="L966" s="22"/>
      <c r="M966" s="21"/>
      <c r="N966" s="23"/>
      <c r="O966" s="24"/>
    </row>
    <row r="967" spans="2:15" ht="15" customHeight="1">
      <c r="B967" s="18"/>
      <c r="C967" s="19"/>
      <c r="D967" s="20"/>
      <c r="E967" s="20"/>
      <c r="F967" s="21"/>
      <c r="G967" s="21"/>
      <c r="H967" s="22"/>
      <c r="I967" s="22"/>
      <c r="J967" s="21"/>
      <c r="K967" s="22"/>
      <c r="L967" s="22"/>
      <c r="M967" s="21"/>
      <c r="N967" s="23"/>
      <c r="O967" s="24"/>
    </row>
    <row r="968" spans="2:15" ht="15" customHeight="1">
      <c r="B968" s="18"/>
      <c r="C968" s="19"/>
      <c r="D968" s="20"/>
      <c r="E968" s="20"/>
      <c r="F968" s="21"/>
      <c r="G968" s="21"/>
      <c r="H968" s="22"/>
      <c r="I968" s="22"/>
      <c r="J968" s="21"/>
      <c r="K968" s="22"/>
      <c r="L968" s="22"/>
      <c r="M968" s="21"/>
      <c r="N968" s="23"/>
      <c r="O968" s="24"/>
    </row>
    <row r="969" spans="2:15" ht="15" customHeight="1">
      <c r="B969" s="18"/>
      <c r="C969" s="19"/>
      <c r="D969" s="20"/>
      <c r="E969" s="20"/>
      <c r="F969" s="21"/>
      <c r="G969" s="21"/>
      <c r="H969" s="22"/>
      <c r="I969" s="22"/>
      <c r="J969" s="21"/>
      <c r="K969" s="22"/>
      <c r="L969" s="22"/>
      <c r="M969" s="21"/>
      <c r="N969" s="23"/>
      <c r="O969" s="24"/>
    </row>
    <row r="970" spans="2:15" ht="15" customHeight="1">
      <c r="B970" s="18"/>
      <c r="C970" s="19"/>
      <c r="D970" s="20"/>
      <c r="E970" s="20"/>
      <c r="F970" s="21"/>
      <c r="G970" s="21"/>
      <c r="H970" s="22"/>
      <c r="I970" s="22"/>
      <c r="J970" s="21"/>
      <c r="K970" s="22"/>
      <c r="L970" s="22"/>
      <c r="M970" s="21"/>
      <c r="N970" s="23"/>
      <c r="O970" s="24"/>
    </row>
    <row r="971" spans="2:15" ht="15" customHeight="1">
      <c r="B971" s="18"/>
      <c r="C971" s="19"/>
      <c r="D971" s="20"/>
      <c r="E971" s="20"/>
      <c r="F971" s="21"/>
      <c r="G971" s="21"/>
      <c r="H971" s="22"/>
      <c r="I971" s="22"/>
      <c r="J971" s="21"/>
      <c r="K971" s="22"/>
      <c r="L971" s="22"/>
      <c r="M971" s="21"/>
      <c r="N971" s="23"/>
      <c r="O971" s="24"/>
    </row>
    <row r="972" spans="2:15" ht="15" customHeight="1">
      <c r="B972" s="18"/>
      <c r="C972" s="19"/>
      <c r="D972" s="20"/>
      <c r="E972" s="20"/>
      <c r="F972" s="21"/>
      <c r="G972" s="21"/>
      <c r="H972" s="22"/>
      <c r="I972" s="22"/>
      <c r="J972" s="21"/>
      <c r="K972" s="22"/>
      <c r="L972" s="22"/>
      <c r="M972" s="21"/>
      <c r="N972" s="23"/>
      <c r="O972" s="24"/>
    </row>
    <row r="973" spans="2:15" ht="15" customHeight="1">
      <c r="B973" s="18"/>
      <c r="C973" s="19"/>
      <c r="D973" s="20"/>
      <c r="E973" s="20"/>
      <c r="F973" s="21"/>
      <c r="G973" s="21"/>
      <c r="H973" s="22"/>
      <c r="I973" s="22"/>
      <c r="J973" s="21"/>
      <c r="K973" s="22"/>
      <c r="L973" s="22"/>
      <c r="M973" s="21"/>
      <c r="N973" s="23"/>
      <c r="O973" s="24"/>
    </row>
    <row r="974" spans="2:15" ht="15" customHeight="1">
      <c r="B974" s="18"/>
      <c r="C974" s="19"/>
      <c r="D974" s="20"/>
      <c r="E974" s="20"/>
      <c r="F974" s="21"/>
      <c r="G974" s="21"/>
      <c r="H974" s="22"/>
      <c r="I974" s="22"/>
      <c r="J974" s="21"/>
      <c r="K974" s="22"/>
      <c r="L974" s="22"/>
      <c r="M974" s="21"/>
      <c r="N974" s="23"/>
      <c r="O974" s="24"/>
    </row>
    <row r="975" spans="2:15" ht="15" customHeight="1">
      <c r="B975" s="18"/>
      <c r="C975" s="19"/>
      <c r="D975" s="20"/>
      <c r="E975" s="20"/>
      <c r="F975" s="21"/>
      <c r="G975" s="21"/>
      <c r="H975" s="22"/>
      <c r="I975" s="22"/>
      <c r="J975" s="21"/>
      <c r="K975" s="22"/>
      <c r="L975" s="22"/>
      <c r="M975" s="21"/>
      <c r="N975" s="23"/>
      <c r="O975" s="24"/>
    </row>
    <row r="976" spans="2:15" ht="15" customHeight="1">
      <c r="B976" s="18"/>
      <c r="C976" s="19"/>
      <c r="D976" s="20"/>
      <c r="E976" s="20"/>
      <c r="F976" s="21"/>
      <c r="G976" s="21"/>
      <c r="H976" s="22"/>
      <c r="I976" s="22"/>
      <c r="J976" s="21"/>
      <c r="K976" s="22"/>
      <c r="L976" s="22"/>
      <c r="M976" s="21"/>
      <c r="N976" s="23"/>
      <c r="O976" s="24"/>
    </row>
    <row r="977" spans="2:15" ht="15" customHeight="1">
      <c r="B977" s="18"/>
      <c r="C977" s="19"/>
      <c r="D977" s="20"/>
      <c r="E977" s="20"/>
      <c r="F977" s="21"/>
      <c r="G977" s="21"/>
      <c r="H977" s="22"/>
      <c r="I977" s="22"/>
      <c r="J977" s="21"/>
      <c r="K977" s="22"/>
      <c r="L977" s="22"/>
      <c r="M977" s="21"/>
      <c r="N977" s="23"/>
      <c r="O977" s="24"/>
    </row>
    <row r="978" spans="2:15" ht="15" customHeight="1">
      <c r="B978" s="18"/>
      <c r="C978" s="19"/>
      <c r="D978" s="20"/>
      <c r="E978" s="20"/>
      <c r="F978" s="21"/>
      <c r="G978" s="21"/>
      <c r="H978" s="22"/>
      <c r="I978" s="22"/>
      <c r="J978" s="21"/>
      <c r="K978" s="22"/>
      <c r="L978" s="22"/>
      <c r="M978" s="21"/>
      <c r="N978" s="23"/>
      <c r="O978" s="24"/>
    </row>
    <row r="979" spans="2:15" ht="15" customHeight="1">
      <c r="B979" s="18"/>
      <c r="C979" s="19"/>
      <c r="D979" s="20"/>
      <c r="E979" s="20"/>
      <c r="F979" s="21"/>
      <c r="G979" s="21"/>
      <c r="H979" s="22"/>
      <c r="I979" s="22"/>
      <c r="J979" s="21"/>
      <c r="K979" s="22"/>
      <c r="L979" s="22"/>
      <c r="M979" s="21"/>
      <c r="N979" s="23"/>
      <c r="O979" s="24"/>
    </row>
    <row r="980" spans="2:15" ht="15" customHeight="1">
      <c r="B980" s="18"/>
      <c r="C980" s="19"/>
      <c r="D980" s="20"/>
      <c r="E980" s="20"/>
      <c r="F980" s="21"/>
      <c r="G980" s="21"/>
      <c r="H980" s="22"/>
      <c r="I980" s="22"/>
      <c r="J980" s="21"/>
      <c r="K980" s="22"/>
      <c r="L980" s="22"/>
      <c r="M980" s="21"/>
      <c r="N980" s="23"/>
      <c r="O980" s="24"/>
    </row>
    <row r="981" spans="2:15" ht="15" customHeight="1">
      <c r="B981" s="18"/>
      <c r="C981" s="19"/>
      <c r="D981" s="20"/>
      <c r="E981" s="20"/>
      <c r="F981" s="21"/>
      <c r="G981" s="21"/>
      <c r="H981" s="22"/>
      <c r="I981" s="22"/>
      <c r="J981" s="21"/>
      <c r="K981" s="22"/>
      <c r="L981" s="22"/>
      <c r="M981" s="21"/>
      <c r="N981" s="23"/>
      <c r="O981" s="24"/>
    </row>
    <row r="982" spans="2:15" ht="15" customHeight="1">
      <c r="B982" s="18"/>
      <c r="C982" s="19"/>
      <c r="D982" s="20"/>
      <c r="E982" s="20"/>
      <c r="F982" s="21"/>
      <c r="G982" s="21"/>
      <c r="H982" s="22"/>
      <c r="I982" s="22"/>
      <c r="J982" s="21"/>
      <c r="K982" s="22"/>
      <c r="L982" s="22"/>
      <c r="M982" s="21"/>
      <c r="N982" s="23"/>
      <c r="O982" s="24"/>
    </row>
    <row r="983" spans="2:15" ht="15" customHeight="1">
      <c r="B983" s="18"/>
      <c r="C983" s="19"/>
      <c r="D983" s="20"/>
      <c r="E983" s="20"/>
      <c r="F983" s="21"/>
      <c r="G983" s="21"/>
      <c r="H983" s="22"/>
      <c r="I983" s="22"/>
      <c r="J983" s="21"/>
      <c r="K983" s="22"/>
      <c r="L983" s="22"/>
      <c r="M983" s="21"/>
      <c r="N983" s="23"/>
      <c r="O983" s="24"/>
    </row>
    <row r="984" spans="2:15" ht="15" customHeight="1">
      <c r="B984" s="18"/>
      <c r="C984" s="19"/>
      <c r="D984" s="20"/>
      <c r="E984" s="20"/>
      <c r="F984" s="21"/>
      <c r="G984" s="21"/>
      <c r="H984" s="22"/>
      <c r="I984" s="22"/>
      <c r="J984" s="21"/>
      <c r="K984" s="22"/>
      <c r="L984" s="22"/>
      <c r="M984" s="21"/>
      <c r="N984" s="23"/>
      <c r="O984" s="24"/>
    </row>
    <row r="985" spans="2:15" ht="15" customHeight="1">
      <c r="B985" s="18"/>
      <c r="C985" s="19"/>
      <c r="D985" s="20"/>
      <c r="E985" s="20"/>
      <c r="F985" s="21"/>
      <c r="G985" s="21"/>
      <c r="H985" s="22"/>
      <c r="I985" s="22"/>
      <c r="J985" s="21"/>
      <c r="K985" s="22"/>
      <c r="L985" s="22"/>
      <c r="M985" s="21"/>
      <c r="N985" s="23"/>
      <c r="O985" s="24"/>
    </row>
    <row r="986" spans="2:15" ht="15" customHeight="1">
      <c r="B986" s="18"/>
      <c r="C986" s="19"/>
      <c r="D986" s="20"/>
      <c r="E986" s="20"/>
      <c r="F986" s="21"/>
      <c r="G986" s="21"/>
      <c r="H986" s="22"/>
      <c r="I986" s="22"/>
      <c r="J986" s="21"/>
      <c r="K986" s="22"/>
      <c r="L986" s="22"/>
      <c r="M986" s="21"/>
      <c r="N986" s="23"/>
      <c r="O986" s="24"/>
    </row>
    <row r="987" spans="2:15" ht="15" customHeight="1">
      <c r="B987" s="18"/>
      <c r="C987" s="19"/>
      <c r="D987" s="20"/>
      <c r="E987" s="20"/>
      <c r="F987" s="21"/>
      <c r="G987" s="21"/>
      <c r="H987" s="22"/>
      <c r="I987" s="22"/>
      <c r="J987" s="21"/>
      <c r="K987" s="22"/>
      <c r="L987" s="22"/>
      <c r="M987" s="21"/>
      <c r="N987" s="23"/>
      <c r="O987" s="24"/>
    </row>
    <row r="988" spans="2:15" ht="15" customHeight="1">
      <c r="B988" s="18"/>
      <c r="C988" s="19"/>
      <c r="D988" s="20"/>
      <c r="E988" s="20"/>
      <c r="F988" s="21"/>
      <c r="G988" s="21"/>
      <c r="H988" s="22"/>
      <c r="I988" s="22"/>
      <c r="J988" s="21"/>
      <c r="K988" s="22"/>
      <c r="L988" s="22"/>
      <c r="M988" s="21"/>
      <c r="N988" s="23"/>
      <c r="O988" s="24"/>
    </row>
    <row r="989" spans="2:15" ht="15" customHeight="1">
      <c r="B989" s="18"/>
      <c r="C989" s="19"/>
      <c r="D989" s="20"/>
      <c r="E989" s="20"/>
      <c r="F989" s="21"/>
      <c r="G989" s="21"/>
      <c r="H989" s="22"/>
      <c r="I989" s="22"/>
      <c r="J989" s="21"/>
      <c r="K989" s="22"/>
      <c r="L989" s="22"/>
      <c r="M989" s="21"/>
      <c r="N989" s="23"/>
      <c r="O989" s="24"/>
    </row>
    <row r="990" spans="2:15" ht="15" customHeight="1">
      <c r="B990" s="18"/>
      <c r="C990" s="19"/>
      <c r="D990" s="20"/>
      <c r="E990" s="20"/>
      <c r="F990" s="21"/>
      <c r="G990" s="21"/>
      <c r="H990" s="22"/>
      <c r="I990" s="22"/>
      <c r="J990" s="21"/>
      <c r="K990" s="22"/>
      <c r="L990" s="22"/>
      <c r="M990" s="21"/>
      <c r="N990" s="23"/>
      <c r="O990" s="24"/>
    </row>
    <row r="991" spans="2:15" ht="15" customHeight="1">
      <c r="B991" s="18"/>
      <c r="C991" s="19"/>
      <c r="D991" s="20"/>
      <c r="E991" s="20"/>
      <c r="F991" s="21"/>
      <c r="G991" s="21"/>
      <c r="H991" s="22"/>
      <c r="I991" s="22"/>
      <c r="J991" s="21"/>
      <c r="K991" s="22"/>
      <c r="L991" s="22"/>
      <c r="M991" s="21"/>
      <c r="N991" s="23"/>
      <c r="O991" s="24"/>
    </row>
  </sheetData>
  <conditionalFormatting sqref="C1:C1048576">
    <cfRule type="containsText" dxfId="79" priority="44" operator="containsText" text="Chip normal">
      <formula>NOT(ISERROR(SEARCH("Chip normal",C1)))</formula>
    </cfRule>
    <cfRule type="containsText" dxfId="78" priority="45" operator="containsText" text="chip recarregado">
      <formula>NOT(ISERROR(SEARCH("chip recarregado",C1)))</formula>
    </cfRule>
    <cfRule type="expression" dxfId="77" priority="46">
      <formula>P1="Ainda não"</formula>
    </cfRule>
    <cfRule type="expression" dxfId="76" priority="47">
      <formula>P1="Transferido"</formula>
    </cfRule>
  </conditionalFormatting>
  <conditionalFormatting sqref="C847:C991">
    <cfRule type="expression" dxfId="75" priority="132">
      <formula>O847="Transferido"</formula>
    </cfRule>
    <cfRule type="expression" dxfId="74" priority="133">
      <formula>O847="Ainda não"</formula>
    </cfRule>
  </conditionalFormatting>
  <conditionalFormatting sqref="F1:F1048576">
    <cfRule type="expression" dxfId="73" priority="30">
      <formula>F1="Luiz"</formula>
    </cfRule>
    <cfRule type="expression" dxfId="72" priority="31">
      <formula>F1="Higor"</formula>
    </cfRule>
    <cfRule type="expression" dxfId="71" priority="32">
      <formula>F1="Rafael"</formula>
    </cfRule>
    <cfRule type="expression" dxfId="70" priority="33">
      <formula>F1="leonardo"</formula>
    </cfRule>
  </conditionalFormatting>
  <conditionalFormatting sqref="P1:P1048576">
    <cfRule type="expression" dxfId="69" priority="90">
      <formula>P1="Ainda não"</formula>
    </cfRule>
    <cfRule type="expression" dxfId="68" priority="91">
      <formula>P1="Transferido"</formula>
    </cfRule>
  </conditionalFormatting>
  <dataValidations count="2">
    <dataValidation type="list" allowBlank="1" showErrorMessage="1" sqref="G847:G991" xr:uid="{00000000-0002-0000-0000-000000000000}">
      <formula1>#REF!</formula1>
    </dataValidation>
    <dataValidation type="list" allowBlank="1" showErrorMessage="1" sqref="J847:J991" xr:uid="{00000000-0002-0000-0000-000001000000}">
      <formula1>"CPF,CNPJ"</formula1>
    </dataValidation>
  </dataValidations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9EB48-3CB7-FAC8-3AE8-C625AB53CF78}">
  <dimension ref="A1:AB922"/>
  <sheetViews>
    <sheetView showGridLines="0" workbookViewId="0">
      <selection activeCell="A15" sqref="A15"/>
    </sheetView>
  </sheetViews>
  <sheetFormatPr defaultColWidth="14.42578125" defaultRowHeight="15" customHeight="1"/>
  <cols>
    <col min="1" max="1" width="10.42578125" customWidth="1"/>
    <col min="2" max="2" width="11" customWidth="1"/>
    <col min="3" max="3" width="32.7109375" customWidth="1"/>
    <col min="4" max="4" width="8.85546875" customWidth="1"/>
    <col min="5" max="5" width="30.85546875" customWidth="1"/>
    <col min="6" max="6" width="16.140625" customWidth="1"/>
    <col min="7" max="7" width="12.5703125" customWidth="1"/>
    <col min="8" max="8" width="12.140625" customWidth="1"/>
    <col min="9" max="9" width="16.28515625" customWidth="1"/>
    <col min="10" max="10" width="15.28515625" customWidth="1"/>
    <col min="11" max="11" width="13.5703125" hidden="1" customWidth="1"/>
    <col min="12" max="12" width="12.140625" hidden="1" customWidth="1"/>
    <col min="13" max="13" width="12.42578125" customWidth="1"/>
    <col min="14" max="14" width="15.85546875" hidden="1" customWidth="1"/>
    <col min="15" max="15" width="15" hidden="1" customWidth="1"/>
    <col min="16" max="16" width="16.140625" customWidth="1"/>
  </cols>
  <sheetData>
    <row r="1" spans="1:16" ht="42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5" t="s">
        <v>12</v>
      </c>
      <c r="N1" s="8" t="s">
        <v>13</v>
      </c>
      <c r="O1" s="9" t="s">
        <v>14</v>
      </c>
      <c r="P1" s="9" t="s">
        <v>15</v>
      </c>
    </row>
    <row r="2" spans="1:16" ht="15.75" customHeight="1">
      <c r="A2" s="28">
        <v>1</v>
      </c>
      <c r="B2" s="32">
        <v>45659</v>
      </c>
      <c r="C2" s="36" t="s">
        <v>554</v>
      </c>
      <c r="D2" s="43">
        <v>1</v>
      </c>
      <c r="E2" s="48" t="s">
        <v>455</v>
      </c>
      <c r="F2" s="48" t="s">
        <v>555</v>
      </c>
      <c r="G2" s="49">
        <v>10</v>
      </c>
      <c r="H2" s="10">
        <v>10</v>
      </c>
      <c r="I2" s="52">
        <v>15</v>
      </c>
      <c r="J2" s="10">
        <v>15</v>
      </c>
      <c r="K2" s="95" t="s">
        <v>346</v>
      </c>
      <c r="L2" s="57">
        <v>0.33333333333333331</v>
      </c>
      <c r="M2" s="50">
        <v>5</v>
      </c>
      <c r="N2" s="64"/>
      <c r="O2" s="103"/>
      <c r="P2" s="52" t="s">
        <v>20</v>
      </c>
    </row>
    <row r="3" spans="1:16" ht="15.75" customHeight="1">
      <c r="A3" s="28">
        <v>1</v>
      </c>
      <c r="B3" s="32">
        <v>45659</v>
      </c>
      <c r="C3" s="36" t="s">
        <v>323</v>
      </c>
      <c r="D3" s="43">
        <v>1</v>
      </c>
      <c r="E3" s="48" t="s">
        <v>395</v>
      </c>
      <c r="F3" s="48" t="s">
        <v>555</v>
      </c>
      <c r="G3" s="49">
        <v>7.0000000000000007E-2</v>
      </c>
      <c r="H3" s="10">
        <v>7.0000000000000007E-2</v>
      </c>
      <c r="I3" s="52">
        <v>1</v>
      </c>
      <c r="J3" s="10">
        <v>1</v>
      </c>
      <c r="K3" s="95" t="s">
        <v>346</v>
      </c>
      <c r="L3" s="57">
        <v>0.92999999999999994</v>
      </c>
      <c r="M3" s="50">
        <v>0.92999999999999994</v>
      </c>
      <c r="N3" s="61"/>
      <c r="O3" s="103"/>
      <c r="P3" s="52" t="s">
        <v>20</v>
      </c>
    </row>
    <row r="4" spans="1:16" ht="15.75" customHeight="1">
      <c r="A4" s="28">
        <v>1</v>
      </c>
      <c r="B4" s="32">
        <v>45659</v>
      </c>
      <c r="C4" s="36" t="s">
        <v>274</v>
      </c>
      <c r="D4" s="43">
        <v>1</v>
      </c>
      <c r="E4" s="48" t="s">
        <v>26</v>
      </c>
      <c r="F4" s="48" t="s">
        <v>555</v>
      </c>
      <c r="G4" s="49">
        <v>0</v>
      </c>
      <c r="H4" s="10">
        <v>0</v>
      </c>
      <c r="I4" s="52">
        <v>10</v>
      </c>
      <c r="J4" s="10">
        <v>10</v>
      </c>
      <c r="K4" s="95" t="s">
        <v>346</v>
      </c>
      <c r="L4" s="57">
        <v>1</v>
      </c>
      <c r="M4" s="50">
        <v>10</v>
      </c>
      <c r="N4" s="61"/>
      <c r="O4" s="103"/>
      <c r="P4" s="52" t="s">
        <v>20</v>
      </c>
    </row>
    <row r="5" spans="1:16" ht="15.75" customHeight="1">
      <c r="A5" s="28">
        <v>1</v>
      </c>
      <c r="B5" s="32">
        <v>45659</v>
      </c>
      <c r="C5" s="36" t="s">
        <v>556</v>
      </c>
      <c r="D5" s="43">
        <v>1</v>
      </c>
      <c r="E5" s="48" t="s">
        <v>557</v>
      </c>
      <c r="F5" s="48" t="s">
        <v>555</v>
      </c>
      <c r="G5" s="49">
        <v>5</v>
      </c>
      <c r="H5" s="10">
        <v>5</v>
      </c>
      <c r="I5" s="52">
        <v>20</v>
      </c>
      <c r="J5" s="10">
        <v>20</v>
      </c>
      <c r="K5" s="95" t="s">
        <v>346</v>
      </c>
      <c r="L5" s="57">
        <v>0.75</v>
      </c>
      <c r="M5" s="50">
        <v>15</v>
      </c>
      <c r="N5" s="61"/>
      <c r="O5" s="103"/>
      <c r="P5" s="52" t="s">
        <v>20</v>
      </c>
    </row>
    <row r="6" spans="1:16" ht="15.75" customHeight="1">
      <c r="A6" s="28">
        <v>1</v>
      </c>
      <c r="B6" s="32">
        <v>45659</v>
      </c>
      <c r="C6" s="36" t="s">
        <v>558</v>
      </c>
      <c r="D6" s="43">
        <v>1</v>
      </c>
      <c r="E6" s="48" t="s">
        <v>557</v>
      </c>
      <c r="F6" s="48" t="s">
        <v>555</v>
      </c>
      <c r="G6" s="49">
        <v>63</v>
      </c>
      <c r="H6" s="10">
        <v>63</v>
      </c>
      <c r="I6" s="52">
        <v>110</v>
      </c>
      <c r="J6" s="10">
        <v>110</v>
      </c>
      <c r="K6" s="95" t="s">
        <v>346</v>
      </c>
      <c r="L6" s="57">
        <v>0.42727272727272725</v>
      </c>
      <c r="M6" s="50">
        <v>47</v>
      </c>
      <c r="N6" s="61"/>
      <c r="O6" s="103"/>
      <c r="P6" s="52" t="s">
        <v>20</v>
      </c>
    </row>
    <row r="7" spans="1:16" ht="15.75" customHeight="1">
      <c r="A7" s="28">
        <v>1</v>
      </c>
      <c r="B7" s="32">
        <v>45660</v>
      </c>
      <c r="C7" s="36" t="s">
        <v>323</v>
      </c>
      <c r="D7" s="43">
        <v>5</v>
      </c>
      <c r="E7" s="48" t="s">
        <v>26</v>
      </c>
      <c r="F7" s="48" t="s">
        <v>555</v>
      </c>
      <c r="G7" s="49">
        <v>7.0000000000000007E-2</v>
      </c>
      <c r="H7" s="10">
        <v>0.35000000000000003</v>
      </c>
      <c r="I7" s="52">
        <v>1</v>
      </c>
      <c r="J7" s="10">
        <v>5</v>
      </c>
      <c r="K7" s="95" t="s">
        <v>346</v>
      </c>
      <c r="L7" s="57">
        <v>0.93</v>
      </c>
      <c r="M7" s="50">
        <v>4.6500000000000004</v>
      </c>
      <c r="N7" s="61"/>
      <c r="O7" s="103"/>
      <c r="P7" s="52" t="s">
        <v>20</v>
      </c>
    </row>
    <row r="8" spans="1:16" ht="15.75" customHeight="1">
      <c r="A8" s="28">
        <v>1</v>
      </c>
      <c r="B8" s="32">
        <v>45660</v>
      </c>
      <c r="C8" s="36" t="s">
        <v>321</v>
      </c>
      <c r="D8" s="43">
        <v>1</v>
      </c>
      <c r="E8" s="48" t="s">
        <v>26</v>
      </c>
      <c r="F8" s="48" t="s">
        <v>555</v>
      </c>
      <c r="G8" s="49">
        <v>3</v>
      </c>
      <c r="H8" s="10">
        <v>3</v>
      </c>
      <c r="I8" s="52">
        <v>15</v>
      </c>
      <c r="J8" s="10">
        <v>15</v>
      </c>
      <c r="K8" s="95" t="s">
        <v>346</v>
      </c>
      <c r="L8" s="57">
        <v>0.8</v>
      </c>
      <c r="M8" s="50">
        <v>12</v>
      </c>
      <c r="N8" s="61"/>
      <c r="O8" s="103"/>
      <c r="P8" s="52" t="s">
        <v>20</v>
      </c>
    </row>
    <row r="9" spans="1:16" ht="15.75" customHeight="1">
      <c r="A9" s="28">
        <v>1</v>
      </c>
      <c r="B9" s="32">
        <v>45660</v>
      </c>
      <c r="C9" s="36" t="s">
        <v>274</v>
      </c>
      <c r="D9" s="43">
        <v>1</v>
      </c>
      <c r="E9" s="48" t="s">
        <v>26</v>
      </c>
      <c r="F9" s="48" t="s">
        <v>555</v>
      </c>
      <c r="G9" s="49">
        <v>0</v>
      </c>
      <c r="H9" s="10">
        <v>0</v>
      </c>
      <c r="I9" s="52">
        <v>29</v>
      </c>
      <c r="J9" s="10">
        <v>29</v>
      </c>
      <c r="K9" s="95" t="s">
        <v>346</v>
      </c>
      <c r="L9" s="57">
        <v>1</v>
      </c>
      <c r="M9" s="50">
        <v>29</v>
      </c>
      <c r="N9" s="61"/>
      <c r="O9" s="103"/>
      <c r="P9" s="52" t="s">
        <v>20</v>
      </c>
    </row>
    <row r="10" spans="1:16" ht="15.75" customHeight="1">
      <c r="A10" s="28">
        <v>1</v>
      </c>
      <c r="B10" s="32">
        <v>45660</v>
      </c>
      <c r="C10" s="36" t="s">
        <v>321</v>
      </c>
      <c r="D10" s="43">
        <v>2</v>
      </c>
      <c r="E10" s="48" t="s">
        <v>26</v>
      </c>
      <c r="F10" s="48" t="s">
        <v>555</v>
      </c>
      <c r="G10" s="49">
        <v>3</v>
      </c>
      <c r="H10" s="10">
        <v>6</v>
      </c>
      <c r="I10" s="52">
        <v>15</v>
      </c>
      <c r="J10" s="10">
        <v>30</v>
      </c>
      <c r="K10" s="95" t="s">
        <v>346</v>
      </c>
      <c r="L10" s="57">
        <v>0.8</v>
      </c>
      <c r="M10" s="50">
        <v>24</v>
      </c>
      <c r="N10" s="61"/>
      <c r="O10" s="103"/>
      <c r="P10" s="52" t="s">
        <v>20</v>
      </c>
    </row>
    <row r="11" spans="1:16" ht="15.75" customHeight="1">
      <c r="A11" s="28">
        <v>1</v>
      </c>
      <c r="B11" s="32">
        <v>45660</v>
      </c>
      <c r="C11" s="36" t="s">
        <v>489</v>
      </c>
      <c r="D11" s="43">
        <v>2</v>
      </c>
      <c r="E11" s="48" t="s">
        <v>26</v>
      </c>
      <c r="F11" s="48" t="s">
        <v>555</v>
      </c>
      <c r="G11" s="49">
        <v>3</v>
      </c>
      <c r="H11" s="10">
        <v>6</v>
      </c>
      <c r="I11" s="52">
        <v>15</v>
      </c>
      <c r="J11" s="10">
        <v>30</v>
      </c>
      <c r="K11" s="95" t="s">
        <v>346</v>
      </c>
      <c r="L11" s="57">
        <v>0.8</v>
      </c>
      <c r="M11" s="50">
        <v>24</v>
      </c>
      <c r="N11" s="61"/>
      <c r="O11" s="103"/>
      <c r="P11" s="52" t="s">
        <v>20</v>
      </c>
    </row>
    <row r="12" spans="1:16" ht="15.75" customHeight="1">
      <c r="A12" s="28">
        <v>1</v>
      </c>
      <c r="B12" s="32">
        <v>45661</v>
      </c>
      <c r="C12" s="36" t="s">
        <v>559</v>
      </c>
      <c r="D12" s="43">
        <v>2</v>
      </c>
      <c r="E12" s="48" t="s">
        <v>26</v>
      </c>
      <c r="F12" s="48" t="s">
        <v>555</v>
      </c>
      <c r="G12" s="49" t="s">
        <v>79</v>
      </c>
      <c r="H12" s="10">
        <v>0</v>
      </c>
      <c r="I12" s="52">
        <v>5</v>
      </c>
      <c r="J12" s="10">
        <v>10</v>
      </c>
      <c r="K12" s="95" t="s">
        <v>346</v>
      </c>
      <c r="L12" s="57">
        <v>1</v>
      </c>
      <c r="M12" s="50">
        <v>10</v>
      </c>
      <c r="N12" s="61"/>
      <c r="O12" s="103"/>
      <c r="P12" s="52" t="s">
        <v>20</v>
      </c>
    </row>
    <row r="13" spans="1:16" ht="15.75" customHeight="1">
      <c r="A13" s="28">
        <v>1</v>
      </c>
      <c r="B13" s="32">
        <v>45663</v>
      </c>
      <c r="C13" s="36" t="s">
        <v>323</v>
      </c>
      <c r="D13" s="43">
        <v>2</v>
      </c>
      <c r="E13" s="48" t="s">
        <v>560</v>
      </c>
      <c r="F13" s="48" t="s">
        <v>555</v>
      </c>
      <c r="G13" s="49">
        <v>7.0000000000000007E-2</v>
      </c>
      <c r="H13" s="10">
        <v>0.14000000000000001</v>
      </c>
      <c r="I13" s="52">
        <v>1</v>
      </c>
      <c r="J13" s="10">
        <v>2</v>
      </c>
      <c r="K13" s="95" t="s">
        <v>346</v>
      </c>
      <c r="L13" s="57">
        <v>0.92999999999999994</v>
      </c>
      <c r="M13" s="50">
        <v>1.8599999999999999</v>
      </c>
      <c r="N13" s="61"/>
      <c r="O13" s="103"/>
      <c r="P13" s="52" t="s">
        <v>20</v>
      </c>
    </row>
    <row r="14" spans="1:16" ht="15.75" customHeight="1">
      <c r="A14" s="28">
        <v>1</v>
      </c>
      <c r="B14" s="32">
        <v>45663</v>
      </c>
      <c r="C14" s="36" t="s">
        <v>223</v>
      </c>
      <c r="D14" s="43">
        <v>1</v>
      </c>
      <c r="E14" s="48" t="s">
        <v>561</v>
      </c>
      <c r="F14" s="48" t="s">
        <v>555</v>
      </c>
      <c r="G14" s="49">
        <v>0</v>
      </c>
      <c r="H14" s="10">
        <v>0</v>
      </c>
      <c r="I14" s="52">
        <v>60</v>
      </c>
      <c r="J14" s="10">
        <v>60</v>
      </c>
      <c r="K14" s="95" t="s">
        <v>346</v>
      </c>
      <c r="L14" s="57">
        <v>1</v>
      </c>
      <c r="M14" s="50">
        <v>60</v>
      </c>
      <c r="N14" s="61"/>
      <c r="O14" s="103"/>
      <c r="P14" s="52" t="s">
        <v>20</v>
      </c>
    </row>
    <row r="15" spans="1:16" ht="15.75" customHeight="1">
      <c r="A15" s="28">
        <v>1</v>
      </c>
      <c r="B15" s="32">
        <v>45663</v>
      </c>
      <c r="C15" s="36" t="s">
        <v>323</v>
      </c>
      <c r="D15" s="43">
        <v>2</v>
      </c>
      <c r="E15" s="48" t="s">
        <v>519</v>
      </c>
      <c r="F15" s="48" t="s">
        <v>555</v>
      </c>
      <c r="G15" s="49">
        <v>7.0000000000000007E-2</v>
      </c>
      <c r="H15" s="10">
        <v>0.14000000000000001</v>
      </c>
      <c r="I15" s="52">
        <v>1</v>
      </c>
      <c r="J15" s="10">
        <v>2</v>
      </c>
      <c r="K15" s="95" t="s">
        <v>346</v>
      </c>
      <c r="L15" s="57">
        <v>0.92999999999999994</v>
      </c>
      <c r="M15" s="50">
        <v>1.8599999999999999</v>
      </c>
      <c r="N15" s="61"/>
      <c r="O15" s="103"/>
      <c r="P15" s="52" t="s">
        <v>20</v>
      </c>
    </row>
    <row r="16" spans="1:16" ht="15.75" customHeight="1">
      <c r="A16" s="28">
        <v>1</v>
      </c>
      <c r="B16" s="32">
        <v>45663</v>
      </c>
      <c r="C16" s="36" t="s">
        <v>274</v>
      </c>
      <c r="D16" s="43">
        <v>1</v>
      </c>
      <c r="E16" s="48" t="s">
        <v>26</v>
      </c>
      <c r="F16" s="48" t="s">
        <v>555</v>
      </c>
      <c r="G16" s="49">
        <v>0</v>
      </c>
      <c r="H16" s="10">
        <v>0</v>
      </c>
      <c r="I16" s="52">
        <v>5</v>
      </c>
      <c r="J16" s="10">
        <v>5</v>
      </c>
      <c r="K16" s="95" t="s">
        <v>346</v>
      </c>
      <c r="L16" s="57">
        <v>1</v>
      </c>
      <c r="M16" s="50">
        <v>5</v>
      </c>
      <c r="N16" s="61"/>
      <c r="O16" s="103"/>
      <c r="P16" s="52" t="s">
        <v>20</v>
      </c>
    </row>
    <row r="17" spans="1:16" ht="15.75" customHeight="1">
      <c r="A17" s="28">
        <v>1</v>
      </c>
      <c r="B17" s="32">
        <v>45664</v>
      </c>
      <c r="C17" s="36" t="s">
        <v>323</v>
      </c>
      <c r="D17" s="43">
        <v>3</v>
      </c>
      <c r="E17" s="48" t="s">
        <v>26</v>
      </c>
      <c r="F17" s="48" t="s">
        <v>555</v>
      </c>
      <c r="G17" s="49">
        <v>7.0000000000000007E-2</v>
      </c>
      <c r="H17" s="10">
        <v>0.21000000000000002</v>
      </c>
      <c r="I17" s="52">
        <v>1</v>
      </c>
      <c r="J17" s="10">
        <v>3</v>
      </c>
      <c r="K17" s="95" t="s">
        <v>346</v>
      </c>
      <c r="L17" s="57">
        <v>0.93</v>
      </c>
      <c r="M17" s="50">
        <v>2.79</v>
      </c>
      <c r="N17" s="61"/>
      <c r="O17" s="103"/>
      <c r="P17" s="52" t="s">
        <v>20</v>
      </c>
    </row>
    <row r="18" spans="1:16" ht="15.75" customHeight="1">
      <c r="A18" s="28">
        <v>1</v>
      </c>
      <c r="B18" s="32">
        <v>45664</v>
      </c>
      <c r="C18" s="36" t="s">
        <v>323</v>
      </c>
      <c r="D18" s="43">
        <v>1</v>
      </c>
      <c r="E18" s="48" t="s">
        <v>455</v>
      </c>
      <c r="F18" s="48" t="s">
        <v>555</v>
      </c>
      <c r="G18" s="49">
        <v>7.0000000000000007E-2</v>
      </c>
      <c r="H18" s="10">
        <v>7.0000000000000007E-2</v>
      </c>
      <c r="I18" s="52">
        <v>1</v>
      </c>
      <c r="J18" s="10">
        <v>1</v>
      </c>
      <c r="K18" s="95" t="s">
        <v>346</v>
      </c>
      <c r="L18" s="57">
        <v>0.92999999999999994</v>
      </c>
      <c r="M18" s="50">
        <v>0.92999999999999994</v>
      </c>
      <c r="N18" s="61"/>
      <c r="O18" s="103"/>
      <c r="P18" s="52" t="s">
        <v>20</v>
      </c>
    </row>
    <row r="19" spans="1:16" ht="15.75" customHeight="1">
      <c r="A19" s="28">
        <v>1</v>
      </c>
      <c r="B19" s="32">
        <v>45664</v>
      </c>
      <c r="C19" s="36" t="s">
        <v>562</v>
      </c>
      <c r="D19" s="43">
        <v>2</v>
      </c>
      <c r="E19" s="48" t="s">
        <v>26</v>
      </c>
      <c r="F19" s="48" t="s">
        <v>555</v>
      </c>
      <c r="G19" s="49" t="s">
        <v>79</v>
      </c>
      <c r="H19" s="10">
        <v>0</v>
      </c>
      <c r="I19" s="52">
        <v>30</v>
      </c>
      <c r="J19" s="10">
        <v>60</v>
      </c>
      <c r="K19" s="95" t="s">
        <v>346</v>
      </c>
      <c r="L19" s="57">
        <v>1</v>
      </c>
      <c r="M19" s="50">
        <v>60</v>
      </c>
      <c r="N19" s="61"/>
      <c r="O19" s="103"/>
      <c r="P19" s="52" t="s">
        <v>20</v>
      </c>
    </row>
    <row r="20" spans="1:16" ht="15.75" customHeight="1">
      <c r="A20" s="28">
        <v>1</v>
      </c>
      <c r="B20" s="32">
        <v>45664</v>
      </c>
      <c r="C20" s="36" t="s">
        <v>563</v>
      </c>
      <c r="D20" s="43">
        <v>1</v>
      </c>
      <c r="E20" s="48" t="s">
        <v>26</v>
      </c>
      <c r="F20" s="48" t="s">
        <v>322</v>
      </c>
      <c r="G20" s="49" t="s">
        <v>79</v>
      </c>
      <c r="H20" s="10">
        <v>0</v>
      </c>
      <c r="I20" s="52">
        <v>37.5</v>
      </c>
      <c r="J20" s="10">
        <v>37.5</v>
      </c>
      <c r="K20" s="95" t="s">
        <v>346</v>
      </c>
      <c r="L20" s="57">
        <v>1</v>
      </c>
      <c r="M20" s="50">
        <v>37.5</v>
      </c>
      <c r="N20" s="61"/>
      <c r="O20" s="103"/>
      <c r="P20" s="52" t="s">
        <v>20</v>
      </c>
    </row>
    <row r="21" spans="1:16" ht="15.75" customHeight="1">
      <c r="A21" s="28">
        <v>1</v>
      </c>
      <c r="B21" s="32">
        <v>45664</v>
      </c>
      <c r="C21" s="36" t="s">
        <v>274</v>
      </c>
      <c r="D21" s="43">
        <v>1</v>
      </c>
      <c r="E21" s="48" t="s">
        <v>26</v>
      </c>
      <c r="F21" s="48" t="s">
        <v>322</v>
      </c>
      <c r="G21" s="49">
        <v>0</v>
      </c>
      <c r="H21" s="10">
        <v>0</v>
      </c>
      <c r="I21" s="52">
        <v>150</v>
      </c>
      <c r="J21" s="10">
        <v>150</v>
      </c>
      <c r="K21" s="95" t="s">
        <v>346</v>
      </c>
      <c r="L21" s="57">
        <v>0.35</v>
      </c>
      <c r="M21" s="50">
        <v>150</v>
      </c>
      <c r="N21" s="61"/>
      <c r="O21" s="103"/>
      <c r="P21" s="52" t="s">
        <v>20</v>
      </c>
    </row>
    <row r="22" spans="1:16" ht="15.75" customHeight="1">
      <c r="A22" s="28">
        <v>1</v>
      </c>
      <c r="B22" s="32">
        <v>45664</v>
      </c>
      <c r="C22" s="36" t="s">
        <v>530</v>
      </c>
      <c r="D22" s="43">
        <v>1</v>
      </c>
      <c r="E22" s="48" t="s">
        <v>322</v>
      </c>
      <c r="F22" s="48" t="s">
        <v>555</v>
      </c>
      <c r="G22" s="49">
        <v>13</v>
      </c>
      <c r="H22" s="10">
        <v>13</v>
      </c>
      <c r="I22" s="52">
        <v>20</v>
      </c>
      <c r="J22" s="10">
        <v>20</v>
      </c>
      <c r="K22" s="95" t="s">
        <v>346</v>
      </c>
      <c r="L22" s="57">
        <v>0.73333333333333328</v>
      </c>
      <c r="M22" s="50">
        <v>7</v>
      </c>
      <c r="N22" s="61"/>
      <c r="O22" s="103"/>
      <c r="P22" s="52" t="s">
        <v>20</v>
      </c>
    </row>
    <row r="23" spans="1:16" ht="15.75" customHeight="1">
      <c r="A23" s="28">
        <v>1</v>
      </c>
      <c r="B23" s="32">
        <v>45664</v>
      </c>
      <c r="C23" s="36" t="s">
        <v>564</v>
      </c>
      <c r="D23" s="43">
        <v>1</v>
      </c>
      <c r="E23" s="48" t="s">
        <v>26</v>
      </c>
      <c r="F23" s="48" t="s">
        <v>555</v>
      </c>
      <c r="G23" s="49">
        <v>4</v>
      </c>
      <c r="H23" s="10">
        <v>4</v>
      </c>
      <c r="I23" s="52">
        <v>15</v>
      </c>
      <c r="J23" s="10">
        <v>15</v>
      </c>
      <c r="K23" s="95" t="s">
        <v>346</v>
      </c>
      <c r="L23" s="57">
        <v>0.93</v>
      </c>
      <c r="M23" s="50">
        <v>11</v>
      </c>
      <c r="N23" s="61"/>
      <c r="O23" s="103"/>
      <c r="P23" s="52" t="s">
        <v>20</v>
      </c>
    </row>
    <row r="24" spans="1:16" ht="15.75" customHeight="1">
      <c r="A24" s="28">
        <v>1</v>
      </c>
      <c r="B24" s="32">
        <v>45665</v>
      </c>
      <c r="C24" s="36" t="s">
        <v>323</v>
      </c>
      <c r="D24" s="43">
        <v>5</v>
      </c>
      <c r="E24" s="48" t="s">
        <v>455</v>
      </c>
      <c r="F24" s="48" t="s">
        <v>555</v>
      </c>
      <c r="G24" s="49">
        <v>7.0000000000000007E-2</v>
      </c>
      <c r="H24" s="10">
        <v>0.35000000000000003</v>
      </c>
      <c r="I24" s="52">
        <v>1</v>
      </c>
      <c r="J24" s="10">
        <v>5</v>
      </c>
      <c r="K24" s="95" t="s">
        <v>346</v>
      </c>
      <c r="L24" s="57">
        <v>1</v>
      </c>
      <c r="M24" s="50">
        <v>4.6500000000000004</v>
      </c>
      <c r="N24" s="61"/>
      <c r="O24" s="103"/>
      <c r="P24" s="52" t="s">
        <v>20</v>
      </c>
    </row>
    <row r="25" spans="1:16" ht="15.75" customHeight="1">
      <c r="A25" s="28">
        <v>1</v>
      </c>
      <c r="B25" s="32">
        <v>45665</v>
      </c>
      <c r="C25" s="36" t="s">
        <v>321</v>
      </c>
      <c r="D25" s="43">
        <v>1</v>
      </c>
      <c r="E25" s="48" t="s">
        <v>26</v>
      </c>
      <c r="F25" s="48" t="s">
        <v>555</v>
      </c>
      <c r="G25" s="49">
        <v>3</v>
      </c>
      <c r="H25" s="10">
        <v>3</v>
      </c>
      <c r="I25" s="52">
        <v>15</v>
      </c>
      <c r="J25" s="10">
        <v>15</v>
      </c>
      <c r="K25" s="95" t="s">
        <v>346</v>
      </c>
      <c r="L25" s="57">
        <v>0.8</v>
      </c>
      <c r="M25" s="50">
        <v>12</v>
      </c>
      <c r="N25" s="61"/>
      <c r="O25" s="103"/>
      <c r="P25" s="52" t="s">
        <v>20</v>
      </c>
    </row>
    <row r="26" spans="1:16" ht="15.75" customHeight="1">
      <c r="A26" s="28">
        <v>1</v>
      </c>
      <c r="B26" s="32">
        <v>45665</v>
      </c>
      <c r="C26" s="36" t="s">
        <v>565</v>
      </c>
      <c r="D26" s="43">
        <v>1</v>
      </c>
      <c r="E26" s="48" t="s">
        <v>566</v>
      </c>
      <c r="F26" s="48" t="s">
        <v>555</v>
      </c>
      <c r="G26" s="49">
        <v>2.5</v>
      </c>
      <c r="H26" s="10">
        <v>2.5</v>
      </c>
      <c r="I26" s="52">
        <v>10</v>
      </c>
      <c r="J26" s="10">
        <v>10</v>
      </c>
      <c r="K26" s="95"/>
      <c r="L26" s="57">
        <v>0.75</v>
      </c>
      <c r="M26" s="50">
        <v>7.5</v>
      </c>
      <c r="N26" s="61"/>
      <c r="O26" s="103"/>
      <c r="P26" s="52" t="s">
        <v>20</v>
      </c>
    </row>
    <row r="27" spans="1:16" ht="15.75" customHeight="1">
      <c r="A27" s="28">
        <v>1</v>
      </c>
      <c r="B27" s="32">
        <v>45666</v>
      </c>
      <c r="C27" s="36" t="s">
        <v>323</v>
      </c>
      <c r="D27" s="43">
        <v>1</v>
      </c>
      <c r="E27" s="48" t="s">
        <v>567</v>
      </c>
      <c r="F27" s="48" t="s">
        <v>555</v>
      </c>
      <c r="G27" s="49">
        <v>7.0000000000000007E-2</v>
      </c>
      <c r="H27" s="10">
        <v>7.0000000000000007E-2</v>
      </c>
      <c r="I27" s="52">
        <v>1</v>
      </c>
      <c r="J27" s="10">
        <v>1</v>
      </c>
      <c r="K27" s="95" t="s">
        <v>346</v>
      </c>
      <c r="L27" s="57">
        <v>0.92999999999999994</v>
      </c>
      <c r="M27" s="50">
        <v>0.92999999999999994</v>
      </c>
      <c r="N27" s="61"/>
      <c r="O27" s="103"/>
      <c r="P27" s="52" t="s">
        <v>20</v>
      </c>
    </row>
    <row r="28" spans="1:16" ht="15.75" customHeight="1">
      <c r="A28" s="28">
        <v>1</v>
      </c>
      <c r="B28" s="32">
        <v>45666</v>
      </c>
      <c r="C28" s="36" t="s">
        <v>559</v>
      </c>
      <c r="D28" s="43">
        <v>2</v>
      </c>
      <c r="E28" s="48" t="s">
        <v>26</v>
      </c>
      <c r="F28" s="48" t="s">
        <v>555</v>
      </c>
      <c r="G28" s="49" t="s">
        <v>79</v>
      </c>
      <c r="H28" s="10">
        <v>0</v>
      </c>
      <c r="I28" s="52">
        <v>5</v>
      </c>
      <c r="J28" s="10">
        <v>10</v>
      </c>
      <c r="K28" s="95" t="s">
        <v>346</v>
      </c>
      <c r="L28" s="57">
        <v>1</v>
      </c>
      <c r="M28" s="50">
        <v>10</v>
      </c>
      <c r="N28" s="61"/>
      <c r="O28" s="103"/>
      <c r="P28" s="52" t="s">
        <v>20</v>
      </c>
    </row>
    <row r="29" spans="1:16" ht="15.75" customHeight="1">
      <c r="A29" s="28">
        <v>1</v>
      </c>
      <c r="B29" s="32">
        <v>45667</v>
      </c>
      <c r="C29" s="36" t="s">
        <v>568</v>
      </c>
      <c r="D29" s="43">
        <v>1</v>
      </c>
      <c r="E29" s="48" t="s">
        <v>26</v>
      </c>
      <c r="F29" s="48" t="s">
        <v>555</v>
      </c>
      <c r="G29" s="49">
        <v>10</v>
      </c>
      <c r="H29" s="10">
        <v>10</v>
      </c>
      <c r="I29" s="52">
        <v>30</v>
      </c>
      <c r="J29" s="10">
        <v>30</v>
      </c>
      <c r="K29" s="95" t="s">
        <v>346</v>
      </c>
      <c r="L29" s="57">
        <v>0.66666666666666663</v>
      </c>
      <c r="M29" s="50">
        <v>20</v>
      </c>
      <c r="N29" s="61"/>
      <c r="O29" s="103"/>
      <c r="P29" s="52" t="s">
        <v>20</v>
      </c>
    </row>
    <row r="30" spans="1:16" ht="15.75" customHeight="1">
      <c r="A30" s="28">
        <v>1</v>
      </c>
      <c r="B30" s="32">
        <v>45668</v>
      </c>
      <c r="C30" s="36" t="s">
        <v>16</v>
      </c>
      <c r="D30" s="43">
        <v>1</v>
      </c>
      <c r="E30" s="48" t="s">
        <v>569</v>
      </c>
      <c r="F30" s="48" t="s">
        <v>555</v>
      </c>
      <c r="G30" s="49">
        <v>7</v>
      </c>
      <c r="H30" s="10">
        <v>7</v>
      </c>
      <c r="I30" s="52">
        <v>20</v>
      </c>
      <c r="J30" s="10">
        <v>20</v>
      </c>
      <c r="K30" s="95" t="s">
        <v>346</v>
      </c>
      <c r="L30" s="57">
        <v>0.65</v>
      </c>
      <c r="M30" s="50">
        <v>13</v>
      </c>
      <c r="N30" s="61"/>
      <c r="O30" s="103"/>
      <c r="P30" s="52" t="s">
        <v>20</v>
      </c>
    </row>
    <row r="31" spans="1:16" ht="15.75" customHeight="1">
      <c r="A31" s="28">
        <v>1</v>
      </c>
      <c r="B31" s="32">
        <v>45671</v>
      </c>
      <c r="C31" s="36" t="s">
        <v>323</v>
      </c>
      <c r="D31" s="43">
        <v>5</v>
      </c>
      <c r="E31" s="48" t="s">
        <v>455</v>
      </c>
      <c r="F31" s="48" t="s">
        <v>555</v>
      </c>
      <c r="G31" s="49">
        <v>7.0000000000000007E-2</v>
      </c>
      <c r="H31" s="10">
        <v>0.35000000000000003</v>
      </c>
      <c r="I31" s="52">
        <v>1</v>
      </c>
      <c r="J31" s="10">
        <v>5</v>
      </c>
      <c r="K31" s="95" t="s">
        <v>346</v>
      </c>
      <c r="L31" s="57">
        <v>0.93</v>
      </c>
      <c r="M31" s="50">
        <v>4.6500000000000004</v>
      </c>
      <c r="N31" s="61"/>
      <c r="O31" s="103"/>
      <c r="P31" s="52" t="s">
        <v>20</v>
      </c>
    </row>
    <row r="32" spans="1:16" ht="15.75" customHeight="1">
      <c r="A32" s="28">
        <v>1</v>
      </c>
      <c r="B32" s="32">
        <v>45671</v>
      </c>
      <c r="C32" s="36" t="s">
        <v>323</v>
      </c>
      <c r="D32" s="43">
        <v>1</v>
      </c>
      <c r="E32" s="48" t="s">
        <v>26</v>
      </c>
      <c r="F32" s="48" t="s">
        <v>555</v>
      </c>
      <c r="G32" s="49">
        <v>7.0000000000000007E-2</v>
      </c>
      <c r="H32" s="10">
        <v>7.0000000000000007E-2</v>
      </c>
      <c r="I32" s="52">
        <v>1</v>
      </c>
      <c r="J32" s="10">
        <v>1</v>
      </c>
      <c r="K32" s="95" t="s">
        <v>346</v>
      </c>
      <c r="L32" s="57">
        <v>0.92999999999999994</v>
      </c>
      <c r="M32" s="50">
        <v>0.92999999999999994</v>
      </c>
      <c r="N32" s="61"/>
      <c r="O32" s="103"/>
      <c r="P32" s="52" t="s">
        <v>20</v>
      </c>
    </row>
    <row r="33" spans="1:16" ht="15.75" customHeight="1">
      <c r="A33" s="28">
        <v>1</v>
      </c>
      <c r="B33" s="32">
        <v>45671</v>
      </c>
      <c r="C33" s="36" t="s">
        <v>449</v>
      </c>
      <c r="D33" s="43">
        <v>1</v>
      </c>
      <c r="E33" s="48" t="s">
        <v>26</v>
      </c>
      <c r="F33" s="48" t="s">
        <v>555</v>
      </c>
      <c r="G33" s="49">
        <v>1</v>
      </c>
      <c r="H33" s="10">
        <v>1</v>
      </c>
      <c r="I33" s="52">
        <v>5</v>
      </c>
      <c r="J33" s="10">
        <v>5</v>
      </c>
      <c r="K33" s="95" t="s">
        <v>346</v>
      </c>
      <c r="L33" s="57">
        <v>0.8</v>
      </c>
      <c r="M33" s="50">
        <v>4</v>
      </c>
      <c r="N33" s="61"/>
      <c r="O33" s="103"/>
      <c r="P33" s="52" t="s">
        <v>20</v>
      </c>
    </row>
    <row r="34" spans="1:16" ht="15.75" customHeight="1">
      <c r="A34" s="28">
        <v>1</v>
      </c>
      <c r="B34" s="32">
        <v>45672</v>
      </c>
      <c r="C34" s="36" t="s">
        <v>323</v>
      </c>
      <c r="D34" s="43">
        <v>2</v>
      </c>
      <c r="E34" s="48" t="s">
        <v>26</v>
      </c>
      <c r="F34" s="48" t="s">
        <v>555</v>
      </c>
      <c r="G34" s="49">
        <v>7.0000000000000007E-2</v>
      </c>
      <c r="H34" s="10">
        <v>0.14000000000000001</v>
      </c>
      <c r="I34" s="52">
        <v>1</v>
      </c>
      <c r="J34" s="10">
        <v>2</v>
      </c>
      <c r="K34" s="95" t="s">
        <v>346</v>
      </c>
      <c r="L34" s="57">
        <v>0.92999999999999994</v>
      </c>
      <c r="M34" s="50">
        <v>1.8599999999999999</v>
      </c>
      <c r="N34" s="61"/>
      <c r="O34" s="103"/>
      <c r="P34" s="52" t="s">
        <v>20</v>
      </c>
    </row>
    <row r="35" spans="1:16" ht="15.75" customHeight="1">
      <c r="A35" s="28">
        <v>1</v>
      </c>
      <c r="B35" s="32">
        <v>45672</v>
      </c>
      <c r="C35" s="36" t="s">
        <v>323</v>
      </c>
      <c r="D35" s="43">
        <v>9</v>
      </c>
      <c r="E35" s="48" t="s">
        <v>26</v>
      </c>
      <c r="F35" s="48" t="s">
        <v>555</v>
      </c>
      <c r="G35" s="49">
        <v>7.0000000000000007E-2</v>
      </c>
      <c r="H35" s="10">
        <v>0.63000000000000012</v>
      </c>
      <c r="I35" s="52">
        <v>1</v>
      </c>
      <c r="J35" s="10">
        <v>9</v>
      </c>
      <c r="K35" s="95" t="s">
        <v>346</v>
      </c>
      <c r="L35" s="57">
        <v>0.92999999999999994</v>
      </c>
      <c r="M35" s="50">
        <v>8.3699999999999992</v>
      </c>
      <c r="N35" s="61"/>
      <c r="O35" s="103"/>
      <c r="P35" s="52" t="s">
        <v>20</v>
      </c>
    </row>
    <row r="36" spans="1:16" ht="15.75" customHeight="1">
      <c r="A36" s="28">
        <v>1</v>
      </c>
      <c r="B36" s="32">
        <v>45672</v>
      </c>
      <c r="C36" s="36" t="s">
        <v>570</v>
      </c>
      <c r="D36" s="43">
        <v>1</v>
      </c>
      <c r="E36" s="48" t="s">
        <v>571</v>
      </c>
      <c r="F36" s="48" t="s">
        <v>555</v>
      </c>
      <c r="G36" s="49">
        <v>32</v>
      </c>
      <c r="H36" s="10">
        <v>32</v>
      </c>
      <c r="I36" s="52">
        <v>70</v>
      </c>
      <c r="J36" s="10">
        <v>70</v>
      </c>
      <c r="K36" s="95" t="s">
        <v>346</v>
      </c>
      <c r="L36" s="57">
        <v>0.54285714285714282</v>
      </c>
      <c r="M36" s="50">
        <v>38</v>
      </c>
      <c r="N36" s="61"/>
      <c r="O36" s="103"/>
      <c r="P36" s="52" t="s">
        <v>20</v>
      </c>
    </row>
    <row r="37" spans="1:16" ht="15.75" customHeight="1">
      <c r="A37" s="28">
        <v>1</v>
      </c>
      <c r="B37" s="32">
        <v>45672</v>
      </c>
      <c r="C37" s="36" t="s">
        <v>398</v>
      </c>
      <c r="D37" s="43">
        <v>1</v>
      </c>
      <c r="E37" s="48" t="s">
        <v>26</v>
      </c>
      <c r="F37" s="48" t="s">
        <v>555</v>
      </c>
      <c r="G37" s="49">
        <v>0.39549999999999996</v>
      </c>
      <c r="H37" s="10">
        <v>0.39549999999999996</v>
      </c>
      <c r="I37" s="52">
        <v>1</v>
      </c>
      <c r="J37" s="10">
        <v>1</v>
      </c>
      <c r="K37" s="95" t="s">
        <v>346</v>
      </c>
      <c r="L37" s="57">
        <v>0.60450000000000004</v>
      </c>
      <c r="M37" s="50">
        <v>0.60450000000000004</v>
      </c>
      <c r="N37" s="61"/>
      <c r="O37" s="103"/>
      <c r="P37" s="52" t="s">
        <v>20</v>
      </c>
    </row>
    <row r="38" spans="1:16" ht="15.75" customHeight="1">
      <c r="A38" s="28">
        <v>1</v>
      </c>
      <c r="B38" s="32">
        <v>45672</v>
      </c>
      <c r="C38" s="36" t="s">
        <v>572</v>
      </c>
      <c r="D38" s="43">
        <v>2</v>
      </c>
      <c r="E38" s="48" t="s">
        <v>573</v>
      </c>
      <c r="F38" s="48" t="s">
        <v>555</v>
      </c>
      <c r="G38" s="49">
        <v>25</v>
      </c>
      <c r="H38" s="10">
        <v>50</v>
      </c>
      <c r="I38" s="52">
        <v>50</v>
      </c>
      <c r="J38" s="10">
        <v>100</v>
      </c>
      <c r="K38" s="95" t="s">
        <v>346</v>
      </c>
      <c r="L38" s="57">
        <v>0.5</v>
      </c>
      <c r="M38" s="50">
        <v>50</v>
      </c>
      <c r="N38" s="61"/>
      <c r="O38" s="103"/>
      <c r="P38" s="52" t="s">
        <v>20</v>
      </c>
    </row>
    <row r="39" spans="1:16" ht="15.75" customHeight="1">
      <c r="A39" s="28">
        <v>1</v>
      </c>
      <c r="B39" s="32">
        <v>45672</v>
      </c>
      <c r="C39" s="36" t="s">
        <v>563</v>
      </c>
      <c r="D39" s="43">
        <v>1</v>
      </c>
      <c r="E39" s="48" t="s">
        <v>571</v>
      </c>
      <c r="F39" s="48" t="s">
        <v>322</v>
      </c>
      <c r="G39" s="49" t="s">
        <v>79</v>
      </c>
      <c r="H39" s="10">
        <v>0</v>
      </c>
      <c r="I39" s="52">
        <v>50</v>
      </c>
      <c r="J39" s="10">
        <v>50</v>
      </c>
      <c r="K39" s="95" t="s">
        <v>346</v>
      </c>
      <c r="L39" s="57">
        <v>1</v>
      </c>
      <c r="M39" s="50">
        <v>50</v>
      </c>
      <c r="N39" s="61"/>
      <c r="O39" s="103"/>
      <c r="P39" s="52" t="s">
        <v>20</v>
      </c>
    </row>
    <row r="40" spans="1:16" ht="15.75" customHeight="1">
      <c r="A40" s="28">
        <v>1</v>
      </c>
      <c r="B40" s="32">
        <v>45672</v>
      </c>
      <c r="C40" s="36" t="s">
        <v>574</v>
      </c>
      <c r="D40" s="43">
        <v>1</v>
      </c>
      <c r="E40" s="48" t="s">
        <v>26</v>
      </c>
      <c r="F40" s="48" t="s">
        <v>555</v>
      </c>
      <c r="G40" s="49">
        <v>16</v>
      </c>
      <c r="H40" s="10">
        <v>16</v>
      </c>
      <c r="I40" s="52">
        <v>35</v>
      </c>
      <c r="J40" s="10">
        <v>35</v>
      </c>
      <c r="K40" s="95" t="s">
        <v>346</v>
      </c>
      <c r="L40" s="57">
        <v>0.54285714285714282</v>
      </c>
      <c r="M40" s="50">
        <v>19</v>
      </c>
      <c r="N40" s="61"/>
      <c r="O40" s="103"/>
      <c r="P40" s="52" t="s">
        <v>20</v>
      </c>
    </row>
    <row r="41" spans="1:16" ht="15.75" customHeight="1">
      <c r="A41" s="28">
        <v>1</v>
      </c>
      <c r="B41" s="32">
        <v>45672</v>
      </c>
      <c r="C41" s="36" t="s">
        <v>274</v>
      </c>
      <c r="D41" s="43">
        <v>1</v>
      </c>
      <c r="E41" s="48" t="s">
        <v>26</v>
      </c>
      <c r="F41" s="48" t="s">
        <v>555</v>
      </c>
      <c r="G41" s="49">
        <v>0</v>
      </c>
      <c r="H41" s="10">
        <v>0</v>
      </c>
      <c r="I41" s="52">
        <v>57.5</v>
      </c>
      <c r="J41" s="10">
        <v>57.5</v>
      </c>
      <c r="K41" s="95" t="s">
        <v>346</v>
      </c>
      <c r="L41" s="57">
        <v>1</v>
      </c>
      <c r="M41" s="50">
        <v>57.5</v>
      </c>
      <c r="N41" s="61"/>
      <c r="O41" s="103"/>
      <c r="P41" s="52" t="s">
        <v>20</v>
      </c>
    </row>
    <row r="42" spans="1:16" ht="15.75" customHeight="1">
      <c r="A42" s="28">
        <v>1</v>
      </c>
      <c r="B42" s="32">
        <v>45674</v>
      </c>
      <c r="C42" s="36" t="s">
        <v>575</v>
      </c>
      <c r="D42" s="43">
        <v>1</v>
      </c>
      <c r="E42" s="48" t="s">
        <v>576</v>
      </c>
      <c r="F42" s="48" t="s">
        <v>555</v>
      </c>
      <c r="G42" s="49">
        <v>5.5</v>
      </c>
      <c r="H42" s="10">
        <v>5.5</v>
      </c>
      <c r="I42" s="52">
        <v>15</v>
      </c>
      <c r="J42" s="10">
        <v>15</v>
      </c>
      <c r="K42" s="95" t="s">
        <v>346</v>
      </c>
      <c r="L42" s="57">
        <v>0.6333333333333333</v>
      </c>
      <c r="M42" s="50">
        <v>9.5</v>
      </c>
      <c r="N42" s="61"/>
      <c r="O42" s="103"/>
      <c r="P42" s="52" t="s">
        <v>20</v>
      </c>
    </row>
    <row r="43" spans="1:16" ht="15.75" customHeight="1">
      <c r="A43" s="28">
        <v>1</v>
      </c>
      <c r="B43" s="32">
        <v>45674</v>
      </c>
      <c r="C43" s="36" t="s">
        <v>223</v>
      </c>
      <c r="D43" s="43">
        <v>1</v>
      </c>
      <c r="E43" s="48" t="s">
        <v>576</v>
      </c>
      <c r="F43" s="48" t="s">
        <v>555</v>
      </c>
      <c r="G43" s="49">
        <v>0</v>
      </c>
      <c r="H43" s="10">
        <v>0</v>
      </c>
      <c r="I43" s="52">
        <v>50</v>
      </c>
      <c r="J43" s="10">
        <v>50</v>
      </c>
      <c r="K43" s="95" t="s">
        <v>346</v>
      </c>
      <c r="L43" s="57">
        <v>1</v>
      </c>
      <c r="M43" s="50">
        <v>50</v>
      </c>
      <c r="N43" s="61"/>
      <c r="O43" s="103"/>
      <c r="P43" s="52" t="s">
        <v>20</v>
      </c>
    </row>
    <row r="44" spans="1:16" ht="15.75" customHeight="1">
      <c r="A44" s="28">
        <v>1</v>
      </c>
      <c r="B44" s="32">
        <v>45674</v>
      </c>
      <c r="C44" s="36" t="s">
        <v>202</v>
      </c>
      <c r="D44" s="43">
        <v>1</v>
      </c>
      <c r="E44" s="48" t="s">
        <v>545</v>
      </c>
      <c r="F44" s="48" t="s">
        <v>555</v>
      </c>
      <c r="G44" s="49">
        <v>10</v>
      </c>
      <c r="H44" s="10">
        <v>10</v>
      </c>
      <c r="I44" s="52">
        <v>20</v>
      </c>
      <c r="J44" s="10">
        <v>20</v>
      </c>
      <c r="K44" s="95" t="s">
        <v>346</v>
      </c>
      <c r="L44" s="57">
        <v>0.5</v>
      </c>
      <c r="M44" s="50">
        <v>10</v>
      </c>
      <c r="N44" s="61"/>
      <c r="O44" s="103"/>
      <c r="P44" s="52" t="s">
        <v>20</v>
      </c>
    </row>
    <row r="45" spans="1:16" ht="15.75" customHeight="1">
      <c r="A45" s="28">
        <v>1</v>
      </c>
      <c r="B45" s="32">
        <v>45674</v>
      </c>
      <c r="C45" s="36" t="s">
        <v>577</v>
      </c>
      <c r="D45" s="43">
        <v>1</v>
      </c>
      <c r="E45" s="48" t="s">
        <v>239</v>
      </c>
      <c r="F45" s="48" t="s">
        <v>555</v>
      </c>
      <c r="G45" s="49">
        <v>19</v>
      </c>
      <c r="H45" s="10">
        <v>19</v>
      </c>
      <c r="I45" s="52">
        <v>25</v>
      </c>
      <c r="J45" s="10">
        <v>25</v>
      </c>
      <c r="K45" s="95" t="s">
        <v>346</v>
      </c>
      <c r="L45" s="57">
        <v>0.24</v>
      </c>
      <c r="M45" s="50">
        <v>6</v>
      </c>
      <c r="N45" s="61"/>
      <c r="O45" s="103"/>
      <c r="P45" s="52" t="s">
        <v>20</v>
      </c>
    </row>
    <row r="46" spans="1:16" ht="15.75" customHeight="1">
      <c r="A46" s="28">
        <v>1</v>
      </c>
      <c r="B46" s="32">
        <v>45674</v>
      </c>
      <c r="C46" s="36" t="s">
        <v>578</v>
      </c>
      <c r="D46" s="43">
        <v>1</v>
      </c>
      <c r="E46" s="48" t="s">
        <v>579</v>
      </c>
      <c r="F46" s="48" t="s">
        <v>555</v>
      </c>
      <c r="G46" s="49">
        <v>60</v>
      </c>
      <c r="H46" s="10">
        <v>60</v>
      </c>
      <c r="I46" s="52">
        <v>90</v>
      </c>
      <c r="J46" s="10">
        <v>90</v>
      </c>
      <c r="K46" s="95" t="s">
        <v>346</v>
      </c>
      <c r="L46" s="57">
        <v>0.33333333333333331</v>
      </c>
      <c r="M46" s="50">
        <v>30</v>
      </c>
      <c r="N46" s="61"/>
      <c r="O46" s="103"/>
      <c r="P46" s="52" t="s">
        <v>20</v>
      </c>
    </row>
    <row r="47" spans="1:16" ht="15.75" customHeight="1">
      <c r="A47" s="28">
        <v>1</v>
      </c>
      <c r="B47" s="32">
        <v>45675</v>
      </c>
      <c r="C47" s="36" t="s">
        <v>580</v>
      </c>
      <c r="D47" s="43">
        <v>1</v>
      </c>
      <c r="E47" s="48" t="s">
        <v>139</v>
      </c>
      <c r="F47" s="48" t="s">
        <v>555</v>
      </c>
      <c r="G47" s="49">
        <v>2.5</v>
      </c>
      <c r="H47" s="10">
        <v>2.5</v>
      </c>
      <c r="I47" s="52">
        <v>10</v>
      </c>
      <c r="J47" s="10">
        <v>10</v>
      </c>
      <c r="K47" s="95" t="s">
        <v>346</v>
      </c>
      <c r="L47" s="57">
        <v>0.75</v>
      </c>
      <c r="M47" s="50">
        <v>7.5</v>
      </c>
      <c r="N47" s="61"/>
      <c r="O47" s="103"/>
      <c r="P47" s="52" t="s">
        <v>20</v>
      </c>
    </row>
    <row r="48" spans="1:16" ht="15.75" customHeight="1">
      <c r="A48" s="28">
        <v>1</v>
      </c>
      <c r="B48" s="32">
        <v>45675</v>
      </c>
      <c r="C48" s="36" t="s">
        <v>550</v>
      </c>
      <c r="D48" s="43">
        <v>1</v>
      </c>
      <c r="E48" s="48" t="s">
        <v>139</v>
      </c>
      <c r="F48" s="48" t="s">
        <v>555</v>
      </c>
      <c r="G48" s="49">
        <v>19</v>
      </c>
      <c r="H48" s="10">
        <v>19</v>
      </c>
      <c r="I48" s="52">
        <v>30</v>
      </c>
      <c r="J48" s="10">
        <v>30</v>
      </c>
      <c r="K48" s="95" t="s">
        <v>346</v>
      </c>
      <c r="L48" s="57">
        <v>0.36666666666666664</v>
      </c>
      <c r="M48" s="50">
        <v>11</v>
      </c>
      <c r="N48" s="61"/>
      <c r="O48" s="103"/>
      <c r="P48" s="52" t="s">
        <v>20</v>
      </c>
    </row>
    <row r="49" spans="1:16" ht="15.75" customHeight="1">
      <c r="A49" s="28">
        <v>1</v>
      </c>
      <c r="B49" s="32">
        <v>45675</v>
      </c>
      <c r="C49" s="36" t="s">
        <v>581</v>
      </c>
      <c r="D49" s="43">
        <v>1</v>
      </c>
      <c r="E49" s="48" t="s">
        <v>26</v>
      </c>
      <c r="F49" s="48" t="s">
        <v>555</v>
      </c>
      <c r="G49" s="49">
        <v>10</v>
      </c>
      <c r="H49" s="10">
        <v>10</v>
      </c>
      <c r="I49" s="52">
        <v>25</v>
      </c>
      <c r="J49" s="10">
        <v>25</v>
      </c>
      <c r="K49" s="95" t="s">
        <v>346</v>
      </c>
      <c r="L49" s="57">
        <v>0.6</v>
      </c>
      <c r="M49" s="50">
        <v>15</v>
      </c>
      <c r="N49" s="61"/>
      <c r="O49" s="103"/>
      <c r="P49" s="52" t="s">
        <v>20</v>
      </c>
    </row>
    <row r="50" spans="1:16" ht="15.75" customHeight="1">
      <c r="A50" s="28">
        <v>1</v>
      </c>
      <c r="B50" s="32">
        <v>45675</v>
      </c>
      <c r="C50" s="36" t="s">
        <v>563</v>
      </c>
      <c r="D50" s="43">
        <v>1</v>
      </c>
      <c r="E50" s="48" t="s">
        <v>139</v>
      </c>
      <c r="F50" s="48" t="s">
        <v>555</v>
      </c>
      <c r="G50" s="49" t="s">
        <v>79</v>
      </c>
      <c r="H50" s="10">
        <v>0</v>
      </c>
      <c r="I50" s="52">
        <v>37</v>
      </c>
      <c r="J50" s="10">
        <v>37</v>
      </c>
      <c r="K50" s="95" t="s">
        <v>346</v>
      </c>
      <c r="L50" s="57">
        <v>1</v>
      </c>
      <c r="M50" s="50">
        <v>37</v>
      </c>
      <c r="N50" s="61"/>
      <c r="O50" s="103"/>
      <c r="P50" s="52" t="s">
        <v>20</v>
      </c>
    </row>
    <row r="51" spans="1:16" ht="15.75" customHeight="1">
      <c r="A51" s="28">
        <v>1</v>
      </c>
      <c r="B51" s="32">
        <v>45675</v>
      </c>
      <c r="C51" s="36" t="s">
        <v>582</v>
      </c>
      <c r="D51" s="43">
        <v>1</v>
      </c>
      <c r="E51" s="48" t="s">
        <v>583</v>
      </c>
      <c r="F51" s="48" t="s">
        <v>555</v>
      </c>
      <c r="G51" s="49">
        <v>15</v>
      </c>
      <c r="H51" s="10">
        <v>15</v>
      </c>
      <c r="I51" s="52">
        <v>50</v>
      </c>
      <c r="J51" s="10">
        <v>50</v>
      </c>
      <c r="K51" s="95" t="s">
        <v>346</v>
      </c>
      <c r="L51" s="57">
        <v>0.7</v>
      </c>
      <c r="M51" s="50">
        <v>35</v>
      </c>
      <c r="N51" s="100">
        <v>50</v>
      </c>
      <c r="O51" s="103"/>
      <c r="P51" s="52" t="s">
        <v>20</v>
      </c>
    </row>
    <row r="52" spans="1:16" ht="15.75" customHeight="1">
      <c r="A52" s="28">
        <v>1</v>
      </c>
      <c r="B52" s="32">
        <v>45675</v>
      </c>
      <c r="C52" s="36" t="s">
        <v>270</v>
      </c>
      <c r="D52" s="43">
        <v>1</v>
      </c>
      <c r="E52" s="48" t="s">
        <v>583</v>
      </c>
      <c r="F52" s="48" t="s">
        <v>555</v>
      </c>
      <c r="G52" s="49">
        <v>4.5</v>
      </c>
      <c r="H52" s="10">
        <v>4.5</v>
      </c>
      <c r="I52" s="52">
        <v>15</v>
      </c>
      <c r="J52" s="10">
        <v>15</v>
      </c>
      <c r="K52" s="95" t="s">
        <v>346</v>
      </c>
      <c r="L52" s="57">
        <v>0.7</v>
      </c>
      <c r="M52" s="50">
        <v>10.5</v>
      </c>
      <c r="N52" s="100">
        <v>15</v>
      </c>
      <c r="O52" s="103"/>
      <c r="P52" s="52" t="s">
        <v>20</v>
      </c>
    </row>
    <row r="53" spans="1:16" ht="15.75" customHeight="1">
      <c r="A53" s="28">
        <v>1</v>
      </c>
      <c r="B53" s="32">
        <v>45677</v>
      </c>
      <c r="C53" s="36" t="s">
        <v>321</v>
      </c>
      <c r="D53" s="43">
        <v>1</v>
      </c>
      <c r="E53" s="48" t="s">
        <v>26</v>
      </c>
      <c r="F53" s="48" t="s">
        <v>555</v>
      </c>
      <c r="G53" s="49">
        <v>3</v>
      </c>
      <c r="H53" s="10">
        <v>3</v>
      </c>
      <c r="I53" s="52">
        <v>15</v>
      </c>
      <c r="J53" s="10">
        <v>15</v>
      </c>
      <c r="K53" s="95" t="s">
        <v>346</v>
      </c>
      <c r="L53" s="57">
        <v>0.8</v>
      </c>
      <c r="M53" s="50">
        <v>12</v>
      </c>
      <c r="N53" s="61"/>
      <c r="O53" s="103"/>
      <c r="P53" s="52" t="s">
        <v>20</v>
      </c>
    </row>
    <row r="54" spans="1:16" ht="15.75" customHeight="1">
      <c r="A54" s="28">
        <v>1</v>
      </c>
      <c r="B54" s="32">
        <v>45678</v>
      </c>
      <c r="C54" s="36" t="s">
        <v>323</v>
      </c>
      <c r="D54" s="43">
        <v>2</v>
      </c>
      <c r="E54" s="48" t="s">
        <v>26</v>
      </c>
      <c r="F54" s="48" t="s">
        <v>555</v>
      </c>
      <c r="G54" s="49">
        <v>7.0000000000000007E-2</v>
      </c>
      <c r="H54" s="10">
        <v>0.14000000000000001</v>
      </c>
      <c r="I54" s="52">
        <v>1</v>
      </c>
      <c r="J54" s="10">
        <v>2</v>
      </c>
      <c r="K54" s="95" t="s">
        <v>346</v>
      </c>
      <c r="L54" s="57">
        <v>0.92999999999999994</v>
      </c>
      <c r="M54" s="50">
        <v>1.8599999999999999</v>
      </c>
      <c r="N54" s="61"/>
      <c r="O54" s="103"/>
      <c r="P54" s="52" t="s">
        <v>20</v>
      </c>
    </row>
    <row r="55" spans="1:16" ht="15.75" customHeight="1">
      <c r="A55" s="28">
        <v>1</v>
      </c>
      <c r="B55" s="32">
        <v>45680</v>
      </c>
      <c r="C55" s="36" t="s">
        <v>323</v>
      </c>
      <c r="D55" s="43">
        <v>12</v>
      </c>
      <c r="E55" s="48" t="s">
        <v>26</v>
      </c>
      <c r="F55" s="48" t="s">
        <v>555</v>
      </c>
      <c r="G55" s="49">
        <v>7.0000000000000007E-2</v>
      </c>
      <c r="H55" s="10">
        <v>0.84000000000000008</v>
      </c>
      <c r="I55" s="52">
        <v>1</v>
      </c>
      <c r="J55" s="10">
        <v>12</v>
      </c>
      <c r="K55" s="95" t="s">
        <v>346</v>
      </c>
      <c r="L55" s="57">
        <v>0.93</v>
      </c>
      <c r="M55" s="50">
        <v>11.16</v>
      </c>
      <c r="N55" s="61"/>
      <c r="O55" s="103"/>
      <c r="P55" s="52" t="s">
        <v>20</v>
      </c>
    </row>
    <row r="56" spans="1:16" ht="15.75" customHeight="1">
      <c r="A56" s="28">
        <v>1</v>
      </c>
      <c r="B56" s="32">
        <v>45680</v>
      </c>
      <c r="C56" s="36" t="s">
        <v>398</v>
      </c>
      <c r="D56" s="43">
        <v>1</v>
      </c>
      <c r="E56" s="48" t="s">
        <v>26</v>
      </c>
      <c r="F56" s="48" t="s">
        <v>555</v>
      </c>
      <c r="G56" s="49">
        <v>0.39549999999999996</v>
      </c>
      <c r="H56" s="10">
        <v>0.39549999999999996</v>
      </c>
      <c r="I56" s="52">
        <v>2</v>
      </c>
      <c r="J56" s="10">
        <v>2</v>
      </c>
      <c r="K56" s="95" t="s">
        <v>346</v>
      </c>
      <c r="L56" s="57">
        <v>0.80225000000000002</v>
      </c>
      <c r="M56" s="50">
        <v>1.6045</v>
      </c>
      <c r="N56" s="61"/>
      <c r="O56" s="103"/>
      <c r="P56" s="52" t="s">
        <v>20</v>
      </c>
    </row>
    <row r="57" spans="1:16" ht="15.75" customHeight="1">
      <c r="A57" s="28">
        <v>1</v>
      </c>
      <c r="B57" s="32">
        <v>45680</v>
      </c>
      <c r="C57" s="36" t="s">
        <v>584</v>
      </c>
      <c r="D57" s="43">
        <v>1</v>
      </c>
      <c r="E57" s="48" t="s">
        <v>26</v>
      </c>
      <c r="F57" s="48" t="s">
        <v>555</v>
      </c>
      <c r="G57" s="49" t="s">
        <v>79</v>
      </c>
      <c r="H57" s="10">
        <v>0</v>
      </c>
      <c r="I57" s="52">
        <v>61.75</v>
      </c>
      <c r="J57" s="10">
        <v>61.75</v>
      </c>
      <c r="K57" s="95" t="s">
        <v>346</v>
      </c>
      <c r="L57" s="57">
        <v>1</v>
      </c>
      <c r="M57" s="50">
        <v>61.75</v>
      </c>
      <c r="N57" s="61"/>
      <c r="O57" s="103"/>
      <c r="P57" s="52" t="s">
        <v>20</v>
      </c>
    </row>
    <row r="58" spans="1:16" ht="15.75" customHeight="1">
      <c r="A58" s="28">
        <v>1</v>
      </c>
      <c r="B58" s="32">
        <v>45680</v>
      </c>
      <c r="C58" s="36" t="s">
        <v>584</v>
      </c>
      <c r="D58" s="43">
        <v>1</v>
      </c>
      <c r="E58" s="48" t="s">
        <v>26</v>
      </c>
      <c r="F58" s="48" t="s">
        <v>555</v>
      </c>
      <c r="G58" s="49" t="s">
        <v>79</v>
      </c>
      <c r="H58" s="10">
        <v>0</v>
      </c>
      <c r="I58" s="52">
        <v>20</v>
      </c>
      <c r="J58" s="10">
        <v>20</v>
      </c>
      <c r="K58" s="95" t="s">
        <v>346</v>
      </c>
      <c r="L58" s="57">
        <v>1</v>
      </c>
      <c r="M58" s="50">
        <v>20</v>
      </c>
      <c r="N58" s="61"/>
      <c r="O58" s="103"/>
      <c r="P58" s="52" t="s">
        <v>20</v>
      </c>
    </row>
    <row r="59" spans="1:16" ht="15.75" customHeight="1">
      <c r="A59" s="28">
        <v>1</v>
      </c>
      <c r="B59" s="32">
        <v>45680</v>
      </c>
      <c r="C59" s="36" t="s">
        <v>408</v>
      </c>
      <c r="D59" s="43">
        <v>1</v>
      </c>
      <c r="E59" s="48" t="s">
        <v>26</v>
      </c>
      <c r="F59" s="48" t="s">
        <v>555</v>
      </c>
      <c r="G59" s="49">
        <v>11</v>
      </c>
      <c r="H59" s="10">
        <v>11</v>
      </c>
      <c r="I59" s="52">
        <v>30</v>
      </c>
      <c r="J59" s="10">
        <v>30</v>
      </c>
      <c r="K59" s="95" t="s">
        <v>346</v>
      </c>
      <c r="L59" s="57">
        <v>0.6333333333333333</v>
      </c>
      <c r="M59" s="50">
        <v>19</v>
      </c>
      <c r="N59" s="61"/>
      <c r="O59" s="103"/>
      <c r="P59" s="52" t="s">
        <v>20</v>
      </c>
    </row>
    <row r="60" spans="1:16" ht="15.75" customHeight="1">
      <c r="A60" s="28">
        <v>1</v>
      </c>
      <c r="B60" s="32">
        <v>45680</v>
      </c>
      <c r="C60" s="36" t="s">
        <v>283</v>
      </c>
      <c r="D60" s="43">
        <v>1</v>
      </c>
      <c r="E60" s="48" t="s">
        <v>455</v>
      </c>
      <c r="F60" s="48" t="s">
        <v>555</v>
      </c>
      <c r="G60" s="49">
        <v>18</v>
      </c>
      <c r="H60" s="10">
        <v>18</v>
      </c>
      <c r="I60" s="52">
        <v>20</v>
      </c>
      <c r="J60" s="10">
        <v>20</v>
      </c>
      <c r="K60" s="95" t="s">
        <v>346</v>
      </c>
      <c r="L60" s="57">
        <v>0.1</v>
      </c>
      <c r="M60" s="50">
        <v>2</v>
      </c>
      <c r="N60" s="61"/>
      <c r="O60" s="103"/>
      <c r="P60" s="52" t="s">
        <v>20</v>
      </c>
    </row>
    <row r="61" spans="1:16" ht="15.75" customHeight="1">
      <c r="A61" s="28">
        <v>1</v>
      </c>
      <c r="B61" s="32">
        <v>45680</v>
      </c>
      <c r="C61" s="36" t="s">
        <v>238</v>
      </c>
      <c r="D61" s="43">
        <v>1</v>
      </c>
      <c r="E61" s="48" t="s">
        <v>26</v>
      </c>
      <c r="F61" s="48" t="s">
        <v>555</v>
      </c>
      <c r="G61" s="49">
        <v>7</v>
      </c>
      <c r="H61" s="10">
        <v>7</v>
      </c>
      <c r="I61" s="52">
        <v>25</v>
      </c>
      <c r="J61" s="10">
        <v>25</v>
      </c>
      <c r="K61" s="95" t="s">
        <v>346</v>
      </c>
      <c r="L61" s="57">
        <v>0.72</v>
      </c>
      <c r="M61" s="50">
        <v>18</v>
      </c>
      <c r="N61" s="61"/>
      <c r="O61" s="103"/>
      <c r="P61" s="52" t="s">
        <v>20</v>
      </c>
    </row>
    <row r="62" spans="1:16" ht="15.75" customHeight="1">
      <c r="A62" s="28">
        <v>1</v>
      </c>
      <c r="B62" s="32">
        <v>45681</v>
      </c>
      <c r="C62" s="36" t="s">
        <v>562</v>
      </c>
      <c r="D62" s="43">
        <v>1</v>
      </c>
      <c r="E62" s="48" t="s">
        <v>26</v>
      </c>
      <c r="F62" s="48" t="s">
        <v>555</v>
      </c>
      <c r="G62" s="49">
        <v>18</v>
      </c>
      <c r="H62" s="10">
        <v>18</v>
      </c>
      <c r="I62" s="52">
        <v>30</v>
      </c>
      <c r="J62" s="10">
        <v>30</v>
      </c>
      <c r="K62" s="95" t="s">
        <v>346</v>
      </c>
      <c r="L62" s="57">
        <v>0.4</v>
      </c>
      <c r="M62" s="50">
        <v>12</v>
      </c>
      <c r="N62" s="61"/>
      <c r="O62" s="103"/>
      <c r="P62" s="52" t="s">
        <v>20</v>
      </c>
    </row>
    <row r="63" spans="1:16" ht="15.75" customHeight="1">
      <c r="A63" s="28">
        <v>1</v>
      </c>
      <c r="B63" s="32">
        <v>45681</v>
      </c>
      <c r="C63" s="36" t="s">
        <v>323</v>
      </c>
      <c r="D63" s="43">
        <v>1</v>
      </c>
      <c r="E63" s="48" t="s">
        <v>26</v>
      </c>
      <c r="F63" s="48" t="s">
        <v>555</v>
      </c>
      <c r="G63" s="49">
        <v>7.0000000000000007E-2</v>
      </c>
      <c r="H63" s="10">
        <v>7.0000000000000007E-2</v>
      </c>
      <c r="I63" s="52">
        <v>1</v>
      </c>
      <c r="J63" s="10">
        <v>1</v>
      </c>
      <c r="K63" s="95" t="s">
        <v>346</v>
      </c>
      <c r="L63" s="57">
        <v>0.92999999999999994</v>
      </c>
      <c r="M63" s="50">
        <v>0.92999999999999994</v>
      </c>
      <c r="N63" s="61"/>
      <c r="O63" s="103"/>
      <c r="P63" s="52" t="s">
        <v>20</v>
      </c>
    </row>
    <row r="64" spans="1:16" ht="15.75" customHeight="1">
      <c r="A64" s="28">
        <v>1</v>
      </c>
      <c r="B64" s="32">
        <v>45681</v>
      </c>
      <c r="C64" s="36" t="s">
        <v>562</v>
      </c>
      <c r="D64" s="43">
        <v>1</v>
      </c>
      <c r="E64" s="48" t="s">
        <v>493</v>
      </c>
      <c r="F64" s="48" t="s">
        <v>555</v>
      </c>
      <c r="G64" s="49">
        <v>18</v>
      </c>
      <c r="H64" s="10">
        <v>18</v>
      </c>
      <c r="I64" s="52">
        <v>30</v>
      </c>
      <c r="J64" s="10">
        <v>30</v>
      </c>
      <c r="K64" s="95" t="s">
        <v>346</v>
      </c>
      <c r="L64" s="57">
        <v>0.6</v>
      </c>
      <c r="M64" s="50">
        <v>12</v>
      </c>
      <c r="N64" s="61"/>
      <c r="O64" s="103"/>
      <c r="P64" s="52" t="s">
        <v>20</v>
      </c>
    </row>
    <row r="65" spans="1:28" ht="15.75" customHeight="1">
      <c r="A65" s="28">
        <v>1</v>
      </c>
      <c r="B65" s="32">
        <v>45682</v>
      </c>
      <c r="C65" s="36" t="s">
        <v>563</v>
      </c>
      <c r="D65" s="43">
        <v>1</v>
      </c>
      <c r="E65" s="48" t="s">
        <v>26</v>
      </c>
      <c r="F65" s="48" t="s">
        <v>322</v>
      </c>
      <c r="G65" s="49" t="s">
        <v>79</v>
      </c>
      <c r="H65" s="10">
        <v>0</v>
      </c>
      <c r="I65" s="52">
        <v>35</v>
      </c>
      <c r="J65" s="10">
        <v>35</v>
      </c>
      <c r="K65" s="95" t="s">
        <v>346</v>
      </c>
      <c r="L65" s="57">
        <v>0.4</v>
      </c>
      <c r="M65" s="50">
        <v>35</v>
      </c>
      <c r="N65" s="61"/>
      <c r="O65" s="103"/>
      <c r="P65" s="52" t="s">
        <v>20</v>
      </c>
    </row>
    <row r="66" spans="1:28" ht="15.75" customHeight="1">
      <c r="A66" s="28">
        <v>1</v>
      </c>
      <c r="B66" s="32">
        <v>45684</v>
      </c>
      <c r="C66" s="36" t="s">
        <v>323</v>
      </c>
      <c r="D66" s="43">
        <v>15</v>
      </c>
      <c r="E66" s="48" t="s">
        <v>26</v>
      </c>
      <c r="F66" s="48" t="s">
        <v>322</v>
      </c>
      <c r="G66" s="49">
        <v>7.0000000000000007E-2</v>
      </c>
      <c r="H66" s="10">
        <v>1.05</v>
      </c>
      <c r="I66" s="52">
        <v>1</v>
      </c>
      <c r="J66" s="10">
        <v>15</v>
      </c>
      <c r="K66" s="95" t="s">
        <v>346</v>
      </c>
      <c r="L66" s="57">
        <v>1</v>
      </c>
      <c r="M66" s="50">
        <v>13.95</v>
      </c>
      <c r="N66" s="61"/>
      <c r="O66" s="103"/>
      <c r="P66" s="52" t="s">
        <v>20</v>
      </c>
    </row>
    <row r="67" spans="1:28" ht="15.75" customHeight="1">
      <c r="A67" s="28">
        <v>1</v>
      </c>
      <c r="B67" s="32">
        <v>45684</v>
      </c>
      <c r="C67" s="36" t="s">
        <v>347</v>
      </c>
      <c r="D67" s="43">
        <v>1</v>
      </c>
      <c r="E67" s="48" t="s">
        <v>583</v>
      </c>
      <c r="F67" s="48" t="s">
        <v>555</v>
      </c>
      <c r="G67" s="49">
        <v>50</v>
      </c>
      <c r="H67" s="10">
        <v>50</v>
      </c>
      <c r="I67" s="52">
        <v>70</v>
      </c>
      <c r="J67" s="10">
        <v>70</v>
      </c>
      <c r="K67" s="95" t="s">
        <v>346</v>
      </c>
      <c r="L67" s="57">
        <v>0.92999999999999994</v>
      </c>
      <c r="M67" s="50">
        <v>20</v>
      </c>
      <c r="N67" s="100">
        <v>70</v>
      </c>
      <c r="O67" s="103"/>
      <c r="P67" s="52" t="s">
        <v>20</v>
      </c>
    </row>
    <row r="68" spans="1:28" ht="15.75" customHeight="1">
      <c r="A68" s="28">
        <v>1</v>
      </c>
      <c r="B68" s="32">
        <v>45684</v>
      </c>
      <c r="C68" s="36" t="s">
        <v>424</v>
      </c>
      <c r="D68" s="43">
        <v>1</v>
      </c>
      <c r="E68" s="48" t="s">
        <v>583</v>
      </c>
      <c r="F68" s="48" t="s">
        <v>555</v>
      </c>
      <c r="G68" s="49">
        <v>6</v>
      </c>
      <c r="H68" s="10">
        <v>6</v>
      </c>
      <c r="I68" s="52">
        <v>15</v>
      </c>
      <c r="J68" s="10">
        <v>15</v>
      </c>
      <c r="K68" s="95" t="s">
        <v>346</v>
      </c>
      <c r="L68" s="57">
        <v>0.2857142857142857</v>
      </c>
      <c r="M68" s="50">
        <v>9</v>
      </c>
      <c r="N68" s="100">
        <v>15</v>
      </c>
      <c r="O68" s="103"/>
      <c r="P68" s="52" t="s">
        <v>20</v>
      </c>
    </row>
    <row r="69" spans="1:28" ht="15.75" customHeight="1">
      <c r="A69" s="28">
        <v>1</v>
      </c>
      <c r="B69" s="32">
        <v>45684</v>
      </c>
      <c r="C69" s="36" t="s">
        <v>323</v>
      </c>
      <c r="D69" s="43">
        <v>15</v>
      </c>
      <c r="E69" s="48" t="s">
        <v>26</v>
      </c>
      <c r="F69" s="48" t="s">
        <v>555</v>
      </c>
      <c r="G69" s="49">
        <v>7.0000000000000007E-2</v>
      </c>
      <c r="H69" s="10">
        <v>1.05</v>
      </c>
      <c r="I69" s="52">
        <v>1</v>
      </c>
      <c r="J69" s="10">
        <v>15</v>
      </c>
      <c r="K69" s="95" t="s">
        <v>346</v>
      </c>
      <c r="L69" s="57">
        <v>0.92999999999999994</v>
      </c>
      <c r="M69" s="50">
        <v>13.95</v>
      </c>
      <c r="N69" s="61"/>
      <c r="O69" s="103"/>
      <c r="P69" s="52" t="s">
        <v>20</v>
      </c>
    </row>
    <row r="70" spans="1:28" ht="15.75" customHeight="1">
      <c r="A70" s="28">
        <v>1</v>
      </c>
      <c r="B70" s="32">
        <v>45684</v>
      </c>
      <c r="C70" s="36" t="s">
        <v>530</v>
      </c>
      <c r="D70" s="43">
        <v>1</v>
      </c>
      <c r="E70" s="48" t="s">
        <v>26</v>
      </c>
      <c r="F70" s="48" t="s">
        <v>555</v>
      </c>
      <c r="G70" s="49">
        <v>13</v>
      </c>
      <c r="H70" s="10">
        <v>13</v>
      </c>
      <c r="I70" s="52">
        <v>30</v>
      </c>
      <c r="J70" s="10">
        <v>30</v>
      </c>
      <c r="K70" s="95" t="s">
        <v>346</v>
      </c>
      <c r="L70" s="57">
        <v>0.56666666666666665</v>
      </c>
      <c r="M70" s="50">
        <v>17</v>
      </c>
      <c r="N70" s="61"/>
      <c r="O70" s="103"/>
      <c r="P70" s="52" t="s">
        <v>20</v>
      </c>
    </row>
    <row r="71" spans="1:28" ht="15.75" customHeight="1">
      <c r="A71" s="28">
        <v>1</v>
      </c>
      <c r="B71" s="32">
        <v>45684</v>
      </c>
      <c r="C71" s="36" t="s">
        <v>274</v>
      </c>
      <c r="D71" s="43">
        <v>1</v>
      </c>
      <c r="E71" s="48" t="s">
        <v>26</v>
      </c>
      <c r="F71" s="48" t="s">
        <v>555</v>
      </c>
      <c r="G71" s="49">
        <v>0</v>
      </c>
      <c r="H71" s="10">
        <v>0</v>
      </c>
      <c r="I71" s="52">
        <v>10</v>
      </c>
      <c r="J71" s="10">
        <v>10</v>
      </c>
      <c r="K71" s="95" t="s">
        <v>346</v>
      </c>
      <c r="L71" s="57">
        <v>1</v>
      </c>
      <c r="M71" s="50">
        <v>10</v>
      </c>
      <c r="N71" s="61"/>
      <c r="O71" s="103"/>
      <c r="P71" s="52" t="s">
        <v>20</v>
      </c>
    </row>
    <row r="72" spans="1:28" ht="15.75" customHeight="1">
      <c r="A72" s="28">
        <v>1</v>
      </c>
      <c r="B72" s="32">
        <v>45684</v>
      </c>
      <c r="C72" s="36" t="s">
        <v>585</v>
      </c>
      <c r="D72" s="43">
        <v>1</v>
      </c>
      <c r="E72" s="48" t="s">
        <v>26</v>
      </c>
      <c r="F72" s="48" t="s">
        <v>555</v>
      </c>
      <c r="G72" s="49">
        <v>11</v>
      </c>
      <c r="H72" s="10">
        <v>11</v>
      </c>
      <c r="I72" s="52">
        <v>30</v>
      </c>
      <c r="J72" s="10">
        <v>30</v>
      </c>
      <c r="K72" s="95" t="s">
        <v>346</v>
      </c>
      <c r="L72" s="57">
        <v>0.6333333333333333</v>
      </c>
      <c r="M72" s="50">
        <v>19</v>
      </c>
      <c r="N72" s="61"/>
      <c r="O72" s="103"/>
      <c r="P72" s="52" t="s">
        <v>20</v>
      </c>
    </row>
    <row r="73" spans="1:28" ht="15.75" customHeight="1">
      <c r="A73" s="28">
        <v>1</v>
      </c>
      <c r="B73" s="32">
        <v>45684</v>
      </c>
      <c r="C73" s="36" t="s">
        <v>390</v>
      </c>
      <c r="D73" s="43">
        <v>1</v>
      </c>
      <c r="E73" s="48" t="s">
        <v>26</v>
      </c>
      <c r="F73" s="48" t="s">
        <v>555</v>
      </c>
      <c r="G73" s="49">
        <v>0</v>
      </c>
      <c r="H73" s="10">
        <v>0</v>
      </c>
      <c r="I73" s="52">
        <v>600</v>
      </c>
      <c r="J73" s="10">
        <v>600</v>
      </c>
      <c r="K73" s="95" t="s">
        <v>346</v>
      </c>
      <c r="L73" s="57">
        <v>1</v>
      </c>
      <c r="M73" s="50">
        <v>600</v>
      </c>
      <c r="N73" s="61"/>
      <c r="O73" s="103"/>
      <c r="P73" s="52" t="s">
        <v>20</v>
      </c>
    </row>
    <row r="74" spans="1:28" ht="15.75" customHeight="1">
      <c r="A74" s="28">
        <v>1</v>
      </c>
      <c r="B74" s="32">
        <v>45685</v>
      </c>
      <c r="C74" s="36" t="s">
        <v>562</v>
      </c>
      <c r="D74" s="43">
        <v>1</v>
      </c>
      <c r="E74" s="48" t="s">
        <v>566</v>
      </c>
      <c r="F74" s="48" t="s">
        <v>555</v>
      </c>
      <c r="G74" s="49">
        <v>18</v>
      </c>
      <c r="H74" s="10">
        <v>18</v>
      </c>
      <c r="I74" s="52">
        <v>25</v>
      </c>
      <c r="J74" s="10">
        <v>25</v>
      </c>
      <c r="K74" s="95" t="s">
        <v>346</v>
      </c>
      <c r="L74" s="57">
        <v>0.28000000000000003</v>
      </c>
      <c r="M74" s="50">
        <v>7</v>
      </c>
      <c r="N74" s="61"/>
      <c r="O74" s="103"/>
      <c r="P74" s="52" t="s">
        <v>20</v>
      </c>
      <c r="AA74" s="65"/>
      <c r="AB74" s="10"/>
    </row>
    <row r="75" spans="1:28" ht="15.75" customHeight="1">
      <c r="A75" s="28">
        <v>1</v>
      </c>
      <c r="B75" s="32">
        <v>45686</v>
      </c>
      <c r="C75" s="36" t="s">
        <v>586</v>
      </c>
      <c r="D75" s="43">
        <v>1</v>
      </c>
      <c r="E75" s="48" t="s">
        <v>587</v>
      </c>
      <c r="F75" s="48" t="s">
        <v>555</v>
      </c>
      <c r="G75" s="49">
        <v>20</v>
      </c>
      <c r="H75" s="10">
        <v>20</v>
      </c>
      <c r="I75" s="52">
        <v>60</v>
      </c>
      <c r="J75" s="10">
        <v>60</v>
      </c>
      <c r="K75" s="95" t="s">
        <v>346</v>
      </c>
      <c r="L75" s="57">
        <v>0.66666666666666663</v>
      </c>
      <c r="M75" s="50">
        <v>40</v>
      </c>
      <c r="N75" s="61"/>
      <c r="O75" s="103">
        <v>60</v>
      </c>
      <c r="P75" s="52" t="s">
        <v>588</v>
      </c>
      <c r="AA75" s="65"/>
      <c r="AB75" s="10"/>
    </row>
    <row r="76" spans="1:28" ht="15.75" customHeight="1">
      <c r="A76" s="28">
        <v>1</v>
      </c>
      <c r="B76" s="32">
        <v>45686</v>
      </c>
      <c r="C76" s="36" t="s">
        <v>223</v>
      </c>
      <c r="D76" s="43">
        <v>1</v>
      </c>
      <c r="E76" s="48" t="s">
        <v>587</v>
      </c>
      <c r="F76" s="48" t="s">
        <v>555</v>
      </c>
      <c r="G76" s="49">
        <v>0</v>
      </c>
      <c r="H76" s="10">
        <v>0</v>
      </c>
      <c r="I76" s="52">
        <v>55</v>
      </c>
      <c r="J76" s="10">
        <v>55</v>
      </c>
      <c r="K76" s="95" t="s">
        <v>346</v>
      </c>
      <c r="L76" s="57">
        <v>1</v>
      </c>
      <c r="M76" s="50">
        <v>55</v>
      </c>
      <c r="N76" s="61"/>
      <c r="O76" s="103">
        <v>55</v>
      </c>
      <c r="P76" s="52" t="s">
        <v>588</v>
      </c>
      <c r="AA76" s="65"/>
      <c r="AB76" s="10"/>
    </row>
    <row r="77" spans="1:28" ht="15.75" customHeight="1">
      <c r="A77" s="28">
        <v>1</v>
      </c>
      <c r="B77" s="32">
        <v>45686</v>
      </c>
      <c r="C77" s="36" t="s">
        <v>589</v>
      </c>
      <c r="D77" s="43">
        <v>1</v>
      </c>
      <c r="E77" s="48" t="s">
        <v>587</v>
      </c>
      <c r="F77" s="48" t="s">
        <v>555</v>
      </c>
      <c r="G77" s="49">
        <v>0</v>
      </c>
      <c r="H77" s="10">
        <v>0</v>
      </c>
      <c r="I77" s="52">
        <v>50</v>
      </c>
      <c r="J77" s="10">
        <v>50</v>
      </c>
      <c r="K77" s="95" t="s">
        <v>346</v>
      </c>
      <c r="L77" s="57">
        <v>1</v>
      </c>
      <c r="M77" s="50">
        <v>50</v>
      </c>
      <c r="N77" s="61"/>
      <c r="O77" s="103">
        <v>50</v>
      </c>
      <c r="P77" s="52" t="s">
        <v>588</v>
      </c>
      <c r="AA77" s="66"/>
      <c r="AB77" s="67"/>
    </row>
    <row r="78" spans="1:28" ht="15.75" customHeight="1">
      <c r="A78" s="28">
        <v>1</v>
      </c>
      <c r="B78" s="32">
        <v>45687</v>
      </c>
      <c r="C78" s="36" t="s">
        <v>323</v>
      </c>
      <c r="D78" s="43">
        <v>1</v>
      </c>
      <c r="E78" s="48" t="s">
        <v>590</v>
      </c>
      <c r="F78" s="48" t="s">
        <v>555</v>
      </c>
      <c r="G78" s="49">
        <v>7.0000000000000007E-2</v>
      </c>
      <c r="H78" s="10">
        <v>7.0000000000000007E-2</v>
      </c>
      <c r="I78" s="52">
        <v>1</v>
      </c>
      <c r="J78" s="10">
        <v>1</v>
      </c>
      <c r="K78" s="95" t="s">
        <v>346</v>
      </c>
      <c r="L78" s="57">
        <v>0.92999999999999994</v>
      </c>
      <c r="M78" s="50">
        <v>0.92999999999999994</v>
      </c>
      <c r="N78" s="61"/>
      <c r="O78" s="103"/>
      <c r="P78" s="52" t="s">
        <v>20</v>
      </c>
      <c r="AA78" s="66"/>
      <c r="AB78" s="67"/>
    </row>
    <row r="79" spans="1:28" ht="15.75" customHeight="1">
      <c r="A79" s="28">
        <v>1</v>
      </c>
      <c r="B79" s="32">
        <v>45687</v>
      </c>
      <c r="C79" s="36" t="s">
        <v>274</v>
      </c>
      <c r="D79" s="43">
        <v>1</v>
      </c>
      <c r="E79" s="48" t="s">
        <v>591</v>
      </c>
      <c r="F79" s="48" t="s">
        <v>555</v>
      </c>
      <c r="G79" s="49">
        <v>0</v>
      </c>
      <c r="H79" s="10">
        <v>0</v>
      </c>
      <c r="I79" s="52">
        <v>5</v>
      </c>
      <c r="J79" s="10">
        <v>5</v>
      </c>
      <c r="K79" s="95" t="s">
        <v>346</v>
      </c>
      <c r="L79" s="57">
        <v>0.68</v>
      </c>
      <c r="M79" s="50">
        <v>5</v>
      </c>
      <c r="N79" s="61"/>
      <c r="O79" s="103"/>
      <c r="P79" s="52" t="s">
        <v>20</v>
      </c>
      <c r="AA79" s="66"/>
      <c r="AB79" s="67"/>
    </row>
    <row r="80" spans="1:28" ht="15.75" customHeight="1">
      <c r="A80" s="28">
        <v>1</v>
      </c>
      <c r="B80" s="32">
        <v>45687</v>
      </c>
      <c r="C80" s="36" t="s">
        <v>592</v>
      </c>
      <c r="D80" s="43">
        <v>1</v>
      </c>
      <c r="E80" s="48" t="s">
        <v>583</v>
      </c>
      <c r="F80" s="48" t="s">
        <v>555</v>
      </c>
      <c r="G80" s="49">
        <v>5</v>
      </c>
      <c r="H80" s="10">
        <v>5</v>
      </c>
      <c r="I80" s="52">
        <v>10</v>
      </c>
      <c r="J80" s="10">
        <v>10</v>
      </c>
      <c r="K80" s="95" t="s">
        <v>346</v>
      </c>
      <c r="L80" s="57">
        <v>1</v>
      </c>
      <c r="M80" s="50">
        <v>5</v>
      </c>
      <c r="N80" s="61"/>
      <c r="O80" s="103">
        <v>10</v>
      </c>
      <c r="P80" s="52" t="s">
        <v>20</v>
      </c>
      <c r="AA80" s="66"/>
      <c r="AB80" s="67"/>
    </row>
    <row r="81" spans="1:16" ht="15.75" customHeight="1">
      <c r="A81" s="28">
        <v>1</v>
      </c>
      <c r="B81" s="32">
        <v>45688</v>
      </c>
      <c r="C81" s="36" t="s">
        <v>323</v>
      </c>
      <c r="D81" s="43">
        <v>1</v>
      </c>
      <c r="E81" s="48" t="s">
        <v>593</v>
      </c>
      <c r="F81" s="48" t="s">
        <v>555</v>
      </c>
      <c r="G81" s="49">
        <v>7.0000000000000007E-2</v>
      </c>
      <c r="H81" s="10">
        <v>7.0000000000000007E-2</v>
      </c>
      <c r="I81" s="52">
        <v>1</v>
      </c>
      <c r="J81" s="10">
        <v>1</v>
      </c>
      <c r="K81" s="95" t="s">
        <v>346</v>
      </c>
      <c r="L81" s="57">
        <v>0.92999999999999994</v>
      </c>
      <c r="M81" s="50">
        <v>0.92999999999999994</v>
      </c>
      <c r="N81" s="61"/>
      <c r="O81" s="103"/>
      <c r="P81" s="52" t="s">
        <v>20</v>
      </c>
    </row>
    <row r="82" spans="1:16" ht="15.75" customHeight="1">
      <c r="A82" s="28">
        <v>1</v>
      </c>
      <c r="B82" s="32">
        <v>45688</v>
      </c>
      <c r="C82" s="36" t="s">
        <v>563</v>
      </c>
      <c r="D82" s="43">
        <v>1</v>
      </c>
      <c r="E82" s="48" t="s">
        <v>26</v>
      </c>
      <c r="F82" s="48" t="s">
        <v>555</v>
      </c>
      <c r="G82" s="49" t="s">
        <v>79</v>
      </c>
      <c r="H82" s="10">
        <v>0</v>
      </c>
      <c r="I82" s="52">
        <v>50</v>
      </c>
      <c r="J82" s="10">
        <v>50</v>
      </c>
      <c r="K82" s="95" t="s">
        <v>346</v>
      </c>
      <c r="L82" s="57">
        <v>1</v>
      </c>
      <c r="M82" s="50">
        <v>50</v>
      </c>
      <c r="N82" s="61"/>
      <c r="O82" s="103"/>
      <c r="P82" s="52" t="s">
        <v>20</v>
      </c>
    </row>
    <row r="83" spans="1:16" ht="15.75" customHeight="1">
      <c r="A83" s="28">
        <v>1</v>
      </c>
      <c r="B83" s="32">
        <v>45688</v>
      </c>
      <c r="C83" s="36" t="s">
        <v>177</v>
      </c>
      <c r="D83" s="43">
        <v>1</v>
      </c>
      <c r="E83" s="48" t="s">
        <v>26</v>
      </c>
      <c r="F83" s="48" t="s">
        <v>322</v>
      </c>
      <c r="G83" s="49">
        <v>8</v>
      </c>
      <c r="H83" s="10">
        <v>8</v>
      </c>
      <c r="I83" s="52">
        <v>25</v>
      </c>
      <c r="J83" s="10">
        <v>25</v>
      </c>
      <c r="K83" s="95" t="s">
        <v>346</v>
      </c>
      <c r="L83" s="57">
        <v>0.5</v>
      </c>
      <c r="M83" s="50">
        <v>17</v>
      </c>
      <c r="N83" s="61"/>
      <c r="O83" s="103"/>
      <c r="P83" s="52" t="s">
        <v>20</v>
      </c>
    </row>
    <row r="84" spans="1:16" ht="15.75" customHeight="1">
      <c r="A84" s="28">
        <v>1</v>
      </c>
      <c r="B84" s="32">
        <v>45688</v>
      </c>
      <c r="C84" s="36" t="s">
        <v>559</v>
      </c>
      <c r="D84" s="43">
        <v>4</v>
      </c>
      <c r="E84" s="48" t="s">
        <v>26</v>
      </c>
      <c r="F84" s="48" t="s">
        <v>555</v>
      </c>
      <c r="G84" s="49" t="s">
        <v>79</v>
      </c>
      <c r="H84" s="10">
        <v>0</v>
      </c>
      <c r="I84" s="52">
        <v>5</v>
      </c>
      <c r="J84" s="10">
        <v>20</v>
      </c>
      <c r="K84" s="95" t="s">
        <v>346</v>
      </c>
      <c r="L84" s="57">
        <v>1</v>
      </c>
      <c r="M84" s="50">
        <v>20</v>
      </c>
      <c r="N84" s="61"/>
      <c r="O84" s="103"/>
      <c r="P84" s="52" t="s">
        <v>20</v>
      </c>
    </row>
    <row r="85" spans="1:16" ht="15.75" customHeight="1">
      <c r="A85" s="28">
        <v>2</v>
      </c>
      <c r="B85" s="32">
        <v>45691</v>
      </c>
      <c r="C85" s="36" t="s">
        <v>214</v>
      </c>
      <c r="D85" s="43">
        <v>1</v>
      </c>
      <c r="E85" s="48" t="s">
        <v>26</v>
      </c>
      <c r="F85" s="48" t="s">
        <v>555</v>
      </c>
      <c r="G85" s="49">
        <v>7</v>
      </c>
      <c r="H85" s="10">
        <v>7</v>
      </c>
      <c r="I85" s="52">
        <v>20</v>
      </c>
      <c r="J85" s="10">
        <v>20</v>
      </c>
      <c r="K85" s="95" t="s">
        <v>346</v>
      </c>
      <c r="L85" s="57">
        <v>0.65</v>
      </c>
      <c r="M85" s="50">
        <v>13</v>
      </c>
      <c r="N85" s="64"/>
      <c r="O85" s="103"/>
      <c r="P85" s="52" t="s">
        <v>20</v>
      </c>
    </row>
    <row r="86" spans="1:16" ht="15.75" customHeight="1">
      <c r="A86" s="72">
        <v>2</v>
      </c>
      <c r="B86" s="75">
        <v>45691</v>
      </c>
      <c r="C86" s="78" t="s">
        <v>230</v>
      </c>
      <c r="D86" s="83">
        <v>1</v>
      </c>
      <c r="E86" s="86" t="s">
        <v>594</v>
      </c>
      <c r="F86" s="86" t="s">
        <v>555</v>
      </c>
      <c r="G86" s="89">
        <v>11</v>
      </c>
      <c r="H86" s="68">
        <v>11</v>
      </c>
      <c r="I86" s="91">
        <v>30</v>
      </c>
      <c r="J86" s="68">
        <v>30</v>
      </c>
      <c r="K86" s="55" t="s">
        <v>346</v>
      </c>
      <c r="L86" s="57">
        <v>0.6333333333333333</v>
      </c>
      <c r="M86" s="50">
        <v>19</v>
      </c>
      <c r="N86" s="61"/>
      <c r="O86" s="50"/>
      <c r="P86" s="91" t="s">
        <v>20</v>
      </c>
    </row>
    <row r="87" spans="1:16" ht="15.75" customHeight="1">
      <c r="A87" s="28">
        <v>2</v>
      </c>
      <c r="B87" s="32">
        <v>45691</v>
      </c>
      <c r="C87" s="36" t="s">
        <v>595</v>
      </c>
      <c r="D87" s="43">
        <v>1</v>
      </c>
      <c r="E87" s="48" t="s">
        <v>26</v>
      </c>
      <c r="F87" s="48" t="s">
        <v>555</v>
      </c>
      <c r="G87" s="49" t="s">
        <v>79</v>
      </c>
      <c r="H87" s="10">
        <v>0</v>
      </c>
      <c r="I87" s="52">
        <v>5</v>
      </c>
      <c r="J87" s="10">
        <v>5</v>
      </c>
      <c r="K87" s="55" t="s">
        <v>346</v>
      </c>
      <c r="L87" s="57">
        <v>1</v>
      </c>
      <c r="M87" s="50">
        <v>5</v>
      </c>
      <c r="N87" s="61"/>
      <c r="O87" s="50"/>
      <c r="P87" s="52" t="s">
        <v>20</v>
      </c>
    </row>
    <row r="88" spans="1:16" ht="15.75" customHeight="1">
      <c r="A88" s="28">
        <v>2</v>
      </c>
      <c r="B88" s="32">
        <v>45691</v>
      </c>
      <c r="C88" s="36" t="s">
        <v>570</v>
      </c>
      <c r="D88" s="43">
        <v>1</v>
      </c>
      <c r="E88" s="48" t="s">
        <v>596</v>
      </c>
      <c r="F88" s="48" t="s">
        <v>555</v>
      </c>
      <c r="G88" s="49">
        <v>30</v>
      </c>
      <c r="H88" s="10">
        <v>30</v>
      </c>
      <c r="I88" s="52">
        <v>70</v>
      </c>
      <c r="J88" s="10">
        <v>70</v>
      </c>
      <c r="K88" s="55" t="s">
        <v>346</v>
      </c>
      <c r="L88" s="57">
        <v>0.5714285714285714</v>
      </c>
      <c r="M88" s="50">
        <v>40</v>
      </c>
      <c r="N88" s="61"/>
      <c r="O88" s="50"/>
      <c r="P88" s="52" t="s">
        <v>20</v>
      </c>
    </row>
    <row r="89" spans="1:16" ht="15.75" customHeight="1">
      <c r="A89" s="28">
        <v>2</v>
      </c>
      <c r="B89" s="32">
        <v>45691</v>
      </c>
      <c r="C89" s="36" t="s">
        <v>274</v>
      </c>
      <c r="D89" s="43">
        <v>1</v>
      </c>
      <c r="E89" s="48" t="s">
        <v>596</v>
      </c>
      <c r="F89" s="48" t="s">
        <v>322</v>
      </c>
      <c r="G89" s="49">
        <v>0</v>
      </c>
      <c r="H89" s="10">
        <v>0</v>
      </c>
      <c r="I89" s="52">
        <v>50</v>
      </c>
      <c r="J89" s="10">
        <v>50</v>
      </c>
      <c r="K89" s="55" t="s">
        <v>346</v>
      </c>
      <c r="L89" s="57">
        <v>1</v>
      </c>
      <c r="M89" s="50">
        <v>50</v>
      </c>
      <c r="N89" s="61"/>
      <c r="O89" s="50"/>
      <c r="P89" s="52" t="s">
        <v>20</v>
      </c>
    </row>
    <row r="90" spans="1:16" ht="15.75" customHeight="1">
      <c r="A90" s="28">
        <v>2</v>
      </c>
      <c r="B90" s="32">
        <v>45691</v>
      </c>
      <c r="C90" s="36" t="s">
        <v>563</v>
      </c>
      <c r="D90" s="43">
        <v>1</v>
      </c>
      <c r="E90" s="48" t="s">
        <v>26</v>
      </c>
      <c r="F90" s="48" t="s">
        <v>322</v>
      </c>
      <c r="G90" s="49" t="s">
        <v>79</v>
      </c>
      <c r="H90" s="10">
        <v>0</v>
      </c>
      <c r="I90" s="52">
        <v>45</v>
      </c>
      <c r="J90" s="10">
        <v>45</v>
      </c>
      <c r="K90" s="55" t="s">
        <v>346</v>
      </c>
      <c r="L90" s="57">
        <v>1</v>
      </c>
      <c r="M90" s="50">
        <v>45</v>
      </c>
      <c r="N90" s="61"/>
      <c r="O90" s="50"/>
      <c r="P90" s="52" t="s">
        <v>20</v>
      </c>
    </row>
    <row r="91" spans="1:16" ht="15.75" customHeight="1">
      <c r="A91" s="28">
        <v>2</v>
      </c>
      <c r="B91" s="32">
        <v>45691</v>
      </c>
      <c r="C91" s="36" t="s">
        <v>521</v>
      </c>
      <c r="D91" s="43">
        <v>1</v>
      </c>
      <c r="E91" s="48" t="s">
        <v>596</v>
      </c>
      <c r="F91" s="48" t="s">
        <v>555</v>
      </c>
      <c r="G91" s="49" t="s">
        <v>79</v>
      </c>
      <c r="H91" s="10">
        <v>0</v>
      </c>
      <c r="I91" s="52">
        <v>250</v>
      </c>
      <c r="J91" s="10">
        <v>250</v>
      </c>
      <c r="K91" s="55" t="s">
        <v>346</v>
      </c>
      <c r="L91" s="57">
        <v>1</v>
      </c>
      <c r="M91" s="50">
        <v>250</v>
      </c>
      <c r="N91" s="61"/>
      <c r="O91" s="50"/>
      <c r="P91" s="52" t="s">
        <v>20</v>
      </c>
    </row>
    <row r="92" spans="1:16" ht="15.75" customHeight="1">
      <c r="A92" s="28">
        <v>2</v>
      </c>
      <c r="B92" s="32">
        <v>45692</v>
      </c>
      <c r="C92" s="36" t="s">
        <v>570</v>
      </c>
      <c r="D92" s="43">
        <v>1</v>
      </c>
      <c r="E92" s="48" t="s">
        <v>26</v>
      </c>
      <c r="F92" s="48" t="s">
        <v>555</v>
      </c>
      <c r="G92" s="49">
        <v>38</v>
      </c>
      <c r="H92" s="10">
        <v>38</v>
      </c>
      <c r="I92" s="52">
        <v>68</v>
      </c>
      <c r="J92" s="10">
        <v>68</v>
      </c>
      <c r="K92" s="55" t="s">
        <v>346</v>
      </c>
      <c r="L92" s="57">
        <v>0.44117647058823528</v>
      </c>
      <c r="M92" s="50">
        <v>30</v>
      </c>
      <c r="N92" s="61"/>
      <c r="O92" s="50"/>
      <c r="P92" s="52" t="s">
        <v>20</v>
      </c>
    </row>
    <row r="93" spans="1:16" ht="15.75" customHeight="1">
      <c r="A93" s="28">
        <v>2</v>
      </c>
      <c r="B93" s="32">
        <v>45692</v>
      </c>
      <c r="C93" s="36" t="s">
        <v>390</v>
      </c>
      <c r="D93" s="43">
        <v>1</v>
      </c>
      <c r="E93" s="48" t="s">
        <v>522</v>
      </c>
      <c r="F93" s="48" t="s">
        <v>555</v>
      </c>
      <c r="G93" s="49">
        <v>0</v>
      </c>
      <c r="H93" s="10">
        <v>0</v>
      </c>
      <c r="I93" s="52">
        <v>140</v>
      </c>
      <c r="J93" s="10">
        <v>140</v>
      </c>
      <c r="K93" s="55" t="s">
        <v>346</v>
      </c>
      <c r="L93" s="57">
        <v>1</v>
      </c>
      <c r="M93" s="50">
        <v>140</v>
      </c>
      <c r="N93" s="61"/>
      <c r="O93" s="50"/>
      <c r="P93" s="52" t="s">
        <v>20</v>
      </c>
    </row>
    <row r="94" spans="1:16" ht="15.75" customHeight="1">
      <c r="A94" s="28">
        <v>2</v>
      </c>
      <c r="B94" s="32">
        <v>45692</v>
      </c>
      <c r="C94" s="36" t="s">
        <v>387</v>
      </c>
      <c r="D94" s="43">
        <v>1</v>
      </c>
      <c r="E94" s="48" t="s">
        <v>583</v>
      </c>
      <c r="F94" s="48" t="s">
        <v>555</v>
      </c>
      <c r="G94" s="49">
        <v>18.5</v>
      </c>
      <c r="H94" s="10">
        <v>18.5</v>
      </c>
      <c r="I94" s="52">
        <v>30</v>
      </c>
      <c r="J94" s="10">
        <v>30</v>
      </c>
      <c r="K94" s="55" t="s">
        <v>346</v>
      </c>
      <c r="L94" s="57">
        <v>0.38333333333333336</v>
      </c>
      <c r="M94" s="50">
        <v>11.5</v>
      </c>
      <c r="N94" s="61"/>
      <c r="O94" s="50">
        <v>30</v>
      </c>
      <c r="P94" s="52" t="s">
        <v>135</v>
      </c>
    </row>
    <row r="95" spans="1:16" ht="15.75" customHeight="1">
      <c r="A95" s="28">
        <v>2</v>
      </c>
      <c r="B95" s="32">
        <v>45693</v>
      </c>
      <c r="C95" s="36" t="s">
        <v>387</v>
      </c>
      <c r="D95" s="43">
        <v>1</v>
      </c>
      <c r="E95" s="48" t="s">
        <v>26</v>
      </c>
      <c r="F95" s="48" t="s">
        <v>555</v>
      </c>
      <c r="G95" s="49">
        <v>18.5</v>
      </c>
      <c r="H95" s="10">
        <v>18.5</v>
      </c>
      <c r="I95" s="52">
        <v>30</v>
      </c>
      <c r="J95" s="10">
        <v>30</v>
      </c>
      <c r="K95" s="55" t="s">
        <v>346</v>
      </c>
      <c r="L95" s="57">
        <v>0.38333333333333336</v>
      </c>
      <c r="M95" s="50">
        <v>11.5</v>
      </c>
      <c r="N95" s="61"/>
      <c r="O95" s="50"/>
      <c r="P95" s="52" t="s">
        <v>20</v>
      </c>
    </row>
    <row r="96" spans="1:16" ht="15.75" customHeight="1">
      <c r="A96" s="28">
        <v>2</v>
      </c>
      <c r="B96" s="32">
        <v>45693</v>
      </c>
      <c r="C96" s="36" t="s">
        <v>377</v>
      </c>
      <c r="D96" s="43">
        <v>1</v>
      </c>
      <c r="E96" s="48" t="s">
        <v>26</v>
      </c>
      <c r="F96" s="48" t="s">
        <v>555</v>
      </c>
      <c r="G96" s="49">
        <v>18</v>
      </c>
      <c r="H96" s="10">
        <v>18</v>
      </c>
      <c r="I96" s="52">
        <v>20</v>
      </c>
      <c r="J96" s="10">
        <v>20</v>
      </c>
      <c r="K96" s="55" t="s">
        <v>346</v>
      </c>
      <c r="L96" s="57">
        <v>0.1</v>
      </c>
      <c r="M96" s="50">
        <v>2</v>
      </c>
      <c r="N96" s="61"/>
      <c r="O96" s="50"/>
      <c r="P96" s="52" t="s">
        <v>20</v>
      </c>
    </row>
    <row r="97" spans="1:16" ht="15.75" customHeight="1">
      <c r="A97" s="28">
        <v>2</v>
      </c>
      <c r="B97" s="32">
        <v>45693</v>
      </c>
      <c r="C97" s="36" t="s">
        <v>253</v>
      </c>
      <c r="D97" s="43">
        <v>1</v>
      </c>
      <c r="E97" s="48" t="s">
        <v>26</v>
      </c>
      <c r="F97" s="48" t="s">
        <v>555</v>
      </c>
      <c r="G97" s="49">
        <v>3.5</v>
      </c>
      <c r="H97" s="10">
        <v>3.5</v>
      </c>
      <c r="I97" s="52">
        <v>45</v>
      </c>
      <c r="J97" s="10">
        <v>45</v>
      </c>
      <c r="K97" s="55" t="s">
        <v>346</v>
      </c>
      <c r="L97" s="57">
        <v>0.92222222222222228</v>
      </c>
      <c r="M97" s="50">
        <v>41.5</v>
      </c>
      <c r="N97" s="61"/>
      <c r="O97" s="50"/>
      <c r="P97" s="52" t="s">
        <v>20</v>
      </c>
    </row>
    <row r="98" spans="1:16" ht="15.75" customHeight="1">
      <c r="A98" s="28">
        <v>2</v>
      </c>
      <c r="B98" s="32">
        <v>45694</v>
      </c>
      <c r="C98" s="36" t="s">
        <v>489</v>
      </c>
      <c r="D98" s="43">
        <v>3</v>
      </c>
      <c r="E98" s="48" t="s">
        <v>301</v>
      </c>
      <c r="F98" s="48" t="s">
        <v>555</v>
      </c>
      <c r="G98" s="49">
        <v>6</v>
      </c>
      <c r="H98" s="10">
        <v>18</v>
      </c>
      <c r="I98" s="52">
        <v>15</v>
      </c>
      <c r="J98" s="10">
        <v>45</v>
      </c>
      <c r="K98" s="55" t="s">
        <v>346</v>
      </c>
      <c r="L98" s="57">
        <v>0.6</v>
      </c>
      <c r="M98" s="50">
        <v>27</v>
      </c>
      <c r="N98" s="61"/>
      <c r="O98" s="50"/>
      <c r="P98" s="52" t="s">
        <v>20</v>
      </c>
    </row>
    <row r="99" spans="1:16" ht="15.75" customHeight="1">
      <c r="A99" s="28">
        <v>2</v>
      </c>
      <c r="B99" s="32">
        <v>45694</v>
      </c>
      <c r="C99" s="36" t="s">
        <v>16</v>
      </c>
      <c r="D99" s="43">
        <v>1</v>
      </c>
      <c r="E99" s="48" t="s">
        <v>301</v>
      </c>
      <c r="F99" s="48" t="s">
        <v>555</v>
      </c>
      <c r="G99" s="49">
        <v>7</v>
      </c>
      <c r="H99" s="10">
        <v>7</v>
      </c>
      <c r="I99" s="52">
        <v>15</v>
      </c>
      <c r="J99" s="10">
        <v>15</v>
      </c>
      <c r="K99" s="55" t="s">
        <v>346</v>
      </c>
      <c r="L99" s="57">
        <v>0.53333333333333333</v>
      </c>
      <c r="M99" s="50">
        <v>8</v>
      </c>
      <c r="N99" s="61"/>
      <c r="O99" s="50"/>
      <c r="P99" s="52" t="s">
        <v>20</v>
      </c>
    </row>
    <row r="100" spans="1:16" ht="15.75" customHeight="1">
      <c r="A100" s="28">
        <v>2</v>
      </c>
      <c r="B100" s="32">
        <v>45694</v>
      </c>
      <c r="C100" s="36" t="s">
        <v>597</v>
      </c>
      <c r="D100" s="43">
        <v>1</v>
      </c>
      <c r="E100" s="48" t="s">
        <v>26</v>
      </c>
      <c r="F100" s="48" t="s">
        <v>555</v>
      </c>
      <c r="G100" s="49">
        <v>60</v>
      </c>
      <c r="H100" s="10">
        <v>60</v>
      </c>
      <c r="I100" s="52">
        <v>110</v>
      </c>
      <c r="J100" s="10">
        <v>110</v>
      </c>
      <c r="K100" s="55" t="s">
        <v>346</v>
      </c>
      <c r="L100" s="57">
        <v>0.45454545454545453</v>
      </c>
      <c r="M100" s="50">
        <v>50</v>
      </c>
      <c r="N100" s="61"/>
      <c r="O100" s="50"/>
      <c r="P100" s="52" t="s">
        <v>20</v>
      </c>
    </row>
    <row r="101" spans="1:16" ht="15.75" customHeight="1">
      <c r="A101" s="28">
        <v>2</v>
      </c>
      <c r="B101" s="32">
        <v>45694</v>
      </c>
      <c r="C101" s="36" t="s">
        <v>598</v>
      </c>
      <c r="D101" s="43">
        <v>1</v>
      </c>
      <c r="E101" s="48" t="s">
        <v>26</v>
      </c>
      <c r="F101" s="48" t="s">
        <v>555</v>
      </c>
      <c r="G101" s="49">
        <v>38</v>
      </c>
      <c r="H101" s="10">
        <v>38</v>
      </c>
      <c r="I101" s="52">
        <v>70</v>
      </c>
      <c r="J101" s="10">
        <v>70</v>
      </c>
      <c r="K101" s="55" t="s">
        <v>346</v>
      </c>
      <c r="L101" s="57">
        <v>0.45714285714285713</v>
      </c>
      <c r="M101" s="50">
        <v>32</v>
      </c>
      <c r="N101" s="61"/>
      <c r="O101" s="50"/>
      <c r="P101" s="52" t="s">
        <v>20</v>
      </c>
    </row>
    <row r="102" spans="1:16" ht="15.75" customHeight="1">
      <c r="A102" s="28">
        <v>2</v>
      </c>
      <c r="B102" s="32">
        <v>45694</v>
      </c>
      <c r="C102" s="36" t="s">
        <v>584</v>
      </c>
      <c r="D102" s="43">
        <v>1</v>
      </c>
      <c r="E102" s="48" t="s">
        <v>26</v>
      </c>
      <c r="F102" s="48" t="s">
        <v>555</v>
      </c>
      <c r="G102" s="49" t="s">
        <v>79</v>
      </c>
      <c r="H102" s="10">
        <v>0</v>
      </c>
      <c r="I102" s="52">
        <v>50</v>
      </c>
      <c r="J102" s="10">
        <v>50</v>
      </c>
      <c r="K102" s="55" t="s">
        <v>346</v>
      </c>
      <c r="L102" s="57">
        <v>1</v>
      </c>
      <c r="M102" s="50">
        <v>50</v>
      </c>
      <c r="N102" s="61"/>
      <c r="O102" s="50"/>
      <c r="P102" s="52" t="s">
        <v>20</v>
      </c>
    </row>
    <row r="103" spans="1:16" ht="15.75" customHeight="1">
      <c r="A103" s="28">
        <v>2</v>
      </c>
      <c r="B103" s="32">
        <v>45695</v>
      </c>
      <c r="C103" s="36" t="s">
        <v>323</v>
      </c>
      <c r="D103" s="43">
        <v>3</v>
      </c>
      <c r="E103" s="48" t="s">
        <v>519</v>
      </c>
      <c r="F103" s="48" t="s">
        <v>555</v>
      </c>
      <c r="G103" s="49">
        <v>7.0000000000000007E-2</v>
      </c>
      <c r="H103" s="10">
        <v>0.21000000000000002</v>
      </c>
      <c r="I103" s="52">
        <v>1</v>
      </c>
      <c r="J103" s="10">
        <v>3</v>
      </c>
      <c r="K103" s="55" t="s">
        <v>346</v>
      </c>
      <c r="L103" s="57">
        <v>0.93</v>
      </c>
      <c r="M103" s="50">
        <v>2.79</v>
      </c>
      <c r="N103" s="61"/>
      <c r="O103" s="50"/>
      <c r="P103" s="52" t="s">
        <v>20</v>
      </c>
    </row>
    <row r="104" spans="1:16" ht="15.75" customHeight="1">
      <c r="A104" s="28">
        <v>2</v>
      </c>
      <c r="B104" s="32">
        <v>45695</v>
      </c>
      <c r="C104" s="36" t="s">
        <v>259</v>
      </c>
      <c r="D104" s="43">
        <v>1</v>
      </c>
      <c r="E104" s="48" t="s">
        <v>301</v>
      </c>
      <c r="F104" s="48" t="s">
        <v>555</v>
      </c>
      <c r="G104" s="49">
        <v>6</v>
      </c>
      <c r="H104" s="10">
        <v>6</v>
      </c>
      <c r="I104" s="52">
        <v>15</v>
      </c>
      <c r="J104" s="10">
        <v>15</v>
      </c>
      <c r="K104" s="55" t="s">
        <v>346</v>
      </c>
      <c r="L104" s="57">
        <v>0.6</v>
      </c>
      <c r="M104" s="50">
        <v>9</v>
      </c>
      <c r="N104" s="61"/>
      <c r="O104" s="50"/>
      <c r="P104" s="52" t="s">
        <v>20</v>
      </c>
    </row>
    <row r="105" spans="1:16" ht="15.75" customHeight="1">
      <c r="A105" s="28">
        <v>2</v>
      </c>
      <c r="B105" s="32">
        <v>45695</v>
      </c>
      <c r="C105" s="36" t="s">
        <v>323</v>
      </c>
      <c r="D105" s="43">
        <v>5</v>
      </c>
      <c r="E105" s="48" t="s">
        <v>583</v>
      </c>
      <c r="F105" s="48" t="s">
        <v>555</v>
      </c>
      <c r="G105" s="49">
        <v>7.0000000000000007E-2</v>
      </c>
      <c r="H105" s="10">
        <v>0.35000000000000003</v>
      </c>
      <c r="I105" s="52">
        <v>1</v>
      </c>
      <c r="J105" s="10">
        <v>5</v>
      </c>
      <c r="K105" s="55" t="s">
        <v>346</v>
      </c>
      <c r="L105" s="57">
        <v>0.93</v>
      </c>
      <c r="M105" s="50">
        <v>4.6500000000000004</v>
      </c>
      <c r="N105" s="61"/>
      <c r="O105" s="50"/>
      <c r="P105" s="52" t="s">
        <v>20</v>
      </c>
    </row>
    <row r="106" spans="1:16" ht="15.75" customHeight="1">
      <c r="A106" s="28">
        <v>2</v>
      </c>
      <c r="B106" s="32">
        <v>45695</v>
      </c>
      <c r="C106" s="36" t="s">
        <v>599</v>
      </c>
      <c r="D106" s="43">
        <v>1</v>
      </c>
      <c r="E106" s="48" t="s">
        <v>440</v>
      </c>
      <c r="F106" s="48" t="s">
        <v>555</v>
      </c>
      <c r="G106" s="49">
        <v>12</v>
      </c>
      <c r="H106" s="10">
        <v>12</v>
      </c>
      <c r="I106" s="52">
        <v>15</v>
      </c>
      <c r="J106" s="10">
        <v>15</v>
      </c>
      <c r="K106" s="55" t="s">
        <v>346</v>
      </c>
      <c r="L106" s="57">
        <v>0.2</v>
      </c>
      <c r="M106" s="50">
        <v>3</v>
      </c>
      <c r="N106" s="61"/>
      <c r="O106" s="50"/>
      <c r="P106" s="52" t="s">
        <v>20</v>
      </c>
    </row>
    <row r="107" spans="1:16" ht="15.75" customHeight="1">
      <c r="A107" s="28">
        <v>2</v>
      </c>
      <c r="B107" s="32">
        <v>45695</v>
      </c>
      <c r="C107" s="36" t="s">
        <v>600</v>
      </c>
      <c r="D107" s="43">
        <v>1</v>
      </c>
      <c r="E107" s="48" t="s">
        <v>440</v>
      </c>
      <c r="F107" s="48" t="s">
        <v>555</v>
      </c>
      <c r="G107" s="49">
        <v>2.5</v>
      </c>
      <c r="H107" s="10">
        <v>2.5</v>
      </c>
      <c r="I107" s="52">
        <v>5</v>
      </c>
      <c r="J107" s="10">
        <v>5</v>
      </c>
      <c r="K107" s="55" t="s">
        <v>346</v>
      </c>
      <c r="L107" s="57">
        <v>0.5</v>
      </c>
      <c r="M107" s="50">
        <v>2.5</v>
      </c>
      <c r="N107" s="61"/>
      <c r="O107" s="50"/>
      <c r="P107" s="52" t="s">
        <v>20</v>
      </c>
    </row>
    <row r="108" spans="1:16" ht="15.75" customHeight="1">
      <c r="A108" s="28">
        <v>2</v>
      </c>
      <c r="B108" s="32">
        <v>45696</v>
      </c>
      <c r="C108" s="36" t="s">
        <v>401</v>
      </c>
      <c r="D108" s="43">
        <v>1</v>
      </c>
      <c r="E108" s="48" t="s">
        <v>26</v>
      </c>
      <c r="F108" s="48" t="s">
        <v>555</v>
      </c>
      <c r="G108" s="49">
        <v>10</v>
      </c>
      <c r="H108" s="10">
        <v>10</v>
      </c>
      <c r="I108" s="52">
        <v>20</v>
      </c>
      <c r="J108" s="10">
        <v>20</v>
      </c>
      <c r="K108" s="55" t="s">
        <v>346</v>
      </c>
      <c r="L108" s="57">
        <v>0.5</v>
      </c>
      <c r="M108" s="50">
        <v>10</v>
      </c>
      <c r="N108" s="61"/>
      <c r="O108" s="50"/>
      <c r="P108" s="52" t="s">
        <v>20</v>
      </c>
    </row>
    <row r="109" spans="1:16" ht="15.75" customHeight="1">
      <c r="A109" s="28">
        <v>2</v>
      </c>
      <c r="B109" s="32">
        <v>45698</v>
      </c>
      <c r="C109" s="36" t="s">
        <v>321</v>
      </c>
      <c r="D109" s="43">
        <v>1</v>
      </c>
      <c r="E109" s="48" t="s">
        <v>26</v>
      </c>
      <c r="F109" s="48" t="s">
        <v>555</v>
      </c>
      <c r="G109" s="49">
        <v>3</v>
      </c>
      <c r="H109" s="10">
        <v>3</v>
      </c>
      <c r="I109" s="52">
        <v>15</v>
      </c>
      <c r="J109" s="10">
        <v>15</v>
      </c>
      <c r="K109" s="55" t="s">
        <v>346</v>
      </c>
      <c r="L109" s="57">
        <v>0.8</v>
      </c>
      <c r="M109" s="50">
        <v>12</v>
      </c>
      <c r="N109" s="61"/>
      <c r="O109" s="50"/>
      <c r="P109" s="52" t="s">
        <v>20</v>
      </c>
    </row>
    <row r="110" spans="1:16" ht="15.75" customHeight="1">
      <c r="A110" s="28">
        <v>2</v>
      </c>
      <c r="B110" s="32">
        <v>45698</v>
      </c>
      <c r="C110" s="36" t="s">
        <v>364</v>
      </c>
      <c r="D110" s="43">
        <v>1</v>
      </c>
      <c r="E110" s="48" t="s">
        <v>455</v>
      </c>
      <c r="F110" s="48" t="s">
        <v>555</v>
      </c>
      <c r="G110" s="49">
        <v>6</v>
      </c>
      <c r="H110" s="10">
        <v>6</v>
      </c>
      <c r="I110" s="52">
        <v>15</v>
      </c>
      <c r="J110" s="10">
        <v>15</v>
      </c>
      <c r="K110" s="55" t="s">
        <v>346</v>
      </c>
      <c r="L110" s="57">
        <v>0.6</v>
      </c>
      <c r="M110" s="50">
        <v>9</v>
      </c>
      <c r="N110" s="61"/>
      <c r="O110" s="50"/>
      <c r="P110" s="52" t="s">
        <v>20</v>
      </c>
    </row>
    <row r="111" spans="1:16" ht="15.75" customHeight="1">
      <c r="A111" s="28">
        <v>2</v>
      </c>
      <c r="B111" s="32">
        <v>45698</v>
      </c>
      <c r="C111" s="36" t="s">
        <v>323</v>
      </c>
      <c r="D111" s="43">
        <v>2</v>
      </c>
      <c r="E111" s="48" t="s">
        <v>395</v>
      </c>
      <c r="F111" s="48" t="s">
        <v>555</v>
      </c>
      <c r="G111" s="49">
        <v>7.0000000000000007E-2</v>
      </c>
      <c r="H111" s="10">
        <v>0.14000000000000001</v>
      </c>
      <c r="I111" s="52">
        <v>1</v>
      </c>
      <c r="J111" s="10">
        <v>2</v>
      </c>
      <c r="K111" s="55" t="s">
        <v>346</v>
      </c>
      <c r="L111" s="57">
        <v>0.92999999999999994</v>
      </c>
      <c r="M111" s="50">
        <v>1.8599999999999999</v>
      </c>
      <c r="N111" s="61"/>
      <c r="O111" s="50"/>
      <c r="P111" s="52" t="s">
        <v>20</v>
      </c>
    </row>
    <row r="112" spans="1:16" ht="15.75" customHeight="1">
      <c r="A112" s="28">
        <v>2</v>
      </c>
      <c r="B112" s="32">
        <v>45698</v>
      </c>
      <c r="C112" s="36" t="s">
        <v>595</v>
      </c>
      <c r="D112" s="43">
        <v>1</v>
      </c>
      <c r="E112" s="48" t="s">
        <v>26</v>
      </c>
      <c r="F112" s="48" t="s">
        <v>555</v>
      </c>
      <c r="G112" s="49" t="s">
        <v>79</v>
      </c>
      <c r="H112" s="10">
        <v>0</v>
      </c>
      <c r="I112" s="52">
        <v>10</v>
      </c>
      <c r="J112" s="10">
        <v>10</v>
      </c>
      <c r="K112" s="55" t="s">
        <v>346</v>
      </c>
      <c r="L112" s="57">
        <v>1</v>
      </c>
      <c r="M112" s="50">
        <v>10</v>
      </c>
      <c r="N112" s="61"/>
      <c r="O112" s="50"/>
      <c r="P112" s="52" t="s">
        <v>20</v>
      </c>
    </row>
    <row r="113" spans="1:16" ht="15.75" customHeight="1">
      <c r="A113" s="28">
        <v>2</v>
      </c>
      <c r="B113" s="32">
        <v>45698</v>
      </c>
      <c r="C113" s="36" t="s">
        <v>401</v>
      </c>
      <c r="D113" s="43">
        <v>1</v>
      </c>
      <c r="E113" s="48" t="s">
        <v>26</v>
      </c>
      <c r="F113" s="48" t="s">
        <v>555</v>
      </c>
      <c r="G113" s="49">
        <v>10</v>
      </c>
      <c r="H113" s="10">
        <v>10</v>
      </c>
      <c r="I113" s="52">
        <v>20</v>
      </c>
      <c r="J113" s="10">
        <v>20</v>
      </c>
      <c r="K113" s="55" t="s">
        <v>346</v>
      </c>
      <c r="L113" s="57">
        <v>0.5</v>
      </c>
      <c r="M113" s="50">
        <v>10</v>
      </c>
      <c r="N113" s="61"/>
      <c r="O113" s="50"/>
      <c r="P113" s="52" t="s">
        <v>20</v>
      </c>
    </row>
    <row r="114" spans="1:16" ht="15.75" customHeight="1">
      <c r="A114" s="28">
        <v>2</v>
      </c>
      <c r="B114" s="32">
        <v>45699</v>
      </c>
      <c r="C114" s="36" t="s">
        <v>441</v>
      </c>
      <c r="D114" s="43">
        <v>1</v>
      </c>
      <c r="E114" s="48" t="s">
        <v>26</v>
      </c>
      <c r="F114" s="48" t="s">
        <v>555</v>
      </c>
      <c r="G114" s="49">
        <v>0</v>
      </c>
      <c r="H114" s="10">
        <v>0</v>
      </c>
      <c r="I114" s="52">
        <v>15</v>
      </c>
      <c r="J114" s="10">
        <v>15</v>
      </c>
      <c r="K114" s="55" t="s">
        <v>346</v>
      </c>
      <c r="L114" s="57">
        <v>1</v>
      </c>
      <c r="M114" s="50">
        <v>15</v>
      </c>
      <c r="N114" s="61"/>
      <c r="O114" s="50"/>
      <c r="P114" s="52" t="s">
        <v>20</v>
      </c>
    </row>
    <row r="115" spans="1:16" ht="15.75" customHeight="1">
      <c r="A115" s="28">
        <v>2</v>
      </c>
      <c r="B115" s="32">
        <v>45699</v>
      </c>
      <c r="C115" s="36" t="s">
        <v>323</v>
      </c>
      <c r="D115" s="43">
        <v>15</v>
      </c>
      <c r="E115" s="48" t="s">
        <v>26</v>
      </c>
      <c r="F115" s="48" t="s">
        <v>555</v>
      </c>
      <c r="G115" s="49">
        <v>7.0000000000000007E-2</v>
      </c>
      <c r="H115" s="10">
        <v>1.05</v>
      </c>
      <c r="I115" s="52">
        <v>1</v>
      </c>
      <c r="J115" s="10">
        <v>15</v>
      </c>
      <c r="K115" s="55" t="s">
        <v>346</v>
      </c>
      <c r="L115" s="57">
        <v>0.92999999999999994</v>
      </c>
      <c r="M115" s="50">
        <v>13.95</v>
      </c>
      <c r="N115" s="61"/>
      <c r="O115" s="50"/>
      <c r="P115" s="52" t="s">
        <v>20</v>
      </c>
    </row>
    <row r="116" spans="1:16" ht="15.75" customHeight="1">
      <c r="A116" s="28">
        <v>2</v>
      </c>
      <c r="B116" s="32">
        <v>45699</v>
      </c>
      <c r="C116" s="36" t="s">
        <v>521</v>
      </c>
      <c r="D116" s="43">
        <v>1</v>
      </c>
      <c r="E116" s="48" t="s">
        <v>601</v>
      </c>
      <c r="F116" s="48" t="s">
        <v>555</v>
      </c>
      <c r="G116" s="49">
        <v>145</v>
      </c>
      <c r="H116" s="10">
        <v>145</v>
      </c>
      <c r="I116" s="52">
        <v>260</v>
      </c>
      <c r="J116" s="10">
        <v>260</v>
      </c>
      <c r="K116" s="55" t="s">
        <v>346</v>
      </c>
      <c r="L116" s="57">
        <v>0.44230769230769229</v>
      </c>
      <c r="M116" s="50">
        <v>115</v>
      </c>
      <c r="N116" s="61"/>
      <c r="O116" s="50"/>
      <c r="P116" s="52" t="s">
        <v>20</v>
      </c>
    </row>
    <row r="117" spans="1:16" ht="15.75" customHeight="1">
      <c r="A117" s="28">
        <v>2</v>
      </c>
      <c r="B117" s="32">
        <v>45699</v>
      </c>
      <c r="C117" s="36" t="s">
        <v>602</v>
      </c>
      <c r="D117" s="43">
        <v>1</v>
      </c>
      <c r="E117" s="48" t="s">
        <v>601</v>
      </c>
      <c r="F117" s="48" t="s">
        <v>555</v>
      </c>
      <c r="G117" s="49">
        <v>11</v>
      </c>
      <c r="H117" s="10">
        <v>11</v>
      </c>
      <c r="I117" s="52">
        <v>30</v>
      </c>
      <c r="J117" s="10">
        <v>30</v>
      </c>
      <c r="K117" s="55" t="s">
        <v>346</v>
      </c>
      <c r="L117" s="57">
        <v>0.6333333333333333</v>
      </c>
      <c r="M117" s="50">
        <v>19</v>
      </c>
      <c r="N117" s="61"/>
      <c r="O117" s="50"/>
      <c r="P117" s="52" t="s">
        <v>20</v>
      </c>
    </row>
    <row r="118" spans="1:16" ht="15.75" customHeight="1">
      <c r="A118" s="28">
        <v>2</v>
      </c>
      <c r="B118" s="32">
        <v>45699</v>
      </c>
      <c r="C118" s="36" t="s">
        <v>204</v>
      </c>
      <c r="D118" s="43">
        <v>1</v>
      </c>
      <c r="E118" s="48" t="s">
        <v>26</v>
      </c>
      <c r="F118" s="48" t="s">
        <v>555</v>
      </c>
      <c r="G118" s="49">
        <v>6</v>
      </c>
      <c r="H118" s="10">
        <v>6</v>
      </c>
      <c r="I118" s="52">
        <v>10</v>
      </c>
      <c r="J118" s="10">
        <v>10</v>
      </c>
      <c r="K118" s="55" t="s">
        <v>346</v>
      </c>
      <c r="L118" s="57">
        <v>0.4</v>
      </c>
      <c r="M118" s="50">
        <v>4</v>
      </c>
      <c r="N118" s="61"/>
      <c r="O118" s="50"/>
      <c r="P118" s="52" t="s">
        <v>20</v>
      </c>
    </row>
    <row r="119" spans="1:16" ht="15.75" customHeight="1">
      <c r="A119" s="28">
        <v>2</v>
      </c>
      <c r="B119" s="32">
        <v>45701</v>
      </c>
      <c r="C119" s="36" t="s">
        <v>563</v>
      </c>
      <c r="D119" s="43">
        <v>1</v>
      </c>
      <c r="E119" s="48" t="s">
        <v>42</v>
      </c>
      <c r="F119" s="48" t="s">
        <v>555</v>
      </c>
      <c r="G119" s="49" t="s">
        <v>79</v>
      </c>
      <c r="H119" s="10">
        <v>0</v>
      </c>
      <c r="I119" s="52">
        <v>125</v>
      </c>
      <c r="J119" s="10">
        <v>125</v>
      </c>
      <c r="K119" s="55" t="s">
        <v>346</v>
      </c>
      <c r="L119" s="57">
        <v>1</v>
      </c>
      <c r="M119" s="50">
        <v>125</v>
      </c>
      <c r="N119" s="61"/>
      <c r="O119" s="50"/>
      <c r="P119" s="52" t="s">
        <v>20</v>
      </c>
    </row>
    <row r="120" spans="1:16" ht="15.75" customHeight="1">
      <c r="A120" s="28">
        <v>2</v>
      </c>
      <c r="B120" s="32">
        <v>45701</v>
      </c>
      <c r="C120" s="36" t="s">
        <v>563</v>
      </c>
      <c r="D120" s="43">
        <v>1</v>
      </c>
      <c r="E120" s="48" t="s">
        <v>603</v>
      </c>
      <c r="F120" s="48" t="s">
        <v>555</v>
      </c>
      <c r="G120" s="49" t="s">
        <v>79</v>
      </c>
      <c r="H120" s="10">
        <v>0</v>
      </c>
      <c r="I120" s="52">
        <v>66</v>
      </c>
      <c r="J120" s="10">
        <v>66</v>
      </c>
      <c r="K120" s="55" t="s">
        <v>346</v>
      </c>
      <c r="L120" s="57">
        <v>1</v>
      </c>
      <c r="M120" s="50">
        <v>66</v>
      </c>
      <c r="N120" s="61"/>
      <c r="O120" s="50"/>
      <c r="P120" s="52" t="s">
        <v>20</v>
      </c>
    </row>
    <row r="121" spans="1:16" ht="15.75" customHeight="1">
      <c r="A121" s="28">
        <v>2</v>
      </c>
      <c r="B121" s="32">
        <v>45701</v>
      </c>
      <c r="C121" s="36" t="s">
        <v>323</v>
      </c>
      <c r="D121" s="43">
        <v>4</v>
      </c>
      <c r="E121" s="48" t="s">
        <v>604</v>
      </c>
      <c r="F121" s="48" t="s">
        <v>555</v>
      </c>
      <c r="G121" s="49">
        <v>7.0000000000000007E-2</v>
      </c>
      <c r="H121" s="10">
        <v>0.28000000000000003</v>
      </c>
      <c r="I121" s="52">
        <v>1</v>
      </c>
      <c r="J121" s="10">
        <v>4</v>
      </c>
      <c r="K121" s="55" t="s">
        <v>346</v>
      </c>
      <c r="L121" s="57">
        <v>0.92999999999999994</v>
      </c>
      <c r="M121" s="50">
        <v>3.7199999999999998</v>
      </c>
      <c r="N121" s="61"/>
      <c r="O121" s="50"/>
      <c r="P121" s="52" t="s">
        <v>20</v>
      </c>
    </row>
    <row r="122" spans="1:16" ht="15.75" customHeight="1">
      <c r="A122" s="28">
        <v>2</v>
      </c>
      <c r="B122" s="32">
        <v>45702</v>
      </c>
      <c r="C122" s="36" t="s">
        <v>323</v>
      </c>
      <c r="D122" s="43">
        <v>1</v>
      </c>
      <c r="E122" s="48" t="s">
        <v>348</v>
      </c>
      <c r="F122" s="48" t="s">
        <v>555</v>
      </c>
      <c r="G122" s="49">
        <v>7.0000000000000007E-2</v>
      </c>
      <c r="H122" s="10">
        <v>7.0000000000000007E-2</v>
      </c>
      <c r="I122" s="52">
        <v>1</v>
      </c>
      <c r="J122" s="10">
        <v>1</v>
      </c>
      <c r="K122" s="55" t="s">
        <v>346</v>
      </c>
      <c r="L122" s="57">
        <v>0.92999999999999994</v>
      </c>
      <c r="M122" s="50">
        <v>0.92999999999999994</v>
      </c>
      <c r="N122" s="61"/>
      <c r="O122" s="50"/>
      <c r="P122" s="52" t="s">
        <v>20</v>
      </c>
    </row>
    <row r="123" spans="1:16" ht="15.75" customHeight="1">
      <c r="A123" s="28">
        <v>2</v>
      </c>
      <c r="B123" s="32">
        <v>45702</v>
      </c>
      <c r="C123" s="36" t="s">
        <v>321</v>
      </c>
      <c r="D123" s="43">
        <v>1</v>
      </c>
      <c r="E123" s="48" t="s">
        <v>26</v>
      </c>
      <c r="F123" s="48" t="s">
        <v>555</v>
      </c>
      <c r="G123" s="49">
        <v>3</v>
      </c>
      <c r="H123" s="10">
        <v>3</v>
      </c>
      <c r="I123" s="52">
        <v>15</v>
      </c>
      <c r="J123" s="10">
        <v>15</v>
      </c>
      <c r="K123" s="55" t="s">
        <v>346</v>
      </c>
      <c r="L123" s="57">
        <v>0.8</v>
      </c>
      <c r="M123" s="50">
        <v>12</v>
      </c>
      <c r="N123" s="61"/>
      <c r="O123" s="50"/>
      <c r="P123" s="52" t="s">
        <v>20</v>
      </c>
    </row>
    <row r="124" spans="1:16" ht="15.75" customHeight="1">
      <c r="A124" s="28">
        <v>2</v>
      </c>
      <c r="B124" s="32">
        <v>45705</v>
      </c>
      <c r="C124" s="36" t="s">
        <v>323</v>
      </c>
      <c r="D124" s="43">
        <v>4</v>
      </c>
      <c r="E124" s="48" t="s">
        <v>26</v>
      </c>
      <c r="F124" s="48" t="s">
        <v>555</v>
      </c>
      <c r="G124" s="49">
        <v>7.0000000000000007E-2</v>
      </c>
      <c r="H124" s="10">
        <v>0.28000000000000003</v>
      </c>
      <c r="I124" s="52">
        <v>1</v>
      </c>
      <c r="J124" s="10">
        <v>4</v>
      </c>
      <c r="K124" s="55" t="s">
        <v>346</v>
      </c>
      <c r="L124" s="57">
        <v>0.92999999999999994</v>
      </c>
      <c r="M124" s="50">
        <v>3.7199999999999998</v>
      </c>
      <c r="N124" s="61"/>
      <c r="O124" s="50"/>
      <c r="P124" s="52" t="s">
        <v>20</v>
      </c>
    </row>
    <row r="125" spans="1:16" ht="15.75" customHeight="1">
      <c r="A125" s="28">
        <v>2</v>
      </c>
      <c r="B125" s="32">
        <v>45705</v>
      </c>
      <c r="C125" s="36" t="s">
        <v>426</v>
      </c>
      <c r="D125" s="43">
        <v>1</v>
      </c>
      <c r="E125" s="48" t="s">
        <v>26</v>
      </c>
      <c r="F125" s="48" t="s">
        <v>555</v>
      </c>
      <c r="G125" s="49">
        <v>17</v>
      </c>
      <c r="H125" s="10">
        <v>17</v>
      </c>
      <c r="I125" s="52">
        <v>50</v>
      </c>
      <c r="J125" s="10">
        <v>50</v>
      </c>
      <c r="K125" s="55" t="s">
        <v>346</v>
      </c>
      <c r="L125" s="57">
        <v>0.66</v>
      </c>
      <c r="M125" s="50">
        <v>33</v>
      </c>
      <c r="N125" s="61"/>
      <c r="O125" s="50"/>
      <c r="P125" s="52" t="s">
        <v>20</v>
      </c>
    </row>
    <row r="126" spans="1:16" ht="15.75" customHeight="1">
      <c r="A126" s="28">
        <v>2</v>
      </c>
      <c r="B126" s="32">
        <v>45706</v>
      </c>
      <c r="C126" s="36" t="s">
        <v>223</v>
      </c>
      <c r="D126" s="43">
        <v>1</v>
      </c>
      <c r="E126" s="48" t="s">
        <v>605</v>
      </c>
      <c r="F126" s="48" t="s">
        <v>555</v>
      </c>
      <c r="G126" s="49">
        <v>0</v>
      </c>
      <c r="H126" s="10">
        <v>0</v>
      </c>
      <c r="I126" s="52">
        <v>50</v>
      </c>
      <c r="J126" s="10">
        <v>50</v>
      </c>
      <c r="K126" s="55" t="s">
        <v>346</v>
      </c>
      <c r="L126" s="57">
        <v>1</v>
      </c>
      <c r="M126" s="50">
        <v>50</v>
      </c>
      <c r="N126" s="61"/>
      <c r="O126" s="50"/>
      <c r="P126" s="52" t="s">
        <v>20</v>
      </c>
    </row>
    <row r="127" spans="1:16" ht="15.75" customHeight="1">
      <c r="A127" s="28">
        <v>2</v>
      </c>
      <c r="B127" s="32">
        <v>45706</v>
      </c>
      <c r="C127" s="36" t="s">
        <v>589</v>
      </c>
      <c r="D127" s="43">
        <v>1</v>
      </c>
      <c r="E127" s="48" t="s">
        <v>605</v>
      </c>
      <c r="F127" s="48" t="s">
        <v>555</v>
      </c>
      <c r="G127" s="49">
        <v>0</v>
      </c>
      <c r="H127" s="10">
        <v>0</v>
      </c>
      <c r="I127" s="52">
        <v>150</v>
      </c>
      <c r="J127" s="10">
        <v>150</v>
      </c>
      <c r="K127" s="55" t="s">
        <v>346</v>
      </c>
      <c r="L127" s="57">
        <v>1</v>
      </c>
      <c r="M127" s="50">
        <v>150</v>
      </c>
      <c r="N127" s="61"/>
      <c r="O127" s="50"/>
      <c r="P127" s="52" t="s">
        <v>20</v>
      </c>
    </row>
    <row r="128" spans="1:16" ht="15.75" customHeight="1">
      <c r="A128" s="28">
        <v>2</v>
      </c>
      <c r="B128" s="32">
        <v>45706</v>
      </c>
      <c r="C128" s="36" t="s">
        <v>441</v>
      </c>
      <c r="D128" s="43">
        <v>1</v>
      </c>
      <c r="E128" s="48" t="s">
        <v>26</v>
      </c>
      <c r="F128" s="48" t="s">
        <v>555</v>
      </c>
      <c r="G128" s="49">
        <v>0</v>
      </c>
      <c r="H128" s="10">
        <v>0</v>
      </c>
      <c r="I128" s="52">
        <v>15</v>
      </c>
      <c r="J128" s="10">
        <v>15</v>
      </c>
      <c r="K128" s="55" t="s">
        <v>346</v>
      </c>
      <c r="L128" s="57">
        <v>1</v>
      </c>
      <c r="M128" s="50">
        <v>15</v>
      </c>
      <c r="N128" s="61"/>
      <c r="O128" s="50"/>
      <c r="P128" s="52" t="s">
        <v>20</v>
      </c>
    </row>
    <row r="129" spans="1:16" ht="15.75" customHeight="1">
      <c r="A129" s="28">
        <v>2</v>
      </c>
      <c r="B129" s="32">
        <v>45706</v>
      </c>
      <c r="C129" s="36" t="s">
        <v>441</v>
      </c>
      <c r="D129" s="43">
        <v>1</v>
      </c>
      <c r="E129" s="48" t="s">
        <v>26</v>
      </c>
      <c r="F129" s="48" t="s">
        <v>555</v>
      </c>
      <c r="G129" s="49">
        <v>0</v>
      </c>
      <c r="H129" s="10">
        <v>0</v>
      </c>
      <c r="I129" s="52">
        <v>15</v>
      </c>
      <c r="J129" s="10">
        <v>15</v>
      </c>
      <c r="K129" s="55" t="s">
        <v>346</v>
      </c>
      <c r="L129" s="57">
        <v>1</v>
      </c>
      <c r="M129" s="50">
        <v>15</v>
      </c>
      <c r="N129" s="61"/>
      <c r="O129" s="50"/>
      <c r="P129" s="52" t="s">
        <v>20</v>
      </c>
    </row>
    <row r="130" spans="1:16" ht="15.75" customHeight="1">
      <c r="A130" s="28">
        <v>2</v>
      </c>
      <c r="B130" s="32">
        <v>45706</v>
      </c>
      <c r="C130" s="36" t="s">
        <v>606</v>
      </c>
      <c r="D130" s="43">
        <v>1</v>
      </c>
      <c r="E130" s="48" t="s">
        <v>26</v>
      </c>
      <c r="F130" s="48" t="s">
        <v>555</v>
      </c>
      <c r="G130" s="49">
        <v>14</v>
      </c>
      <c r="H130" s="10">
        <v>14</v>
      </c>
      <c r="I130" s="52">
        <v>25</v>
      </c>
      <c r="J130" s="10">
        <v>25</v>
      </c>
      <c r="K130" s="55" t="s">
        <v>346</v>
      </c>
      <c r="L130" s="57">
        <v>0.44</v>
      </c>
      <c r="M130" s="50">
        <v>11</v>
      </c>
      <c r="N130" s="61"/>
      <c r="O130" s="50"/>
      <c r="P130" s="52" t="s">
        <v>20</v>
      </c>
    </row>
    <row r="131" spans="1:16" ht="15.75" customHeight="1">
      <c r="A131" s="28">
        <v>2</v>
      </c>
      <c r="B131" s="32">
        <v>45707</v>
      </c>
      <c r="C131" s="36" t="s">
        <v>334</v>
      </c>
      <c r="D131" s="43">
        <v>1</v>
      </c>
      <c r="E131" s="48" t="s">
        <v>26</v>
      </c>
      <c r="F131" s="48" t="s">
        <v>555</v>
      </c>
      <c r="G131" s="49">
        <v>0.05</v>
      </c>
      <c r="H131" s="10">
        <v>0.05</v>
      </c>
      <c r="I131" s="52">
        <v>0.5</v>
      </c>
      <c r="J131" s="10">
        <v>0.5</v>
      </c>
      <c r="K131" s="55" t="s">
        <v>346</v>
      </c>
      <c r="L131" s="57">
        <v>0.9</v>
      </c>
      <c r="M131" s="50">
        <v>0.45</v>
      </c>
      <c r="N131" s="61"/>
      <c r="O131" s="50"/>
      <c r="P131" s="52" t="s">
        <v>20</v>
      </c>
    </row>
    <row r="132" spans="1:16" ht="15.75" customHeight="1">
      <c r="A132" s="28">
        <v>2</v>
      </c>
      <c r="B132" s="32">
        <v>45707</v>
      </c>
      <c r="C132" s="36" t="s">
        <v>323</v>
      </c>
      <c r="D132" s="43">
        <v>1</v>
      </c>
      <c r="E132" s="48" t="s">
        <v>26</v>
      </c>
      <c r="F132" s="48" t="s">
        <v>555</v>
      </c>
      <c r="G132" s="49">
        <v>7.0000000000000007E-2</v>
      </c>
      <c r="H132" s="10">
        <v>7.0000000000000007E-2</v>
      </c>
      <c r="I132" s="52">
        <v>1</v>
      </c>
      <c r="J132" s="10">
        <v>1</v>
      </c>
      <c r="K132" s="55" t="s">
        <v>346</v>
      </c>
      <c r="L132" s="57">
        <v>0.92999999999999994</v>
      </c>
      <c r="M132" s="50">
        <v>0.92999999999999994</v>
      </c>
      <c r="N132" s="61"/>
      <c r="O132" s="50"/>
      <c r="P132" s="52" t="s">
        <v>20</v>
      </c>
    </row>
    <row r="133" spans="1:16" ht="15.75" customHeight="1">
      <c r="A133" s="28">
        <v>2</v>
      </c>
      <c r="B133" s="32">
        <v>45708</v>
      </c>
      <c r="C133" s="36" t="s">
        <v>441</v>
      </c>
      <c r="D133" s="43">
        <v>1</v>
      </c>
      <c r="E133" s="48" t="s">
        <v>26</v>
      </c>
      <c r="F133" s="48" t="s">
        <v>555</v>
      </c>
      <c r="G133" s="49">
        <v>0</v>
      </c>
      <c r="H133" s="10">
        <v>0</v>
      </c>
      <c r="I133" s="52">
        <v>15</v>
      </c>
      <c r="J133" s="10">
        <v>15</v>
      </c>
      <c r="K133" s="55" t="s">
        <v>346</v>
      </c>
      <c r="L133" s="57">
        <v>1</v>
      </c>
      <c r="M133" s="50">
        <v>15</v>
      </c>
      <c r="N133" s="61"/>
      <c r="O133" s="50"/>
      <c r="P133" s="52" t="s">
        <v>20</v>
      </c>
    </row>
    <row r="134" spans="1:16" ht="15.75" customHeight="1">
      <c r="A134" s="28">
        <v>2</v>
      </c>
      <c r="B134" s="32">
        <v>45708</v>
      </c>
      <c r="C134" s="36" t="s">
        <v>441</v>
      </c>
      <c r="D134" s="43">
        <v>1</v>
      </c>
      <c r="E134" s="48" t="s">
        <v>26</v>
      </c>
      <c r="F134" s="48" t="s">
        <v>555</v>
      </c>
      <c r="G134" s="49">
        <v>0</v>
      </c>
      <c r="H134" s="10">
        <v>0</v>
      </c>
      <c r="I134" s="52">
        <v>15</v>
      </c>
      <c r="J134" s="10">
        <v>15</v>
      </c>
      <c r="K134" s="55" t="s">
        <v>346</v>
      </c>
      <c r="L134" s="57">
        <v>1</v>
      </c>
      <c r="M134" s="50">
        <v>15</v>
      </c>
      <c r="N134" s="61"/>
      <c r="O134" s="50"/>
      <c r="P134" s="52" t="s">
        <v>20</v>
      </c>
    </row>
    <row r="135" spans="1:16" ht="15.75" customHeight="1">
      <c r="A135" s="28">
        <v>2</v>
      </c>
      <c r="B135" s="32">
        <v>45708</v>
      </c>
      <c r="C135" s="36" t="s">
        <v>274</v>
      </c>
      <c r="D135" s="43">
        <v>1</v>
      </c>
      <c r="E135" s="48" t="s">
        <v>26</v>
      </c>
      <c r="F135" s="48" t="s">
        <v>555</v>
      </c>
      <c r="G135" s="49">
        <v>0</v>
      </c>
      <c r="H135" s="10">
        <v>0</v>
      </c>
      <c r="I135" s="52">
        <v>20</v>
      </c>
      <c r="J135" s="10">
        <v>20</v>
      </c>
      <c r="K135" s="55" t="s">
        <v>346</v>
      </c>
      <c r="L135" s="57">
        <v>1</v>
      </c>
      <c r="M135" s="50">
        <v>20</v>
      </c>
      <c r="N135" s="61"/>
      <c r="O135" s="50"/>
      <c r="P135" s="52" t="s">
        <v>20</v>
      </c>
    </row>
    <row r="136" spans="1:16" ht="15.75" customHeight="1">
      <c r="A136" s="28">
        <v>2</v>
      </c>
      <c r="B136" s="32">
        <v>45709</v>
      </c>
      <c r="C136" s="36" t="s">
        <v>323</v>
      </c>
      <c r="D136" s="43">
        <v>1</v>
      </c>
      <c r="E136" s="48" t="s">
        <v>26</v>
      </c>
      <c r="F136" s="48" t="s">
        <v>555</v>
      </c>
      <c r="G136" s="49">
        <v>7.0000000000000007E-2</v>
      </c>
      <c r="H136" s="10">
        <v>7.0000000000000007E-2</v>
      </c>
      <c r="I136" s="52">
        <v>1</v>
      </c>
      <c r="J136" s="10">
        <v>1</v>
      </c>
      <c r="K136" s="55" t="s">
        <v>346</v>
      </c>
      <c r="L136" s="57">
        <v>0.92999999999999994</v>
      </c>
      <c r="M136" s="50">
        <v>0.92999999999999994</v>
      </c>
      <c r="N136" s="61"/>
      <c r="O136" s="50"/>
      <c r="P136" s="52" t="s">
        <v>20</v>
      </c>
    </row>
    <row r="137" spans="1:16" ht="15.75" customHeight="1">
      <c r="A137" s="28">
        <v>2</v>
      </c>
      <c r="B137" s="32">
        <v>45709</v>
      </c>
      <c r="C137" s="36" t="s">
        <v>323</v>
      </c>
      <c r="D137" s="43">
        <v>4</v>
      </c>
      <c r="E137" s="48" t="s">
        <v>26</v>
      </c>
      <c r="F137" s="48" t="s">
        <v>555</v>
      </c>
      <c r="G137" s="49">
        <v>7.0000000000000007E-2</v>
      </c>
      <c r="H137" s="10">
        <v>0.28000000000000003</v>
      </c>
      <c r="I137" s="52">
        <v>1</v>
      </c>
      <c r="J137" s="10">
        <v>4</v>
      </c>
      <c r="K137" s="55" t="s">
        <v>346</v>
      </c>
      <c r="L137" s="57">
        <v>0.92999999999999994</v>
      </c>
      <c r="M137" s="50">
        <v>3.7199999999999998</v>
      </c>
      <c r="N137" s="61"/>
      <c r="O137" s="50"/>
      <c r="P137" s="52" t="s">
        <v>20</v>
      </c>
    </row>
    <row r="138" spans="1:16" ht="15.75" customHeight="1">
      <c r="A138" s="28">
        <v>2</v>
      </c>
      <c r="B138" s="32">
        <v>45709</v>
      </c>
      <c r="C138" s="36" t="s">
        <v>398</v>
      </c>
      <c r="D138" s="43">
        <v>1</v>
      </c>
      <c r="E138" s="48" t="s">
        <v>26</v>
      </c>
      <c r="F138" s="48" t="s">
        <v>555</v>
      </c>
      <c r="G138" s="49">
        <v>0.39549999999999996</v>
      </c>
      <c r="H138" s="10">
        <v>0.39549999999999996</v>
      </c>
      <c r="I138" s="52">
        <v>2</v>
      </c>
      <c r="J138" s="10">
        <v>2</v>
      </c>
      <c r="K138" s="55" t="s">
        <v>346</v>
      </c>
      <c r="L138" s="57">
        <v>0.80225000000000002</v>
      </c>
      <c r="M138" s="50">
        <v>1.6045</v>
      </c>
      <c r="N138" s="61"/>
      <c r="O138" s="50"/>
      <c r="P138" s="52" t="s">
        <v>20</v>
      </c>
    </row>
    <row r="139" spans="1:16" ht="15.75" customHeight="1">
      <c r="A139" s="28">
        <v>2</v>
      </c>
      <c r="B139" s="32">
        <v>45710</v>
      </c>
      <c r="C139" s="36" t="s">
        <v>321</v>
      </c>
      <c r="D139" s="43">
        <v>1</v>
      </c>
      <c r="E139" s="48" t="s">
        <v>26</v>
      </c>
      <c r="F139" s="48" t="s">
        <v>555</v>
      </c>
      <c r="G139" s="49">
        <v>3</v>
      </c>
      <c r="H139" s="10">
        <v>3</v>
      </c>
      <c r="I139" s="52">
        <v>15</v>
      </c>
      <c r="J139" s="10">
        <v>15</v>
      </c>
      <c r="K139" s="55" t="s">
        <v>346</v>
      </c>
      <c r="L139" s="57">
        <v>0.8</v>
      </c>
      <c r="M139" s="50">
        <v>12</v>
      </c>
      <c r="N139" s="61"/>
      <c r="O139" s="50"/>
      <c r="P139" s="52" t="s">
        <v>20</v>
      </c>
    </row>
    <row r="140" spans="1:16" ht="15.75" customHeight="1">
      <c r="A140" s="28">
        <v>2</v>
      </c>
      <c r="B140" s="32">
        <v>45710</v>
      </c>
      <c r="C140" s="36" t="s">
        <v>236</v>
      </c>
      <c r="D140" s="43">
        <v>1</v>
      </c>
      <c r="E140" s="48" t="s">
        <v>26</v>
      </c>
      <c r="F140" s="48" t="s">
        <v>555</v>
      </c>
      <c r="G140" s="49">
        <v>20</v>
      </c>
      <c r="H140" s="10">
        <v>20</v>
      </c>
      <c r="I140" s="52">
        <v>25</v>
      </c>
      <c r="J140" s="10">
        <v>25</v>
      </c>
      <c r="K140" s="55" t="s">
        <v>346</v>
      </c>
      <c r="L140" s="57">
        <v>0.2</v>
      </c>
      <c r="M140" s="50">
        <v>5</v>
      </c>
      <c r="N140" s="61"/>
      <c r="O140" s="50"/>
      <c r="P140" s="52" t="s">
        <v>20</v>
      </c>
    </row>
    <row r="141" spans="1:16" ht="15.75" customHeight="1">
      <c r="A141" s="28">
        <v>2</v>
      </c>
      <c r="B141" s="32">
        <v>45710</v>
      </c>
      <c r="C141" s="36" t="s">
        <v>607</v>
      </c>
      <c r="D141" s="43">
        <v>1</v>
      </c>
      <c r="E141" s="48" t="s">
        <v>26</v>
      </c>
      <c r="F141" s="48" t="s">
        <v>555</v>
      </c>
      <c r="G141" s="49">
        <v>10</v>
      </c>
      <c r="H141" s="10">
        <v>10</v>
      </c>
      <c r="I141" s="52">
        <v>30</v>
      </c>
      <c r="J141" s="10">
        <v>30</v>
      </c>
      <c r="K141" s="55" t="s">
        <v>346</v>
      </c>
      <c r="L141" s="57">
        <v>0.66666666666666663</v>
      </c>
      <c r="M141" s="50">
        <v>20</v>
      </c>
      <c r="N141" s="61"/>
      <c r="O141" s="50"/>
      <c r="P141" s="52" t="s">
        <v>20</v>
      </c>
    </row>
    <row r="142" spans="1:16" ht="15.75" customHeight="1">
      <c r="A142" s="28">
        <v>2</v>
      </c>
      <c r="B142" s="32">
        <v>45710</v>
      </c>
      <c r="C142" s="36" t="s">
        <v>505</v>
      </c>
      <c r="D142" s="43">
        <v>6</v>
      </c>
      <c r="E142" s="48" t="s">
        <v>26</v>
      </c>
      <c r="F142" s="48" t="s">
        <v>555</v>
      </c>
      <c r="G142" s="49">
        <v>0.29425000000000001</v>
      </c>
      <c r="H142" s="10">
        <v>1.7655000000000001</v>
      </c>
      <c r="I142" s="52">
        <v>5</v>
      </c>
      <c r="J142" s="10">
        <v>30</v>
      </c>
      <c r="K142" s="55" t="s">
        <v>346</v>
      </c>
      <c r="L142" s="57">
        <v>0.94115000000000004</v>
      </c>
      <c r="M142" s="50">
        <v>28.234500000000001</v>
      </c>
      <c r="N142" s="61"/>
      <c r="O142" s="50"/>
      <c r="P142" s="52" t="s">
        <v>20</v>
      </c>
    </row>
    <row r="143" spans="1:16" ht="15.75" customHeight="1">
      <c r="A143" s="28">
        <v>2</v>
      </c>
      <c r="B143" s="32">
        <v>45710</v>
      </c>
      <c r="C143" s="36" t="s">
        <v>532</v>
      </c>
      <c r="D143" s="43">
        <v>1</v>
      </c>
      <c r="E143" s="48" t="s">
        <v>583</v>
      </c>
      <c r="F143" s="48" t="s">
        <v>555</v>
      </c>
      <c r="G143" s="49">
        <v>1.5</v>
      </c>
      <c r="H143" s="10">
        <v>1.5</v>
      </c>
      <c r="I143" s="52">
        <v>5</v>
      </c>
      <c r="J143" s="10">
        <v>5</v>
      </c>
      <c r="K143" s="55" t="s">
        <v>346</v>
      </c>
      <c r="L143" s="57">
        <v>0.7</v>
      </c>
      <c r="M143" s="50">
        <v>3.5</v>
      </c>
      <c r="N143" s="61"/>
      <c r="O143" s="50"/>
      <c r="P143" s="52" t="s">
        <v>20</v>
      </c>
    </row>
    <row r="144" spans="1:16" ht="15.75" customHeight="1">
      <c r="A144" s="28">
        <v>2</v>
      </c>
      <c r="B144" s="32">
        <v>45710</v>
      </c>
      <c r="C144" s="36" t="s">
        <v>321</v>
      </c>
      <c r="D144" s="43">
        <v>1</v>
      </c>
      <c r="E144" s="48" t="s">
        <v>26</v>
      </c>
      <c r="F144" s="48" t="s">
        <v>555</v>
      </c>
      <c r="G144" s="49">
        <v>3</v>
      </c>
      <c r="H144" s="10">
        <v>3</v>
      </c>
      <c r="I144" s="52">
        <v>15</v>
      </c>
      <c r="J144" s="10">
        <v>15</v>
      </c>
      <c r="K144" s="55" t="s">
        <v>346</v>
      </c>
      <c r="L144" s="57">
        <v>0.8</v>
      </c>
      <c r="M144" s="50">
        <v>12</v>
      </c>
      <c r="N144" s="61"/>
      <c r="O144" s="50"/>
      <c r="P144" s="52" t="s">
        <v>20</v>
      </c>
    </row>
    <row r="145" spans="1:16" ht="15.75" customHeight="1">
      <c r="A145" s="28">
        <v>2</v>
      </c>
      <c r="B145" s="32">
        <v>45710</v>
      </c>
      <c r="C145" s="36" t="s">
        <v>323</v>
      </c>
      <c r="D145" s="43">
        <v>5</v>
      </c>
      <c r="E145" s="48" t="s">
        <v>26</v>
      </c>
      <c r="F145" s="48" t="s">
        <v>555</v>
      </c>
      <c r="G145" s="49">
        <v>7.0000000000000007E-2</v>
      </c>
      <c r="H145" s="10">
        <v>0.35000000000000003</v>
      </c>
      <c r="I145" s="52">
        <v>1</v>
      </c>
      <c r="J145" s="10">
        <v>5</v>
      </c>
      <c r="K145" s="55" t="s">
        <v>346</v>
      </c>
      <c r="L145" s="57">
        <v>0.93</v>
      </c>
      <c r="M145" s="50">
        <v>4.6500000000000004</v>
      </c>
      <c r="N145" s="61"/>
      <c r="O145" s="50"/>
      <c r="P145" s="52" t="s">
        <v>20</v>
      </c>
    </row>
    <row r="146" spans="1:16" ht="15.75" customHeight="1">
      <c r="A146" s="28">
        <v>2</v>
      </c>
      <c r="B146" s="32">
        <v>45712</v>
      </c>
      <c r="C146" s="36" t="s">
        <v>441</v>
      </c>
      <c r="D146" s="43">
        <v>2</v>
      </c>
      <c r="E146" s="48" t="s">
        <v>26</v>
      </c>
      <c r="F146" s="48" t="s">
        <v>555</v>
      </c>
      <c r="G146" s="49">
        <v>0</v>
      </c>
      <c r="H146" s="10">
        <v>0</v>
      </c>
      <c r="I146" s="52">
        <v>15</v>
      </c>
      <c r="J146" s="10">
        <v>30</v>
      </c>
      <c r="K146" s="55" t="s">
        <v>346</v>
      </c>
      <c r="L146" s="57">
        <v>1</v>
      </c>
      <c r="M146" s="50">
        <v>30</v>
      </c>
      <c r="N146" s="61"/>
      <c r="O146" s="50"/>
      <c r="P146" s="52" t="s">
        <v>20</v>
      </c>
    </row>
    <row r="147" spans="1:16" ht="15.75" customHeight="1">
      <c r="A147" s="28">
        <v>2</v>
      </c>
      <c r="B147" s="32">
        <v>45713</v>
      </c>
      <c r="C147" s="36" t="s">
        <v>323</v>
      </c>
      <c r="D147" s="43">
        <v>1</v>
      </c>
      <c r="E147" s="48" t="s">
        <v>26</v>
      </c>
      <c r="F147" s="48" t="s">
        <v>555</v>
      </c>
      <c r="G147" s="49">
        <v>7.0000000000000007E-2</v>
      </c>
      <c r="H147" s="10">
        <v>7.0000000000000007E-2</v>
      </c>
      <c r="I147" s="52">
        <v>1</v>
      </c>
      <c r="J147" s="10">
        <v>1</v>
      </c>
      <c r="K147" s="55" t="s">
        <v>346</v>
      </c>
      <c r="L147" s="57">
        <v>0.92999999999999994</v>
      </c>
      <c r="M147" s="50">
        <v>0.92999999999999994</v>
      </c>
      <c r="N147" s="61"/>
      <c r="O147" s="50"/>
      <c r="P147" s="52" t="s">
        <v>20</v>
      </c>
    </row>
    <row r="148" spans="1:16" ht="15.75" customHeight="1">
      <c r="A148" s="28">
        <v>2</v>
      </c>
      <c r="B148" s="32">
        <v>45714</v>
      </c>
      <c r="C148" s="36" t="s">
        <v>476</v>
      </c>
      <c r="D148" s="43">
        <v>1</v>
      </c>
      <c r="E148" s="48" t="s">
        <v>583</v>
      </c>
      <c r="F148" s="48" t="s">
        <v>555</v>
      </c>
      <c r="G148" s="49">
        <v>9</v>
      </c>
      <c r="H148" s="10">
        <v>9</v>
      </c>
      <c r="I148" s="52">
        <v>30</v>
      </c>
      <c r="J148" s="10">
        <v>30</v>
      </c>
      <c r="K148" s="55" t="s">
        <v>346</v>
      </c>
      <c r="L148" s="57">
        <v>0.7</v>
      </c>
      <c r="M148" s="50">
        <v>21</v>
      </c>
      <c r="N148" s="61"/>
      <c r="O148" s="50"/>
      <c r="P148" s="52" t="s">
        <v>20</v>
      </c>
    </row>
    <row r="149" spans="1:16" ht="15.75" customHeight="1">
      <c r="A149" s="28">
        <v>2</v>
      </c>
      <c r="B149" s="32">
        <v>45715</v>
      </c>
      <c r="C149" s="36" t="s">
        <v>323</v>
      </c>
      <c r="D149" s="43">
        <v>3</v>
      </c>
      <c r="E149" s="48" t="s">
        <v>26</v>
      </c>
      <c r="F149" s="48" t="s">
        <v>555</v>
      </c>
      <c r="G149" s="49">
        <v>7.0000000000000007E-2</v>
      </c>
      <c r="H149" s="10">
        <v>0.21000000000000002</v>
      </c>
      <c r="I149" s="52">
        <v>1</v>
      </c>
      <c r="J149" s="10">
        <v>3</v>
      </c>
      <c r="K149" s="55" t="s">
        <v>346</v>
      </c>
      <c r="L149" s="57">
        <v>0.93</v>
      </c>
      <c r="M149" s="50">
        <v>2.79</v>
      </c>
      <c r="N149" s="61"/>
      <c r="O149" s="50"/>
      <c r="P149" s="52" t="s">
        <v>20</v>
      </c>
    </row>
    <row r="150" spans="1:16" ht="15.75" customHeight="1">
      <c r="A150" s="28">
        <v>2</v>
      </c>
      <c r="B150" s="32">
        <v>45708</v>
      </c>
      <c r="C150" s="36" t="s">
        <v>326</v>
      </c>
      <c r="D150" s="43">
        <v>1</v>
      </c>
      <c r="E150" s="48" t="s">
        <v>583</v>
      </c>
      <c r="F150" s="48" t="s">
        <v>555</v>
      </c>
      <c r="G150" s="49">
        <v>13.5</v>
      </c>
      <c r="H150" s="10">
        <v>13.5</v>
      </c>
      <c r="I150" s="52">
        <v>25</v>
      </c>
      <c r="J150" s="10">
        <v>25</v>
      </c>
      <c r="K150" s="55" t="s">
        <v>346</v>
      </c>
      <c r="L150" s="57">
        <v>0.46</v>
      </c>
      <c r="M150" s="50">
        <v>11.5</v>
      </c>
      <c r="N150" s="61"/>
      <c r="O150" s="50">
        <v>25</v>
      </c>
      <c r="P150" s="52" t="s">
        <v>135</v>
      </c>
    </row>
    <row r="151" spans="1:16" ht="15.75" customHeight="1">
      <c r="A151" s="28">
        <v>2</v>
      </c>
      <c r="B151" s="32">
        <v>45716</v>
      </c>
      <c r="C151" s="36" t="s">
        <v>334</v>
      </c>
      <c r="D151" s="43">
        <v>2</v>
      </c>
      <c r="E151" s="48" t="s">
        <v>26</v>
      </c>
      <c r="F151" s="48" t="s">
        <v>555</v>
      </c>
      <c r="G151" s="49">
        <v>0.05</v>
      </c>
      <c r="H151" s="10">
        <v>0.1</v>
      </c>
      <c r="I151" s="52">
        <v>0.5</v>
      </c>
      <c r="J151" s="10">
        <v>1</v>
      </c>
      <c r="K151" s="55" t="s">
        <v>346</v>
      </c>
      <c r="L151" s="57">
        <v>0.9</v>
      </c>
      <c r="M151" s="50">
        <v>0.9</v>
      </c>
      <c r="N151" s="61"/>
      <c r="O151" s="50"/>
      <c r="P151" s="52" t="s">
        <v>20</v>
      </c>
    </row>
    <row r="152" spans="1:16" ht="15.75" customHeight="1">
      <c r="A152" s="28">
        <v>2</v>
      </c>
      <c r="B152" s="32">
        <v>45716</v>
      </c>
      <c r="C152" s="36" t="s">
        <v>323</v>
      </c>
      <c r="D152" s="43">
        <v>1</v>
      </c>
      <c r="E152" s="48" t="s">
        <v>455</v>
      </c>
      <c r="F152" s="48" t="s">
        <v>555</v>
      </c>
      <c r="G152" s="49">
        <v>7.0000000000000007E-2</v>
      </c>
      <c r="H152" s="10">
        <v>7.0000000000000007E-2</v>
      </c>
      <c r="I152" s="52">
        <v>1</v>
      </c>
      <c r="J152" s="10">
        <v>1</v>
      </c>
      <c r="K152" s="55" t="s">
        <v>346</v>
      </c>
      <c r="L152" s="57">
        <v>0.92999999999999994</v>
      </c>
      <c r="M152" s="50">
        <v>0.92999999999999994</v>
      </c>
      <c r="N152" s="61"/>
      <c r="O152" s="50"/>
      <c r="P152" s="52" t="s">
        <v>20</v>
      </c>
    </row>
    <row r="153" spans="1:16" ht="24.75" customHeight="1">
      <c r="A153" s="73">
        <v>2</v>
      </c>
      <c r="B153" s="76">
        <v>45716</v>
      </c>
      <c r="C153" s="79" t="s">
        <v>227</v>
      </c>
      <c r="D153" s="84">
        <v>1</v>
      </c>
      <c r="E153" s="87" t="s">
        <v>26</v>
      </c>
      <c r="F153" s="87" t="s">
        <v>555</v>
      </c>
      <c r="G153" s="90">
        <v>50</v>
      </c>
      <c r="H153" s="69">
        <v>50</v>
      </c>
      <c r="I153" s="92">
        <v>75</v>
      </c>
      <c r="J153" s="69">
        <v>75</v>
      </c>
      <c r="K153" s="55" t="s">
        <v>346</v>
      </c>
      <c r="L153" s="57">
        <v>0.33333333333333331</v>
      </c>
      <c r="M153" s="50">
        <v>25</v>
      </c>
      <c r="N153" s="61"/>
      <c r="O153" s="50"/>
      <c r="P153" s="92" t="s">
        <v>20</v>
      </c>
    </row>
    <row r="154" spans="1:16" ht="15.75" customHeight="1" collapsed="1">
      <c r="A154" s="28">
        <v>3</v>
      </c>
      <c r="B154" s="32">
        <v>45717</v>
      </c>
      <c r="C154" s="36" t="s">
        <v>608</v>
      </c>
      <c r="D154" s="43">
        <v>1</v>
      </c>
      <c r="E154" s="48" t="s">
        <v>609</v>
      </c>
      <c r="F154" s="48" t="s">
        <v>555</v>
      </c>
      <c r="G154" s="49" t="s">
        <v>79</v>
      </c>
      <c r="H154" s="10">
        <v>0</v>
      </c>
      <c r="I154" s="52">
        <v>40</v>
      </c>
      <c r="J154" s="10">
        <v>40</v>
      </c>
      <c r="K154" s="95" t="s">
        <v>346</v>
      </c>
      <c r="L154" s="57">
        <v>1</v>
      </c>
      <c r="M154" s="50">
        <v>40</v>
      </c>
      <c r="N154" s="64"/>
      <c r="O154" s="103"/>
      <c r="P154" s="52" t="s">
        <v>20</v>
      </c>
    </row>
    <row r="155" spans="1:16" ht="15.75" customHeight="1">
      <c r="A155" s="72">
        <v>3</v>
      </c>
      <c r="B155" s="75">
        <v>45721</v>
      </c>
      <c r="C155" s="78" t="s">
        <v>274</v>
      </c>
      <c r="D155" s="83">
        <v>1</v>
      </c>
      <c r="E155" s="86" t="s">
        <v>26</v>
      </c>
      <c r="F155" s="86" t="s">
        <v>555</v>
      </c>
      <c r="G155" s="89">
        <v>0</v>
      </c>
      <c r="H155" s="10">
        <v>0</v>
      </c>
      <c r="I155" s="91">
        <v>5</v>
      </c>
      <c r="J155" s="68">
        <v>5</v>
      </c>
      <c r="K155" s="55" t="s">
        <v>346</v>
      </c>
      <c r="L155" s="57">
        <v>1</v>
      </c>
      <c r="M155" s="50">
        <v>5</v>
      </c>
      <c r="N155" s="64"/>
      <c r="O155" s="50"/>
      <c r="P155" s="91" t="s">
        <v>20</v>
      </c>
    </row>
    <row r="156" spans="1:16" ht="15.75" customHeight="1">
      <c r="A156" s="28">
        <v>3</v>
      </c>
      <c r="B156" s="32">
        <v>45721</v>
      </c>
      <c r="C156" s="36" t="s">
        <v>323</v>
      </c>
      <c r="D156" s="43">
        <v>1</v>
      </c>
      <c r="E156" s="48" t="s">
        <v>26</v>
      </c>
      <c r="F156" s="48" t="s">
        <v>555</v>
      </c>
      <c r="G156" s="49">
        <v>7.0000000000000007E-2</v>
      </c>
      <c r="H156" s="10">
        <v>7.0000000000000007E-2</v>
      </c>
      <c r="I156" s="52">
        <v>1</v>
      </c>
      <c r="J156" s="10">
        <v>1</v>
      </c>
      <c r="K156" s="55" t="s">
        <v>346</v>
      </c>
      <c r="L156" s="57">
        <v>0.92999999999999994</v>
      </c>
      <c r="M156" s="50">
        <v>0.92999999999999994</v>
      </c>
      <c r="N156" s="64"/>
      <c r="O156" s="50"/>
      <c r="P156" s="52" t="s">
        <v>20</v>
      </c>
    </row>
    <row r="157" spans="1:16" ht="15.75" customHeight="1">
      <c r="A157" s="28">
        <v>3</v>
      </c>
      <c r="B157" s="32">
        <v>45721</v>
      </c>
      <c r="C157" s="36" t="s">
        <v>610</v>
      </c>
      <c r="D157" s="43">
        <v>1</v>
      </c>
      <c r="E157" s="48" t="s">
        <v>26</v>
      </c>
      <c r="F157" s="48" t="s">
        <v>555</v>
      </c>
      <c r="G157" s="49">
        <v>8.5</v>
      </c>
      <c r="H157" s="10">
        <v>8.5</v>
      </c>
      <c r="I157" s="52">
        <v>20</v>
      </c>
      <c r="J157" s="10">
        <v>20</v>
      </c>
      <c r="K157" s="55" t="s">
        <v>346</v>
      </c>
      <c r="L157" s="57">
        <v>0.57499999999999996</v>
      </c>
      <c r="M157" s="50">
        <v>11.5</v>
      </c>
      <c r="N157" s="64"/>
      <c r="O157" s="50"/>
      <c r="P157" s="52" t="s">
        <v>20</v>
      </c>
    </row>
    <row r="158" spans="1:16" ht="15.75" customHeight="1">
      <c r="A158" s="28">
        <v>3</v>
      </c>
      <c r="B158" s="32">
        <v>45722</v>
      </c>
      <c r="C158" s="36" t="s">
        <v>526</v>
      </c>
      <c r="D158" s="43">
        <v>1</v>
      </c>
      <c r="E158" s="48" t="s">
        <v>611</v>
      </c>
      <c r="F158" s="48" t="s">
        <v>555</v>
      </c>
      <c r="G158" s="49">
        <v>95</v>
      </c>
      <c r="H158" s="10">
        <v>95</v>
      </c>
      <c r="I158" s="52">
        <v>200</v>
      </c>
      <c r="J158" s="10">
        <v>200</v>
      </c>
      <c r="K158" s="55" t="s">
        <v>346</v>
      </c>
      <c r="L158" s="57">
        <v>0.52500000000000002</v>
      </c>
      <c r="M158" s="50">
        <v>105</v>
      </c>
      <c r="N158" s="64"/>
      <c r="O158" s="50"/>
      <c r="P158" s="52" t="s">
        <v>20</v>
      </c>
    </row>
    <row r="159" spans="1:16" ht="15.75" customHeight="1">
      <c r="A159" s="28">
        <v>3</v>
      </c>
      <c r="B159" s="32">
        <v>45722</v>
      </c>
      <c r="C159" s="36" t="s">
        <v>390</v>
      </c>
      <c r="D159" s="43">
        <v>1</v>
      </c>
      <c r="E159" s="48" t="s">
        <v>611</v>
      </c>
      <c r="F159" s="48" t="s">
        <v>555</v>
      </c>
      <c r="G159" s="49">
        <v>0</v>
      </c>
      <c r="H159" s="10">
        <v>0</v>
      </c>
      <c r="I159" s="52">
        <v>220</v>
      </c>
      <c r="J159" s="10">
        <v>220</v>
      </c>
      <c r="K159" s="55" t="s">
        <v>346</v>
      </c>
      <c r="L159" s="57">
        <v>1</v>
      </c>
      <c r="M159" s="50">
        <v>220</v>
      </c>
      <c r="N159" s="64"/>
      <c r="O159" s="50"/>
      <c r="P159" s="52" t="s">
        <v>20</v>
      </c>
    </row>
    <row r="160" spans="1:16" ht="15.75" customHeight="1">
      <c r="A160" s="28">
        <v>3</v>
      </c>
      <c r="B160" s="32">
        <v>45722</v>
      </c>
      <c r="C160" s="36" t="s">
        <v>585</v>
      </c>
      <c r="D160" s="43">
        <v>1</v>
      </c>
      <c r="E160" s="48" t="s">
        <v>611</v>
      </c>
      <c r="F160" s="48" t="s">
        <v>555</v>
      </c>
      <c r="G160" s="49">
        <v>11</v>
      </c>
      <c r="H160" s="10">
        <v>11</v>
      </c>
      <c r="I160" s="52">
        <v>20</v>
      </c>
      <c r="J160" s="10">
        <v>20</v>
      </c>
      <c r="K160" s="55" t="s">
        <v>346</v>
      </c>
      <c r="L160" s="57">
        <v>0.45</v>
      </c>
      <c r="M160" s="50">
        <v>9</v>
      </c>
      <c r="N160" s="64"/>
      <c r="O160" s="50"/>
      <c r="P160" s="52" t="s">
        <v>20</v>
      </c>
    </row>
    <row r="161" spans="1:16" ht="15.75" customHeight="1">
      <c r="A161" s="28">
        <v>3</v>
      </c>
      <c r="B161" s="32">
        <v>45723</v>
      </c>
      <c r="C161" s="36" t="s">
        <v>441</v>
      </c>
      <c r="D161" s="43">
        <v>1</v>
      </c>
      <c r="E161" s="48" t="s">
        <v>26</v>
      </c>
      <c r="F161" s="48" t="s">
        <v>555</v>
      </c>
      <c r="G161" s="49">
        <v>0</v>
      </c>
      <c r="H161" s="10">
        <v>0</v>
      </c>
      <c r="I161" s="52">
        <v>14</v>
      </c>
      <c r="J161" s="10">
        <v>14</v>
      </c>
      <c r="K161" s="55" t="s">
        <v>346</v>
      </c>
      <c r="L161" s="57">
        <v>1</v>
      </c>
      <c r="M161" s="50">
        <v>14</v>
      </c>
      <c r="N161" s="64"/>
      <c r="O161" s="50"/>
      <c r="P161" s="52" t="s">
        <v>20</v>
      </c>
    </row>
    <row r="162" spans="1:16" ht="15.75" customHeight="1">
      <c r="A162" s="28">
        <v>3</v>
      </c>
      <c r="B162" s="32">
        <v>45722</v>
      </c>
      <c r="C162" s="36" t="s">
        <v>607</v>
      </c>
      <c r="D162" s="43">
        <v>1</v>
      </c>
      <c r="E162" s="48" t="s">
        <v>26</v>
      </c>
      <c r="F162" s="48" t="s">
        <v>555</v>
      </c>
      <c r="G162" s="49">
        <v>10</v>
      </c>
      <c r="H162" s="10">
        <v>10</v>
      </c>
      <c r="I162" s="52">
        <v>30</v>
      </c>
      <c r="J162" s="10">
        <v>30</v>
      </c>
      <c r="K162" s="55" t="s">
        <v>346</v>
      </c>
      <c r="L162" s="57">
        <v>0.66666666666666663</v>
      </c>
      <c r="M162" s="50">
        <v>20</v>
      </c>
      <c r="N162" s="64"/>
      <c r="O162" s="50"/>
      <c r="P162" s="52" t="s">
        <v>20</v>
      </c>
    </row>
    <row r="163" spans="1:16" ht="15.75" customHeight="1">
      <c r="A163" s="28">
        <v>3</v>
      </c>
      <c r="B163" s="32">
        <v>45722</v>
      </c>
      <c r="C163" s="36" t="s">
        <v>612</v>
      </c>
      <c r="D163" s="43">
        <v>1</v>
      </c>
      <c r="E163" s="48" t="s">
        <v>613</v>
      </c>
      <c r="F163" s="48" t="s">
        <v>555</v>
      </c>
      <c r="G163" s="49">
        <v>115</v>
      </c>
      <c r="H163" s="10">
        <v>115</v>
      </c>
      <c r="I163" s="52">
        <v>165</v>
      </c>
      <c r="J163" s="10">
        <v>165</v>
      </c>
      <c r="K163" s="55" t="s">
        <v>346</v>
      </c>
      <c r="L163" s="57">
        <v>0.30303030303030304</v>
      </c>
      <c r="M163" s="50">
        <v>50</v>
      </c>
      <c r="N163" s="64"/>
      <c r="O163" s="50"/>
      <c r="P163" s="52" t="s">
        <v>20</v>
      </c>
    </row>
    <row r="164" spans="1:16" ht="15.75" customHeight="1">
      <c r="A164" s="28">
        <v>3</v>
      </c>
      <c r="B164" s="32">
        <v>45722</v>
      </c>
      <c r="C164" s="36" t="s">
        <v>321</v>
      </c>
      <c r="D164" s="43">
        <v>1</v>
      </c>
      <c r="E164" s="48" t="s">
        <v>495</v>
      </c>
      <c r="F164" s="48" t="s">
        <v>555</v>
      </c>
      <c r="G164" s="49">
        <v>3</v>
      </c>
      <c r="H164" s="10">
        <v>3</v>
      </c>
      <c r="I164" s="52">
        <v>10</v>
      </c>
      <c r="J164" s="10">
        <v>10</v>
      </c>
      <c r="K164" s="55" t="s">
        <v>346</v>
      </c>
      <c r="L164" s="57">
        <v>0.7</v>
      </c>
      <c r="M164" s="50">
        <v>7</v>
      </c>
      <c r="N164" s="64"/>
      <c r="O164" s="50"/>
      <c r="P164" s="52" t="s">
        <v>20</v>
      </c>
    </row>
    <row r="165" spans="1:16" ht="15.75" customHeight="1">
      <c r="A165" s="28">
        <v>3</v>
      </c>
      <c r="B165" s="32">
        <v>45722</v>
      </c>
      <c r="C165" s="36" t="s">
        <v>323</v>
      </c>
      <c r="D165" s="43">
        <v>1</v>
      </c>
      <c r="E165" s="48" t="s">
        <v>519</v>
      </c>
      <c r="F165" s="48" t="s">
        <v>555</v>
      </c>
      <c r="G165" s="49">
        <v>7.0000000000000007E-2</v>
      </c>
      <c r="H165" s="10">
        <v>7.0000000000000007E-2</v>
      </c>
      <c r="I165" s="52">
        <v>2</v>
      </c>
      <c r="J165" s="10">
        <v>2</v>
      </c>
      <c r="K165" s="55" t="s">
        <v>346</v>
      </c>
      <c r="L165" s="57">
        <v>0.96499999999999997</v>
      </c>
      <c r="M165" s="50">
        <v>1.93</v>
      </c>
      <c r="N165" s="64"/>
      <c r="O165" s="50"/>
      <c r="P165" s="52" t="s">
        <v>20</v>
      </c>
    </row>
    <row r="166" spans="1:16" ht="15.75" customHeight="1">
      <c r="A166" s="28">
        <v>3</v>
      </c>
      <c r="B166" s="32">
        <v>45726</v>
      </c>
      <c r="C166" s="36" t="s">
        <v>274</v>
      </c>
      <c r="D166" s="43">
        <v>1</v>
      </c>
      <c r="E166" s="48" t="s">
        <v>26</v>
      </c>
      <c r="F166" s="48" t="s">
        <v>555</v>
      </c>
      <c r="G166" s="49">
        <v>0</v>
      </c>
      <c r="H166" s="10">
        <v>0</v>
      </c>
      <c r="I166" s="52">
        <v>10</v>
      </c>
      <c r="J166" s="10">
        <v>10</v>
      </c>
      <c r="K166" s="55" t="s">
        <v>346</v>
      </c>
      <c r="L166" s="57">
        <v>1</v>
      </c>
      <c r="M166" s="50">
        <v>10</v>
      </c>
      <c r="N166" s="64"/>
      <c r="O166" s="50"/>
      <c r="P166" s="52" t="s">
        <v>20</v>
      </c>
    </row>
    <row r="167" spans="1:16" ht="15.75" customHeight="1">
      <c r="A167" s="28">
        <v>3</v>
      </c>
      <c r="B167" s="32">
        <v>45726</v>
      </c>
      <c r="C167" s="36" t="s">
        <v>323</v>
      </c>
      <c r="D167" s="43">
        <v>1</v>
      </c>
      <c r="E167" s="48" t="s">
        <v>26</v>
      </c>
      <c r="F167" s="48" t="s">
        <v>555</v>
      </c>
      <c r="G167" s="49">
        <v>7.0000000000000007E-2</v>
      </c>
      <c r="H167" s="10">
        <v>7.0000000000000007E-2</v>
      </c>
      <c r="I167" s="52">
        <v>1</v>
      </c>
      <c r="J167" s="10">
        <v>1</v>
      </c>
      <c r="K167" s="55" t="s">
        <v>346</v>
      </c>
      <c r="L167" s="57">
        <v>0.92999999999999994</v>
      </c>
      <c r="M167" s="50">
        <v>0.92999999999999994</v>
      </c>
      <c r="N167" s="64"/>
      <c r="O167" s="50"/>
      <c r="P167" s="52" t="s">
        <v>20</v>
      </c>
    </row>
    <row r="168" spans="1:16" ht="15.75" customHeight="1">
      <c r="A168" s="28">
        <v>3</v>
      </c>
      <c r="B168" s="32">
        <v>45726</v>
      </c>
      <c r="C168" s="36" t="s">
        <v>387</v>
      </c>
      <c r="D168" s="43">
        <v>1</v>
      </c>
      <c r="E168" s="48" t="s">
        <v>26</v>
      </c>
      <c r="F168" s="48" t="s">
        <v>555</v>
      </c>
      <c r="G168" s="49">
        <v>18</v>
      </c>
      <c r="H168" s="10">
        <v>18</v>
      </c>
      <c r="I168" s="52">
        <v>30</v>
      </c>
      <c r="J168" s="10">
        <v>30</v>
      </c>
      <c r="K168" s="55" t="s">
        <v>346</v>
      </c>
      <c r="L168" s="57">
        <v>0.4</v>
      </c>
      <c r="M168" s="50">
        <v>12</v>
      </c>
      <c r="N168" s="64"/>
      <c r="O168" s="50"/>
      <c r="P168" s="52" t="s">
        <v>20</v>
      </c>
    </row>
    <row r="169" spans="1:16" ht="15.75" customHeight="1">
      <c r="A169" s="28">
        <v>3</v>
      </c>
      <c r="B169" s="32">
        <v>45726</v>
      </c>
      <c r="C169" s="36" t="s">
        <v>177</v>
      </c>
      <c r="D169" s="43">
        <v>1</v>
      </c>
      <c r="E169" s="48" t="s">
        <v>26</v>
      </c>
      <c r="F169" s="48" t="s">
        <v>555</v>
      </c>
      <c r="G169" s="49">
        <v>8</v>
      </c>
      <c r="H169" s="10">
        <v>8</v>
      </c>
      <c r="I169" s="52">
        <v>20</v>
      </c>
      <c r="J169" s="10">
        <v>20</v>
      </c>
      <c r="K169" s="55" t="s">
        <v>346</v>
      </c>
      <c r="L169" s="57">
        <v>0.6</v>
      </c>
      <c r="M169" s="50">
        <v>12</v>
      </c>
      <c r="N169" s="64"/>
      <c r="O169" s="50"/>
      <c r="P169" s="52" t="s">
        <v>20</v>
      </c>
    </row>
    <row r="170" spans="1:16" ht="15.75" customHeight="1">
      <c r="A170" s="28">
        <v>3</v>
      </c>
      <c r="B170" s="32">
        <v>45726</v>
      </c>
      <c r="C170" s="36" t="s">
        <v>389</v>
      </c>
      <c r="D170" s="43">
        <v>1</v>
      </c>
      <c r="E170" s="48" t="s">
        <v>26</v>
      </c>
      <c r="F170" s="48" t="s">
        <v>555</v>
      </c>
      <c r="G170" s="49">
        <v>8</v>
      </c>
      <c r="H170" s="10">
        <v>8</v>
      </c>
      <c r="I170" s="52">
        <v>20</v>
      </c>
      <c r="J170" s="10">
        <v>20</v>
      </c>
      <c r="K170" s="55" t="s">
        <v>346</v>
      </c>
      <c r="L170" s="57">
        <v>0.6</v>
      </c>
      <c r="M170" s="50">
        <v>12</v>
      </c>
      <c r="N170" s="64"/>
      <c r="O170" s="50"/>
      <c r="P170" s="52" t="s">
        <v>20</v>
      </c>
    </row>
    <row r="171" spans="1:16" ht="15.75" customHeight="1">
      <c r="A171" s="28">
        <v>3</v>
      </c>
      <c r="B171" s="32">
        <v>45726</v>
      </c>
      <c r="C171" s="36" t="s">
        <v>614</v>
      </c>
      <c r="D171" s="43">
        <v>1</v>
      </c>
      <c r="E171" s="48" t="s">
        <v>26</v>
      </c>
      <c r="F171" s="48" t="s">
        <v>555</v>
      </c>
      <c r="G171" s="49">
        <v>2</v>
      </c>
      <c r="H171" s="10">
        <v>2</v>
      </c>
      <c r="I171" s="52">
        <v>5</v>
      </c>
      <c r="J171" s="10">
        <v>5</v>
      </c>
      <c r="K171" s="55" t="s">
        <v>346</v>
      </c>
      <c r="L171" s="57">
        <v>0.6</v>
      </c>
      <c r="M171" s="50">
        <v>3</v>
      </c>
      <c r="N171" s="64"/>
      <c r="O171" s="50"/>
      <c r="P171" s="52" t="s">
        <v>20</v>
      </c>
    </row>
    <row r="172" spans="1:16" ht="15.75" customHeight="1">
      <c r="A172" s="28">
        <v>3</v>
      </c>
      <c r="B172" s="32">
        <v>45726</v>
      </c>
      <c r="C172" s="36" t="s">
        <v>614</v>
      </c>
      <c r="D172" s="43">
        <v>1</v>
      </c>
      <c r="E172" s="48" t="s">
        <v>26</v>
      </c>
      <c r="F172" s="48" t="s">
        <v>555</v>
      </c>
      <c r="G172" s="49">
        <v>2</v>
      </c>
      <c r="H172" s="10">
        <v>2</v>
      </c>
      <c r="I172" s="52">
        <v>5</v>
      </c>
      <c r="J172" s="10">
        <v>5</v>
      </c>
      <c r="K172" s="55" t="s">
        <v>346</v>
      </c>
      <c r="L172" s="57">
        <v>0.6</v>
      </c>
      <c r="M172" s="50">
        <v>3</v>
      </c>
      <c r="N172" s="64"/>
      <c r="O172" s="50"/>
      <c r="P172" s="52" t="s">
        <v>20</v>
      </c>
    </row>
    <row r="173" spans="1:16" ht="15.75" customHeight="1">
      <c r="A173" s="28">
        <v>3</v>
      </c>
      <c r="B173" s="32">
        <v>45726</v>
      </c>
      <c r="C173" s="36" t="s">
        <v>615</v>
      </c>
      <c r="D173" s="43">
        <v>6</v>
      </c>
      <c r="E173" s="48" t="s">
        <v>26</v>
      </c>
      <c r="F173" s="48" t="s">
        <v>555</v>
      </c>
      <c r="G173" s="49" t="s">
        <v>79</v>
      </c>
      <c r="H173" s="10">
        <v>0</v>
      </c>
      <c r="I173" s="52">
        <v>4</v>
      </c>
      <c r="J173" s="10">
        <v>24</v>
      </c>
      <c r="K173" s="55" t="s">
        <v>346</v>
      </c>
      <c r="L173" s="57">
        <v>1</v>
      </c>
      <c r="M173" s="50">
        <v>24</v>
      </c>
      <c r="N173" s="64"/>
      <c r="O173" s="50"/>
      <c r="P173" s="52" t="s">
        <v>20</v>
      </c>
    </row>
    <row r="174" spans="1:16" ht="15.75" customHeight="1">
      <c r="A174" s="28">
        <v>3</v>
      </c>
      <c r="B174" s="32">
        <v>45726</v>
      </c>
      <c r="C174" s="36" t="s">
        <v>616</v>
      </c>
      <c r="D174" s="43">
        <v>1</v>
      </c>
      <c r="E174" s="48" t="s">
        <v>493</v>
      </c>
      <c r="F174" s="48" t="s">
        <v>555</v>
      </c>
      <c r="G174" s="49">
        <v>105</v>
      </c>
      <c r="H174" s="10">
        <v>105</v>
      </c>
      <c r="I174" s="52">
        <v>165</v>
      </c>
      <c r="J174" s="10">
        <v>165</v>
      </c>
      <c r="K174" s="55" t="s">
        <v>346</v>
      </c>
      <c r="L174" s="57">
        <v>0.36363636363636365</v>
      </c>
      <c r="M174" s="50">
        <v>60</v>
      </c>
      <c r="N174" s="64"/>
      <c r="O174" s="50"/>
      <c r="P174" s="52" t="s">
        <v>20</v>
      </c>
    </row>
    <row r="175" spans="1:16" ht="15.75" customHeight="1">
      <c r="A175" s="28">
        <v>3</v>
      </c>
      <c r="B175" s="32">
        <v>45727</v>
      </c>
      <c r="C175" s="36" t="s">
        <v>617</v>
      </c>
      <c r="D175" s="43">
        <v>1</v>
      </c>
      <c r="E175" s="48" t="s">
        <v>545</v>
      </c>
      <c r="F175" s="48" t="s">
        <v>555</v>
      </c>
      <c r="G175" s="49">
        <v>11</v>
      </c>
      <c r="H175" s="10">
        <v>11</v>
      </c>
      <c r="I175" s="52">
        <v>20</v>
      </c>
      <c r="J175" s="10">
        <v>20</v>
      </c>
      <c r="K175" s="55" t="s">
        <v>346</v>
      </c>
      <c r="L175" s="57">
        <v>0.45</v>
      </c>
      <c r="M175" s="50">
        <v>9</v>
      </c>
      <c r="N175" s="64"/>
      <c r="O175" s="50"/>
      <c r="P175" s="52" t="s">
        <v>20</v>
      </c>
    </row>
    <row r="176" spans="1:16" ht="15.75" customHeight="1">
      <c r="A176" s="28">
        <v>3</v>
      </c>
      <c r="B176" s="32">
        <v>45727</v>
      </c>
      <c r="C176" s="36" t="s">
        <v>618</v>
      </c>
      <c r="D176" s="43">
        <v>1</v>
      </c>
      <c r="E176" s="48" t="s">
        <v>26</v>
      </c>
      <c r="F176" s="48" t="s">
        <v>555</v>
      </c>
      <c r="G176" s="49">
        <v>40</v>
      </c>
      <c r="H176" s="10">
        <v>40</v>
      </c>
      <c r="I176" s="52">
        <v>85</v>
      </c>
      <c r="J176" s="10">
        <v>85</v>
      </c>
      <c r="K176" s="55" t="s">
        <v>346</v>
      </c>
      <c r="L176" s="57">
        <v>0.52941176470588236</v>
      </c>
      <c r="M176" s="50">
        <v>45</v>
      </c>
      <c r="N176" s="64"/>
      <c r="O176" s="50"/>
      <c r="P176" s="52" t="s">
        <v>20</v>
      </c>
    </row>
    <row r="177" spans="1:16" ht="15.75" customHeight="1">
      <c r="A177" s="28">
        <v>3</v>
      </c>
      <c r="B177" s="32">
        <v>45727</v>
      </c>
      <c r="C177" s="36" t="s">
        <v>619</v>
      </c>
      <c r="D177" s="43">
        <v>1</v>
      </c>
      <c r="E177" s="48" t="s">
        <v>495</v>
      </c>
      <c r="F177" s="48" t="s">
        <v>555</v>
      </c>
      <c r="G177" s="49">
        <v>3.5</v>
      </c>
      <c r="H177" s="10">
        <v>3.5</v>
      </c>
      <c r="I177" s="52">
        <v>5</v>
      </c>
      <c r="J177" s="10">
        <v>5</v>
      </c>
      <c r="K177" s="55" t="s">
        <v>346</v>
      </c>
      <c r="L177" s="57">
        <v>0.3</v>
      </c>
      <c r="M177" s="50">
        <v>1.5</v>
      </c>
      <c r="N177" s="64"/>
      <c r="O177" s="50"/>
      <c r="P177" s="52" t="s">
        <v>20</v>
      </c>
    </row>
    <row r="178" spans="1:16" ht="15.75" customHeight="1">
      <c r="A178" s="28">
        <v>3</v>
      </c>
      <c r="B178" s="32">
        <v>45728</v>
      </c>
      <c r="C178" s="36" t="s">
        <v>323</v>
      </c>
      <c r="D178" s="43">
        <v>2</v>
      </c>
      <c r="E178" s="48" t="s">
        <v>58</v>
      </c>
      <c r="F178" s="48" t="s">
        <v>555</v>
      </c>
      <c r="G178" s="49">
        <v>7.0000000000000007E-2</v>
      </c>
      <c r="H178" s="10">
        <v>0.14000000000000001</v>
      </c>
      <c r="I178" s="52">
        <v>1</v>
      </c>
      <c r="J178" s="10">
        <v>2</v>
      </c>
      <c r="K178" s="55" t="s">
        <v>346</v>
      </c>
      <c r="L178" s="57">
        <v>0.92999999999999994</v>
      </c>
      <c r="M178" s="50">
        <v>1.8599999999999999</v>
      </c>
      <c r="N178" s="64"/>
      <c r="O178" s="50"/>
      <c r="P178" s="52" t="s">
        <v>20</v>
      </c>
    </row>
    <row r="179" spans="1:16" ht="15.75" customHeight="1">
      <c r="A179" s="28">
        <v>3</v>
      </c>
      <c r="B179" s="32">
        <v>45729</v>
      </c>
      <c r="C179" s="36" t="s">
        <v>505</v>
      </c>
      <c r="D179" s="43">
        <v>2</v>
      </c>
      <c r="E179" s="48" t="s">
        <v>26</v>
      </c>
      <c r="F179" s="48" t="s">
        <v>555</v>
      </c>
      <c r="G179" s="49">
        <v>0.29425000000000001</v>
      </c>
      <c r="H179" s="10">
        <v>0.58850000000000002</v>
      </c>
      <c r="I179" s="52">
        <v>5</v>
      </c>
      <c r="J179" s="10">
        <v>10</v>
      </c>
      <c r="K179" s="55" t="s">
        <v>346</v>
      </c>
      <c r="L179" s="57">
        <v>0.94115000000000004</v>
      </c>
      <c r="M179" s="50">
        <v>9.4115000000000002</v>
      </c>
      <c r="N179" s="64"/>
      <c r="O179" s="50"/>
      <c r="P179" s="52" t="s">
        <v>20</v>
      </c>
    </row>
    <row r="180" spans="1:16" ht="15.75" customHeight="1">
      <c r="A180" s="28">
        <v>3</v>
      </c>
      <c r="B180" s="32">
        <v>45729</v>
      </c>
      <c r="C180" s="36" t="s">
        <v>334</v>
      </c>
      <c r="D180" s="43">
        <v>2</v>
      </c>
      <c r="E180" s="48" t="s">
        <v>620</v>
      </c>
      <c r="F180" s="48" t="s">
        <v>555</v>
      </c>
      <c r="G180" s="49">
        <v>0.05</v>
      </c>
      <c r="H180" s="10">
        <v>0.1</v>
      </c>
      <c r="I180" s="52">
        <v>0.5</v>
      </c>
      <c r="J180" s="10">
        <v>1</v>
      </c>
      <c r="K180" s="55" t="s">
        <v>346</v>
      </c>
      <c r="L180" s="57">
        <v>0.9</v>
      </c>
      <c r="M180" s="50">
        <v>0.9</v>
      </c>
      <c r="N180" s="64"/>
      <c r="O180" s="50"/>
      <c r="P180" s="52" t="s">
        <v>20</v>
      </c>
    </row>
    <row r="181" spans="1:16" ht="15.75" customHeight="1">
      <c r="A181" s="28">
        <v>3</v>
      </c>
      <c r="B181" s="32">
        <v>45729</v>
      </c>
      <c r="C181" s="36" t="s">
        <v>323</v>
      </c>
      <c r="D181" s="43">
        <v>5</v>
      </c>
      <c r="E181" s="48" t="s">
        <v>26</v>
      </c>
      <c r="F181" s="48" t="s">
        <v>555</v>
      </c>
      <c r="G181" s="49">
        <v>7.0000000000000007E-2</v>
      </c>
      <c r="H181" s="10">
        <v>0.35000000000000003</v>
      </c>
      <c r="I181" s="52">
        <v>1</v>
      </c>
      <c r="J181" s="10">
        <v>5</v>
      </c>
      <c r="K181" s="55" t="s">
        <v>346</v>
      </c>
      <c r="L181" s="57">
        <v>0.93</v>
      </c>
      <c r="M181" s="50">
        <v>4.6500000000000004</v>
      </c>
      <c r="N181" s="64"/>
      <c r="O181" s="50"/>
      <c r="P181" s="52" t="s">
        <v>20</v>
      </c>
    </row>
    <row r="182" spans="1:16" ht="15.75" customHeight="1">
      <c r="A182" s="28">
        <v>3</v>
      </c>
      <c r="B182" s="32">
        <v>45730</v>
      </c>
      <c r="C182" s="36" t="s">
        <v>621</v>
      </c>
      <c r="D182" s="43">
        <v>1</v>
      </c>
      <c r="E182" s="48" t="s">
        <v>583</v>
      </c>
      <c r="F182" s="48" t="s">
        <v>555</v>
      </c>
      <c r="G182" s="49">
        <v>10</v>
      </c>
      <c r="H182" s="10">
        <v>10</v>
      </c>
      <c r="I182" s="52">
        <v>25</v>
      </c>
      <c r="J182" s="10">
        <v>25</v>
      </c>
      <c r="K182" s="55" t="s">
        <v>346</v>
      </c>
      <c r="L182" s="57">
        <v>0.6</v>
      </c>
      <c r="M182" s="50">
        <v>15</v>
      </c>
      <c r="N182" s="64"/>
      <c r="O182" s="50">
        <v>25</v>
      </c>
      <c r="P182" s="52" t="s">
        <v>20</v>
      </c>
    </row>
    <row r="183" spans="1:16" ht="15.75" customHeight="1">
      <c r="A183" s="28">
        <v>3</v>
      </c>
      <c r="B183" s="32">
        <v>45730</v>
      </c>
      <c r="C183" s="36" t="s">
        <v>622</v>
      </c>
      <c r="D183" s="43">
        <v>1</v>
      </c>
      <c r="E183" s="48" t="s">
        <v>620</v>
      </c>
      <c r="F183" s="48" t="s">
        <v>555</v>
      </c>
      <c r="G183" s="49">
        <v>58</v>
      </c>
      <c r="H183" s="10">
        <v>58</v>
      </c>
      <c r="I183" s="52">
        <v>100</v>
      </c>
      <c r="J183" s="10">
        <v>100</v>
      </c>
      <c r="K183" s="55" t="s">
        <v>346</v>
      </c>
      <c r="L183" s="57">
        <v>0.42</v>
      </c>
      <c r="M183" s="50">
        <v>42</v>
      </c>
      <c r="N183" s="64"/>
      <c r="O183" s="50"/>
      <c r="P183" s="52" t="s">
        <v>20</v>
      </c>
    </row>
    <row r="184" spans="1:16" ht="15.75" customHeight="1">
      <c r="A184" s="28">
        <v>3</v>
      </c>
      <c r="B184" s="32">
        <v>45731</v>
      </c>
      <c r="C184" s="36" t="s">
        <v>619</v>
      </c>
      <c r="D184" s="43">
        <v>1</v>
      </c>
      <c r="E184" s="48" t="s">
        <v>26</v>
      </c>
      <c r="F184" s="48" t="s">
        <v>555</v>
      </c>
      <c r="G184" s="49">
        <v>3.5</v>
      </c>
      <c r="H184" s="10">
        <v>3.5</v>
      </c>
      <c r="I184" s="52">
        <v>10</v>
      </c>
      <c r="J184" s="10">
        <v>10</v>
      </c>
      <c r="K184" s="55" t="s">
        <v>623</v>
      </c>
      <c r="L184" s="57">
        <v>0.65</v>
      </c>
      <c r="M184" s="50">
        <v>6.5</v>
      </c>
      <c r="N184" s="64"/>
      <c r="O184" s="50"/>
      <c r="P184" s="52" t="s">
        <v>20</v>
      </c>
    </row>
    <row r="185" spans="1:16" ht="15.75" customHeight="1">
      <c r="A185" s="28">
        <v>3</v>
      </c>
      <c r="B185" s="32">
        <v>45731</v>
      </c>
      <c r="C185" s="36" t="s">
        <v>505</v>
      </c>
      <c r="D185" s="43">
        <v>2</v>
      </c>
      <c r="E185" s="48" t="s">
        <v>26</v>
      </c>
      <c r="F185" s="48" t="s">
        <v>555</v>
      </c>
      <c r="G185" s="49">
        <v>0.29425000000000001</v>
      </c>
      <c r="H185" s="10">
        <v>0.58850000000000002</v>
      </c>
      <c r="I185" s="52">
        <v>7.5</v>
      </c>
      <c r="J185" s="10">
        <v>15</v>
      </c>
      <c r="K185" s="55" t="s">
        <v>346</v>
      </c>
      <c r="L185" s="57">
        <v>0.96076666666666666</v>
      </c>
      <c r="M185" s="50">
        <v>14.4115</v>
      </c>
      <c r="N185" s="64"/>
      <c r="O185" s="50"/>
      <c r="P185" s="52" t="s">
        <v>20</v>
      </c>
    </row>
    <row r="186" spans="1:16" ht="15.75" customHeight="1">
      <c r="A186" s="28">
        <v>3</v>
      </c>
      <c r="B186" s="32">
        <v>45731</v>
      </c>
      <c r="C186" s="36" t="s">
        <v>624</v>
      </c>
      <c r="D186" s="43">
        <v>1</v>
      </c>
      <c r="E186" s="48" t="s">
        <v>543</v>
      </c>
      <c r="F186" s="48" t="s">
        <v>555</v>
      </c>
      <c r="G186" s="49">
        <v>250</v>
      </c>
      <c r="H186" s="10">
        <v>250</v>
      </c>
      <c r="I186" s="52">
        <v>315</v>
      </c>
      <c r="J186" s="10">
        <v>315</v>
      </c>
      <c r="K186" s="55" t="s">
        <v>346</v>
      </c>
      <c r="L186" s="57">
        <v>0.20634920634920634</v>
      </c>
      <c r="M186" s="50">
        <v>65</v>
      </c>
      <c r="N186" s="64"/>
      <c r="O186" s="50"/>
      <c r="P186" s="52" t="s">
        <v>20</v>
      </c>
    </row>
    <row r="187" spans="1:16" ht="15.75" customHeight="1">
      <c r="A187" s="28">
        <v>3</v>
      </c>
      <c r="B187" s="32">
        <v>45731</v>
      </c>
      <c r="C187" s="36" t="s">
        <v>274</v>
      </c>
      <c r="D187" s="43">
        <v>1</v>
      </c>
      <c r="E187" s="48" t="s">
        <v>625</v>
      </c>
      <c r="F187" s="48" t="s">
        <v>555</v>
      </c>
      <c r="G187" s="49">
        <v>0</v>
      </c>
      <c r="H187" s="10">
        <v>0</v>
      </c>
      <c r="I187" s="52">
        <v>25</v>
      </c>
      <c r="J187" s="10">
        <v>25</v>
      </c>
      <c r="K187" s="55" t="s">
        <v>346</v>
      </c>
      <c r="L187" s="57">
        <v>1</v>
      </c>
      <c r="M187" s="50">
        <v>25</v>
      </c>
      <c r="N187" s="64"/>
      <c r="O187" s="50"/>
      <c r="P187" s="52" t="s">
        <v>20</v>
      </c>
    </row>
    <row r="188" spans="1:16" ht="15.75" customHeight="1">
      <c r="A188" s="28">
        <v>3</v>
      </c>
      <c r="B188" s="32">
        <v>45731</v>
      </c>
      <c r="C188" s="36" t="s">
        <v>321</v>
      </c>
      <c r="D188" s="43">
        <v>1</v>
      </c>
      <c r="E188" s="48" t="s">
        <v>26</v>
      </c>
      <c r="F188" s="48" t="s">
        <v>555</v>
      </c>
      <c r="G188" s="49">
        <v>3</v>
      </c>
      <c r="H188" s="10">
        <v>3</v>
      </c>
      <c r="I188" s="52">
        <v>15</v>
      </c>
      <c r="J188" s="10">
        <v>15</v>
      </c>
      <c r="K188" s="55" t="s">
        <v>346</v>
      </c>
      <c r="L188" s="57">
        <v>0.8</v>
      </c>
      <c r="M188" s="50">
        <v>12</v>
      </c>
      <c r="N188" s="64"/>
      <c r="O188" s="50"/>
      <c r="P188" s="52" t="s">
        <v>20</v>
      </c>
    </row>
    <row r="189" spans="1:16" ht="15.75" customHeight="1">
      <c r="A189" s="28">
        <v>3</v>
      </c>
      <c r="B189" s="32">
        <v>45731</v>
      </c>
      <c r="C189" s="36" t="s">
        <v>387</v>
      </c>
      <c r="D189" s="43">
        <v>1</v>
      </c>
      <c r="E189" s="48" t="s">
        <v>26</v>
      </c>
      <c r="F189" s="48" t="s">
        <v>555</v>
      </c>
      <c r="G189" s="49">
        <v>18</v>
      </c>
      <c r="H189" s="10">
        <v>18</v>
      </c>
      <c r="I189" s="52">
        <v>30</v>
      </c>
      <c r="J189" s="10">
        <v>30</v>
      </c>
      <c r="K189" s="55" t="s">
        <v>346</v>
      </c>
      <c r="L189" s="57">
        <v>0.4</v>
      </c>
      <c r="M189" s="50">
        <v>12</v>
      </c>
      <c r="N189" s="64"/>
      <c r="O189" s="50"/>
      <c r="P189" s="52" t="s">
        <v>20</v>
      </c>
    </row>
    <row r="190" spans="1:16" ht="15.75" customHeight="1">
      <c r="A190" s="28">
        <v>3</v>
      </c>
      <c r="B190" s="32">
        <v>45731</v>
      </c>
      <c r="C190" s="36" t="s">
        <v>377</v>
      </c>
      <c r="D190" s="43">
        <v>1</v>
      </c>
      <c r="E190" s="48" t="s">
        <v>26</v>
      </c>
      <c r="F190" s="48" t="s">
        <v>555</v>
      </c>
      <c r="G190" s="49">
        <v>18</v>
      </c>
      <c r="H190" s="10">
        <v>18</v>
      </c>
      <c r="I190" s="52">
        <v>40</v>
      </c>
      <c r="J190" s="10">
        <v>40</v>
      </c>
      <c r="K190" s="55" t="s">
        <v>346</v>
      </c>
      <c r="L190" s="57">
        <v>0.55000000000000004</v>
      </c>
      <c r="M190" s="50">
        <v>22</v>
      </c>
      <c r="N190" s="64"/>
      <c r="O190" s="50"/>
      <c r="P190" s="52" t="s">
        <v>20</v>
      </c>
    </row>
    <row r="191" spans="1:16" ht="15.75" customHeight="1">
      <c r="A191" s="28">
        <v>3</v>
      </c>
      <c r="B191" s="32">
        <v>45733</v>
      </c>
      <c r="C191" s="36" t="s">
        <v>626</v>
      </c>
      <c r="D191" s="43">
        <v>1</v>
      </c>
      <c r="E191" s="48" t="s">
        <v>26</v>
      </c>
      <c r="F191" s="48" t="s">
        <v>555</v>
      </c>
      <c r="G191" s="49">
        <v>20</v>
      </c>
      <c r="H191" s="10">
        <v>20</v>
      </c>
      <c r="I191" s="52">
        <v>30</v>
      </c>
      <c r="J191" s="10">
        <v>30</v>
      </c>
      <c r="K191" s="55" t="s">
        <v>346</v>
      </c>
      <c r="L191" s="57">
        <v>0.33333333333333331</v>
      </c>
      <c r="M191" s="50">
        <v>10</v>
      </c>
      <c r="N191" s="64"/>
      <c r="O191" s="50"/>
      <c r="P191" s="52" t="s">
        <v>20</v>
      </c>
    </row>
    <row r="192" spans="1:16" ht="15.75" customHeight="1">
      <c r="A192" s="28">
        <v>3</v>
      </c>
      <c r="B192" s="32">
        <v>45734</v>
      </c>
      <c r="C192" s="36" t="s">
        <v>323</v>
      </c>
      <c r="D192" s="43">
        <v>2</v>
      </c>
      <c r="E192" s="48" t="s">
        <v>58</v>
      </c>
      <c r="F192" s="48" t="s">
        <v>555</v>
      </c>
      <c r="G192" s="49">
        <v>7.0000000000000007E-2</v>
      </c>
      <c r="H192" s="10">
        <v>0.14000000000000001</v>
      </c>
      <c r="I192" s="52">
        <v>1</v>
      </c>
      <c r="J192" s="10">
        <v>2</v>
      </c>
      <c r="K192" s="55" t="s">
        <v>346</v>
      </c>
      <c r="L192" s="57">
        <v>0.92999999999999994</v>
      </c>
      <c r="M192" s="50">
        <v>1.8599999999999999</v>
      </c>
      <c r="N192" s="64"/>
      <c r="O192" s="50"/>
      <c r="P192" s="52" t="s">
        <v>20</v>
      </c>
    </row>
    <row r="193" spans="1:16" ht="15.75" customHeight="1">
      <c r="A193" s="28">
        <v>3</v>
      </c>
      <c r="B193" s="32">
        <v>45734</v>
      </c>
      <c r="C193" s="36" t="s">
        <v>274</v>
      </c>
      <c r="D193" s="43">
        <v>1</v>
      </c>
      <c r="E193" s="48" t="s">
        <v>620</v>
      </c>
      <c r="F193" s="48" t="s">
        <v>555</v>
      </c>
      <c r="G193" s="49">
        <v>0</v>
      </c>
      <c r="H193" s="10">
        <v>0</v>
      </c>
      <c r="I193" s="52">
        <v>27.67</v>
      </c>
      <c r="J193" s="10">
        <v>27.67</v>
      </c>
      <c r="K193" s="55" t="s">
        <v>346</v>
      </c>
      <c r="L193" s="57">
        <v>1</v>
      </c>
      <c r="M193" s="50">
        <v>27.67</v>
      </c>
      <c r="N193" s="64"/>
      <c r="O193" s="50"/>
      <c r="P193" s="52" t="s">
        <v>20</v>
      </c>
    </row>
    <row r="194" spans="1:16" ht="15.75" customHeight="1">
      <c r="A194" s="28">
        <v>3</v>
      </c>
      <c r="B194" s="32">
        <v>45735</v>
      </c>
      <c r="C194" s="36" t="s">
        <v>334</v>
      </c>
      <c r="D194" s="43">
        <v>2</v>
      </c>
      <c r="E194" s="48" t="s">
        <v>26</v>
      </c>
      <c r="F194" s="48" t="s">
        <v>555</v>
      </c>
      <c r="G194" s="49">
        <v>0.05</v>
      </c>
      <c r="H194" s="10">
        <v>0.1</v>
      </c>
      <c r="I194" s="52">
        <v>0.5</v>
      </c>
      <c r="J194" s="10">
        <v>1</v>
      </c>
      <c r="K194" s="55" t="s">
        <v>346</v>
      </c>
      <c r="L194" s="57">
        <v>0.9</v>
      </c>
      <c r="M194" s="50">
        <v>0.9</v>
      </c>
      <c r="N194" s="64"/>
      <c r="O194" s="50"/>
      <c r="P194" s="52" t="s">
        <v>20</v>
      </c>
    </row>
    <row r="195" spans="1:16" ht="15.75" customHeight="1">
      <c r="A195" s="28">
        <v>3</v>
      </c>
      <c r="B195" s="32">
        <v>45736</v>
      </c>
      <c r="C195" s="36" t="s">
        <v>321</v>
      </c>
      <c r="D195" s="43">
        <v>1</v>
      </c>
      <c r="E195" s="48" t="s">
        <v>627</v>
      </c>
      <c r="F195" s="48" t="s">
        <v>555</v>
      </c>
      <c r="G195" s="49">
        <v>3</v>
      </c>
      <c r="H195" s="10">
        <v>3</v>
      </c>
      <c r="I195" s="52">
        <v>10</v>
      </c>
      <c r="J195" s="10">
        <v>10</v>
      </c>
      <c r="K195" s="55" t="s">
        <v>346</v>
      </c>
      <c r="L195" s="57">
        <v>0.7</v>
      </c>
      <c r="M195" s="50">
        <v>7</v>
      </c>
      <c r="N195" s="64"/>
      <c r="O195" s="50"/>
      <c r="P195" s="52" t="s">
        <v>20</v>
      </c>
    </row>
    <row r="196" spans="1:16" ht="15.75" customHeight="1">
      <c r="A196" s="28">
        <v>3</v>
      </c>
      <c r="B196" s="32">
        <v>45736</v>
      </c>
      <c r="C196" s="36" t="s">
        <v>334</v>
      </c>
      <c r="D196" s="43">
        <v>2</v>
      </c>
      <c r="E196" s="48" t="s">
        <v>26</v>
      </c>
      <c r="F196" s="48" t="s">
        <v>555</v>
      </c>
      <c r="G196" s="49">
        <v>0.05</v>
      </c>
      <c r="H196" s="10">
        <v>0.1</v>
      </c>
      <c r="I196" s="52">
        <v>0.5</v>
      </c>
      <c r="J196" s="10">
        <v>1</v>
      </c>
      <c r="K196" s="55" t="s">
        <v>346</v>
      </c>
      <c r="L196" s="57">
        <v>0.9</v>
      </c>
      <c r="M196" s="50">
        <v>0.9</v>
      </c>
      <c r="N196" s="64"/>
      <c r="O196" s="50"/>
      <c r="P196" s="52" t="s">
        <v>20</v>
      </c>
    </row>
    <row r="197" spans="1:16" ht="15.75" customHeight="1">
      <c r="A197" s="28">
        <v>3</v>
      </c>
      <c r="B197" s="32">
        <v>45736</v>
      </c>
      <c r="C197" s="36" t="s">
        <v>253</v>
      </c>
      <c r="D197" s="43">
        <v>1</v>
      </c>
      <c r="E197" s="48" t="s">
        <v>627</v>
      </c>
      <c r="F197" s="48" t="s">
        <v>555</v>
      </c>
      <c r="G197" s="49">
        <v>3.5</v>
      </c>
      <c r="H197" s="10">
        <v>3.5</v>
      </c>
      <c r="I197" s="52">
        <v>10</v>
      </c>
      <c r="J197" s="10">
        <v>10</v>
      </c>
      <c r="K197" s="55" t="s">
        <v>346</v>
      </c>
      <c r="L197" s="57">
        <v>0.65</v>
      </c>
      <c r="M197" s="50">
        <v>6.5</v>
      </c>
      <c r="N197" s="64"/>
      <c r="O197" s="50"/>
      <c r="P197" s="52" t="s">
        <v>20</v>
      </c>
    </row>
    <row r="198" spans="1:16" ht="15.75" customHeight="1">
      <c r="A198" s="28">
        <v>3</v>
      </c>
      <c r="B198" s="32">
        <v>45736</v>
      </c>
      <c r="C198" s="36" t="s">
        <v>628</v>
      </c>
      <c r="D198" s="43">
        <v>1</v>
      </c>
      <c r="E198" s="48" t="s">
        <v>301</v>
      </c>
      <c r="F198" s="48" t="s">
        <v>555</v>
      </c>
      <c r="G198" s="49">
        <v>18.48</v>
      </c>
      <c r="H198" s="10">
        <v>18.48</v>
      </c>
      <c r="I198" s="52">
        <v>30</v>
      </c>
      <c r="J198" s="10">
        <v>30</v>
      </c>
      <c r="K198" s="55" t="s">
        <v>346</v>
      </c>
      <c r="L198" s="57">
        <v>0.38400000000000001</v>
      </c>
      <c r="M198" s="50">
        <v>11.52</v>
      </c>
      <c r="N198" s="64"/>
      <c r="O198" s="50"/>
      <c r="P198" s="52" t="s">
        <v>20</v>
      </c>
    </row>
    <row r="199" spans="1:16" ht="15.75" customHeight="1">
      <c r="A199" s="28">
        <v>3</v>
      </c>
      <c r="B199" s="32">
        <v>45736</v>
      </c>
      <c r="C199" s="36" t="s">
        <v>233</v>
      </c>
      <c r="D199" s="43">
        <v>1</v>
      </c>
      <c r="E199" s="48" t="s">
        <v>301</v>
      </c>
      <c r="F199" s="48" t="s">
        <v>555</v>
      </c>
      <c r="G199" s="49">
        <v>5</v>
      </c>
      <c r="H199" s="10">
        <v>5</v>
      </c>
      <c r="I199" s="52">
        <v>10</v>
      </c>
      <c r="J199" s="10">
        <v>10</v>
      </c>
      <c r="K199" s="55" t="s">
        <v>346</v>
      </c>
      <c r="L199" s="57">
        <v>0.5</v>
      </c>
      <c r="M199" s="50">
        <v>5</v>
      </c>
      <c r="N199" s="64"/>
      <c r="O199" s="50"/>
      <c r="P199" s="52" t="s">
        <v>20</v>
      </c>
    </row>
    <row r="200" spans="1:16" ht="15.75" customHeight="1">
      <c r="A200" s="28">
        <v>3</v>
      </c>
      <c r="B200" s="32">
        <v>45736</v>
      </c>
      <c r="C200" s="36" t="s">
        <v>629</v>
      </c>
      <c r="D200" s="43">
        <v>1</v>
      </c>
      <c r="E200" s="48" t="s">
        <v>301</v>
      </c>
      <c r="F200" s="48" t="s">
        <v>555</v>
      </c>
      <c r="G200" s="49">
        <v>11.5</v>
      </c>
      <c r="H200" s="10">
        <v>11.5</v>
      </c>
      <c r="I200" s="52">
        <v>15</v>
      </c>
      <c r="J200" s="10">
        <v>15</v>
      </c>
      <c r="K200" s="55" t="s">
        <v>346</v>
      </c>
      <c r="L200" s="57">
        <v>0.23333333333333334</v>
      </c>
      <c r="M200" s="50">
        <v>3.5</v>
      </c>
      <c r="N200" s="64"/>
      <c r="O200" s="50"/>
      <c r="P200" s="52" t="s">
        <v>20</v>
      </c>
    </row>
    <row r="201" spans="1:16" ht="15.75" customHeight="1">
      <c r="A201" s="28">
        <v>3</v>
      </c>
      <c r="B201" s="32">
        <v>45736</v>
      </c>
      <c r="C201" s="36" t="s">
        <v>426</v>
      </c>
      <c r="D201" s="43">
        <v>1</v>
      </c>
      <c r="E201" s="48" t="s">
        <v>630</v>
      </c>
      <c r="F201" s="48" t="s">
        <v>555</v>
      </c>
      <c r="G201" s="49">
        <v>17</v>
      </c>
      <c r="H201" s="10">
        <v>17</v>
      </c>
      <c r="I201" s="52">
        <v>35</v>
      </c>
      <c r="J201" s="10">
        <v>35</v>
      </c>
      <c r="K201" s="55" t="s">
        <v>346</v>
      </c>
      <c r="L201" s="57">
        <v>0.51428571428571423</v>
      </c>
      <c r="M201" s="50">
        <v>18</v>
      </c>
      <c r="N201" s="64"/>
      <c r="O201" s="50"/>
      <c r="P201" s="52" t="s">
        <v>20</v>
      </c>
    </row>
    <row r="202" spans="1:16" ht="15.75" customHeight="1">
      <c r="A202" s="28">
        <v>3</v>
      </c>
      <c r="B202" s="32">
        <v>45736</v>
      </c>
      <c r="C202" s="36" t="s">
        <v>631</v>
      </c>
      <c r="D202" s="43">
        <v>1</v>
      </c>
      <c r="E202" s="48" t="s">
        <v>630</v>
      </c>
      <c r="F202" s="48" t="s">
        <v>555</v>
      </c>
      <c r="G202" s="49">
        <v>23</v>
      </c>
      <c r="H202" s="10">
        <v>23</v>
      </c>
      <c r="I202" s="52">
        <v>35</v>
      </c>
      <c r="J202" s="10">
        <v>35</v>
      </c>
      <c r="K202" s="55" t="s">
        <v>346</v>
      </c>
      <c r="L202" s="57">
        <v>0.34285714285714286</v>
      </c>
      <c r="M202" s="50">
        <v>12</v>
      </c>
      <c r="N202" s="64"/>
      <c r="O202" s="50"/>
      <c r="P202" s="52" t="s">
        <v>20</v>
      </c>
    </row>
    <row r="203" spans="1:16" ht="15.75" customHeight="1">
      <c r="A203" s="28">
        <v>3</v>
      </c>
      <c r="B203" s="32">
        <v>45736</v>
      </c>
      <c r="C203" s="36" t="s">
        <v>632</v>
      </c>
      <c r="D203" s="43">
        <v>1</v>
      </c>
      <c r="E203" s="48" t="s">
        <v>630</v>
      </c>
      <c r="F203" s="48" t="s">
        <v>555</v>
      </c>
      <c r="G203" s="49">
        <v>12</v>
      </c>
      <c r="H203" s="10">
        <v>12</v>
      </c>
      <c r="I203" s="52">
        <v>25</v>
      </c>
      <c r="J203" s="10">
        <v>25</v>
      </c>
      <c r="K203" s="55" t="s">
        <v>346</v>
      </c>
      <c r="L203" s="57">
        <v>0.52</v>
      </c>
      <c r="M203" s="50">
        <v>13</v>
      </c>
      <c r="N203" s="64"/>
      <c r="O203" s="50"/>
      <c r="P203" s="52" t="s">
        <v>20</v>
      </c>
    </row>
    <row r="204" spans="1:16" ht="15.75" customHeight="1">
      <c r="A204" s="28">
        <v>3</v>
      </c>
      <c r="B204" s="32">
        <v>45737</v>
      </c>
      <c r="C204" s="36" t="s">
        <v>323</v>
      </c>
      <c r="D204" s="43">
        <v>1</v>
      </c>
      <c r="E204" s="48" t="s">
        <v>545</v>
      </c>
      <c r="F204" s="48" t="s">
        <v>555</v>
      </c>
      <c r="G204" s="49">
        <v>7.0000000000000007E-2</v>
      </c>
      <c r="H204" s="10">
        <v>7.0000000000000007E-2</v>
      </c>
      <c r="I204" s="52">
        <v>1</v>
      </c>
      <c r="J204" s="10">
        <v>1</v>
      </c>
      <c r="K204" s="55" t="s">
        <v>346</v>
      </c>
      <c r="L204" s="57">
        <v>0.92999999999999994</v>
      </c>
      <c r="M204" s="50">
        <v>0.92999999999999994</v>
      </c>
      <c r="N204" s="64"/>
      <c r="O204" s="50"/>
      <c r="P204" s="52" t="s">
        <v>20</v>
      </c>
    </row>
    <row r="205" spans="1:16" ht="15.75" customHeight="1">
      <c r="A205" s="28">
        <v>3</v>
      </c>
      <c r="B205" s="32">
        <v>45738</v>
      </c>
      <c r="C205" s="36" t="s">
        <v>633</v>
      </c>
      <c r="D205" s="43">
        <v>2</v>
      </c>
      <c r="E205" s="48" t="s">
        <v>630</v>
      </c>
      <c r="F205" s="48" t="s">
        <v>555</v>
      </c>
      <c r="G205" s="49">
        <v>50</v>
      </c>
      <c r="H205" s="10">
        <v>100</v>
      </c>
      <c r="I205" s="52">
        <v>100</v>
      </c>
      <c r="J205" s="10">
        <v>200</v>
      </c>
      <c r="K205" s="55" t="s">
        <v>346</v>
      </c>
      <c r="L205" s="57">
        <v>0.5</v>
      </c>
      <c r="M205" s="50">
        <v>100</v>
      </c>
      <c r="N205" s="64"/>
      <c r="O205" s="50"/>
      <c r="P205" s="52" t="s">
        <v>20</v>
      </c>
    </row>
    <row r="206" spans="1:16" ht="15.75" customHeight="1">
      <c r="A206" s="28">
        <v>3</v>
      </c>
      <c r="B206" s="32">
        <v>45738</v>
      </c>
      <c r="C206" s="36" t="s">
        <v>570</v>
      </c>
      <c r="D206" s="43">
        <v>1</v>
      </c>
      <c r="E206" s="48" t="s">
        <v>634</v>
      </c>
      <c r="F206" s="48" t="s">
        <v>555</v>
      </c>
      <c r="G206" s="49">
        <v>32</v>
      </c>
      <c r="H206" s="10">
        <v>32</v>
      </c>
      <c r="I206" s="52">
        <v>49</v>
      </c>
      <c r="J206" s="10">
        <v>49</v>
      </c>
      <c r="K206" s="55" t="s">
        <v>346</v>
      </c>
      <c r="L206" s="57">
        <v>0.34693877551020408</v>
      </c>
      <c r="M206" s="50">
        <v>17</v>
      </c>
      <c r="N206" s="64"/>
      <c r="O206" s="50"/>
      <c r="P206" s="52" t="s">
        <v>20</v>
      </c>
    </row>
    <row r="207" spans="1:16" ht="15.75" customHeight="1">
      <c r="A207" s="28">
        <v>3</v>
      </c>
      <c r="B207" s="32">
        <v>45740</v>
      </c>
      <c r="C207" s="36" t="s">
        <v>334</v>
      </c>
      <c r="D207" s="43">
        <v>2</v>
      </c>
      <c r="E207" s="48" t="s">
        <v>26</v>
      </c>
      <c r="F207" s="48" t="s">
        <v>555</v>
      </c>
      <c r="G207" s="49">
        <v>0.05</v>
      </c>
      <c r="H207" s="10">
        <v>0.1</v>
      </c>
      <c r="I207" s="52">
        <v>0.5</v>
      </c>
      <c r="J207" s="10">
        <v>1</v>
      </c>
      <c r="K207" s="55" t="s">
        <v>346</v>
      </c>
      <c r="L207" s="57">
        <v>0.9</v>
      </c>
      <c r="M207" s="50">
        <v>0.9</v>
      </c>
      <c r="N207" s="64"/>
      <c r="O207" s="50"/>
      <c r="P207" s="52" t="s">
        <v>20</v>
      </c>
    </row>
    <row r="208" spans="1:16" ht="15.75" customHeight="1">
      <c r="A208" s="28">
        <v>3</v>
      </c>
      <c r="B208" s="32">
        <v>45740</v>
      </c>
      <c r="C208" s="36" t="s">
        <v>323</v>
      </c>
      <c r="D208" s="43">
        <v>1</v>
      </c>
      <c r="E208" s="48" t="s">
        <v>26</v>
      </c>
      <c r="F208" s="48" t="s">
        <v>555</v>
      </c>
      <c r="G208" s="49">
        <v>7.0000000000000007E-2</v>
      </c>
      <c r="H208" s="10">
        <v>7.0000000000000007E-2</v>
      </c>
      <c r="I208" s="52">
        <v>1</v>
      </c>
      <c r="J208" s="10">
        <v>1</v>
      </c>
      <c r="K208" s="55" t="s">
        <v>346</v>
      </c>
      <c r="L208" s="57">
        <v>0.92999999999999994</v>
      </c>
      <c r="M208" s="50">
        <v>0.92999999999999994</v>
      </c>
      <c r="N208" s="64"/>
      <c r="O208" s="50"/>
      <c r="P208" s="52" t="s">
        <v>20</v>
      </c>
    </row>
    <row r="209" spans="1:16" ht="15.75" customHeight="1">
      <c r="A209" s="28">
        <v>3</v>
      </c>
      <c r="B209" s="32">
        <v>45741</v>
      </c>
      <c r="C209" s="36" t="s">
        <v>323</v>
      </c>
      <c r="D209" s="43">
        <v>2</v>
      </c>
      <c r="E209" s="48" t="s">
        <v>545</v>
      </c>
      <c r="F209" s="48" t="s">
        <v>555</v>
      </c>
      <c r="G209" s="49">
        <v>7.0000000000000007E-2</v>
      </c>
      <c r="H209" s="10">
        <v>0.14000000000000001</v>
      </c>
      <c r="I209" s="52">
        <v>1</v>
      </c>
      <c r="J209" s="10">
        <v>2</v>
      </c>
      <c r="K209" s="55" t="s">
        <v>346</v>
      </c>
      <c r="L209" s="57">
        <v>0.92999999999999994</v>
      </c>
      <c r="M209" s="50">
        <v>1.8599999999999999</v>
      </c>
      <c r="N209" s="64"/>
      <c r="O209" s="50"/>
      <c r="P209" s="52" t="s">
        <v>20</v>
      </c>
    </row>
    <row r="210" spans="1:16" ht="15.75" customHeight="1">
      <c r="A210" s="28">
        <v>3</v>
      </c>
      <c r="B210" s="32">
        <v>45741</v>
      </c>
      <c r="C210" s="36" t="s">
        <v>398</v>
      </c>
      <c r="D210" s="43">
        <v>1</v>
      </c>
      <c r="E210" s="48" t="s">
        <v>545</v>
      </c>
      <c r="F210" s="48" t="s">
        <v>555</v>
      </c>
      <c r="G210" s="49">
        <v>0.39549999999999996</v>
      </c>
      <c r="H210" s="10">
        <v>0.39549999999999996</v>
      </c>
      <c r="I210" s="52">
        <v>2</v>
      </c>
      <c r="J210" s="10">
        <v>2</v>
      </c>
      <c r="K210" s="55" t="s">
        <v>346</v>
      </c>
      <c r="L210" s="57">
        <v>0.80225000000000002</v>
      </c>
      <c r="M210" s="50">
        <v>1.6045</v>
      </c>
      <c r="N210" s="64"/>
      <c r="O210" s="50"/>
      <c r="P210" s="52" t="s">
        <v>20</v>
      </c>
    </row>
    <row r="211" spans="1:16" ht="15.75" customHeight="1">
      <c r="A211" s="28">
        <v>3</v>
      </c>
      <c r="B211" s="32">
        <v>45742</v>
      </c>
      <c r="C211" s="36" t="s">
        <v>323</v>
      </c>
      <c r="D211" s="43">
        <v>6</v>
      </c>
      <c r="E211" s="48" t="s">
        <v>26</v>
      </c>
      <c r="F211" s="48" t="s">
        <v>555</v>
      </c>
      <c r="G211" s="49">
        <v>7.0000000000000007E-2</v>
      </c>
      <c r="H211" s="10">
        <v>0.42000000000000004</v>
      </c>
      <c r="I211" s="52">
        <v>1</v>
      </c>
      <c r="J211" s="10">
        <v>6</v>
      </c>
      <c r="K211" s="55" t="s">
        <v>346</v>
      </c>
      <c r="L211" s="57">
        <v>0.93</v>
      </c>
      <c r="M211" s="50">
        <v>5.58</v>
      </c>
      <c r="N211" s="64"/>
      <c r="O211" s="50"/>
      <c r="P211" s="52" t="s">
        <v>20</v>
      </c>
    </row>
    <row r="212" spans="1:16" ht="15.75" customHeight="1">
      <c r="A212" s="28">
        <v>3</v>
      </c>
      <c r="B212" s="32">
        <v>45743</v>
      </c>
      <c r="C212" s="36" t="s">
        <v>323</v>
      </c>
      <c r="D212" s="43">
        <v>5</v>
      </c>
      <c r="E212" s="48" t="s">
        <v>26</v>
      </c>
      <c r="F212" s="48" t="s">
        <v>555</v>
      </c>
      <c r="G212" s="49">
        <v>7.0000000000000007E-2</v>
      </c>
      <c r="H212" s="10">
        <v>0.35000000000000003</v>
      </c>
      <c r="I212" s="52">
        <v>1</v>
      </c>
      <c r="J212" s="10">
        <v>5</v>
      </c>
      <c r="K212" s="55" t="s">
        <v>346</v>
      </c>
      <c r="L212" s="57">
        <v>0.93</v>
      </c>
      <c r="M212" s="50">
        <v>4.6500000000000004</v>
      </c>
      <c r="N212" s="64"/>
      <c r="O212" s="50"/>
      <c r="P212" s="52" t="s">
        <v>20</v>
      </c>
    </row>
    <row r="213" spans="1:16" ht="15.75" customHeight="1">
      <c r="A213" s="28">
        <v>3</v>
      </c>
      <c r="B213" s="32">
        <v>45743</v>
      </c>
      <c r="C213" s="36" t="s">
        <v>323</v>
      </c>
      <c r="D213" s="43">
        <v>1</v>
      </c>
      <c r="E213" s="48" t="s">
        <v>635</v>
      </c>
      <c r="F213" s="48" t="s">
        <v>555</v>
      </c>
      <c r="G213" s="49">
        <v>7.0000000000000007E-2</v>
      </c>
      <c r="H213" s="10">
        <v>7.0000000000000007E-2</v>
      </c>
      <c r="I213" s="52">
        <v>1</v>
      </c>
      <c r="J213" s="10">
        <v>1</v>
      </c>
      <c r="K213" s="55" t="s">
        <v>346</v>
      </c>
      <c r="L213" s="57">
        <v>0.92999999999999994</v>
      </c>
      <c r="M213" s="50">
        <v>0.92999999999999994</v>
      </c>
      <c r="N213" s="64"/>
      <c r="O213" s="50"/>
      <c r="P213" s="52" t="s">
        <v>20</v>
      </c>
    </row>
    <row r="214" spans="1:16" ht="15.75" customHeight="1">
      <c r="A214" s="28">
        <v>3</v>
      </c>
      <c r="B214" s="32">
        <v>45744</v>
      </c>
      <c r="C214" s="36" t="s">
        <v>636</v>
      </c>
      <c r="D214" s="43">
        <v>1</v>
      </c>
      <c r="E214" s="48" t="s">
        <v>522</v>
      </c>
      <c r="F214" s="48" t="s">
        <v>555</v>
      </c>
      <c r="G214" s="49">
        <v>66.23</v>
      </c>
      <c r="H214" s="10">
        <v>66.23</v>
      </c>
      <c r="I214" s="52">
        <v>100</v>
      </c>
      <c r="J214" s="10">
        <v>100</v>
      </c>
      <c r="K214" s="55" t="s">
        <v>346</v>
      </c>
      <c r="L214" s="57">
        <v>0.33769999999999994</v>
      </c>
      <c r="M214" s="50">
        <v>33.769999999999996</v>
      </c>
      <c r="N214" s="64"/>
      <c r="O214" s="50"/>
      <c r="P214" s="52" t="s">
        <v>20</v>
      </c>
    </row>
    <row r="215" spans="1:16" ht="15.75" customHeight="1">
      <c r="A215" s="28">
        <v>3</v>
      </c>
      <c r="B215" s="32">
        <v>45744</v>
      </c>
      <c r="C215" s="36" t="s">
        <v>334</v>
      </c>
      <c r="D215" s="43">
        <v>1</v>
      </c>
      <c r="E215" s="48" t="s">
        <v>26</v>
      </c>
      <c r="F215" s="48" t="s">
        <v>555</v>
      </c>
      <c r="G215" s="49">
        <v>0.05</v>
      </c>
      <c r="H215" s="10">
        <v>0.05</v>
      </c>
      <c r="I215" s="52">
        <v>0.5</v>
      </c>
      <c r="J215" s="10">
        <v>0.5</v>
      </c>
      <c r="K215" s="55" t="s">
        <v>346</v>
      </c>
      <c r="L215" s="57">
        <v>0.9</v>
      </c>
      <c r="M215" s="50">
        <v>0.45</v>
      </c>
      <c r="N215" s="64"/>
      <c r="O215" s="50"/>
      <c r="P215" s="52" t="s">
        <v>20</v>
      </c>
    </row>
    <row r="216" spans="1:16" ht="15.75" customHeight="1">
      <c r="A216" s="28">
        <v>3</v>
      </c>
      <c r="B216" s="32">
        <v>45744</v>
      </c>
      <c r="C216" s="36" t="s">
        <v>334</v>
      </c>
      <c r="D216" s="43">
        <v>1</v>
      </c>
      <c r="E216" s="48" t="s">
        <v>637</v>
      </c>
      <c r="F216" s="48" t="s">
        <v>555</v>
      </c>
      <c r="G216" s="49">
        <v>0.05</v>
      </c>
      <c r="H216" s="10">
        <v>0.05</v>
      </c>
      <c r="I216" s="52">
        <v>0.5</v>
      </c>
      <c r="J216" s="10">
        <v>0.5</v>
      </c>
      <c r="K216" s="55" t="s">
        <v>346</v>
      </c>
      <c r="L216" s="57">
        <v>0.9</v>
      </c>
      <c r="M216" s="50">
        <v>0.45</v>
      </c>
      <c r="N216" s="64"/>
      <c r="O216" s="50"/>
      <c r="P216" s="52" t="s">
        <v>20</v>
      </c>
    </row>
    <row r="217" spans="1:16" ht="15.75" customHeight="1">
      <c r="A217" s="28">
        <v>3</v>
      </c>
      <c r="B217" s="32">
        <v>45744</v>
      </c>
      <c r="C217" s="36" t="s">
        <v>501</v>
      </c>
      <c r="D217" s="43">
        <v>1</v>
      </c>
      <c r="E217" s="48" t="s">
        <v>637</v>
      </c>
      <c r="F217" s="48" t="s">
        <v>555</v>
      </c>
      <c r="G217" s="49">
        <v>0.8</v>
      </c>
      <c r="H217" s="10">
        <v>0.8</v>
      </c>
      <c r="I217" s="52">
        <v>4</v>
      </c>
      <c r="J217" s="10">
        <v>4</v>
      </c>
      <c r="K217" s="55" t="s">
        <v>346</v>
      </c>
      <c r="L217" s="57">
        <v>0.8</v>
      </c>
      <c r="M217" s="50">
        <v>3.2</v>
      </c>
      <c r="N217" s="64"/>
      <c r="O217" s="50"/>
      <c r="P217" s="52" t="s">
        <v>20</v>
      </c>
    </row>
    <row r="218" spans="1:16" ht="15.75" customHeight="1">
      <c r="A218" s="28">
        <v>3</v>
      </c>
      <c r="B218" s="32">
        <v>45744</v>
      </c>
      <c r="C218" s="36" t="s">
        <v>274</v>
      </c>
      <c r="D218" s="43">
        <v>1</v>
      </c>
      <c r="E218" s="48" t="s">
        <v>26</v>
      </c>
      <c r="F218" s="48" t="s">
        <v>555</v>
      </c>
      <c r="G218" s="49">
        <v>0</v>
      </c>
      <c r="H218" s="10">
        <v>0</v>
      </c>
      <c r="I218" s="52">
        <v>10</v>
      </c>
      <c r="J218" s="10">
        <v>10</v>
      </c>
      <c r="K218" s="55" t="s">
        <v>346</v>
      </c>
      <c r="L218" s="57">
        <v>1</v>
      </c>
      <c r="M218" s="50">
        <v>10</v>
      </c>
      <c r="N218" s="64"/>
      <c r="O218" s="50"/>
      <c r="P218" s="52" t="s">
        <v>20</v>
      </c>
    </row>
    <row r="219" spans="1:16" ht="15.75" customHeight="1">
      <c r="A219" s="28">
        <v>3</v>
      </c>
      <c r="B219" s="32">
        <v>45744</v>
      </c>
      <c r="C219" s="36" t="s">
        <v>638</v>
      </c>
      <c r="D219" s="43">
        <v>1</v>
      </c>
      <c r="E219" s="48" t="s">
        <v>26</v>
      </c>
      <c r="F219" s="48" t="s">
        <v>555</v>
      </c>
      <c r="G219" s="49">
        <v>15.9</v>
      </c>
      <c r="H219" s="10">
        <v>15.9</v>
      </c>
      <c r="I219" s="52">
        <v>30</v>
      </c>
      <c r="J219" s="10">
        <v>30</v>
      </c>
      <c r="K219" s="55" t="s">
        <v>346</v>
      </c>
      <c r="L219" s="57">
        <v>0.47</v>
      </c>
      <c r="M219" s="50">
        <v>14.1</v>
      </c>
      <c r="N219" s="64"/>
      <c r="O219" s="50"/>
      <c r="P219" s="52" t="s">
        <v>20</v>
      </c>
    </row>
    <row r="220" spans="1:16" ht="15.75" customHeight="1">
      <c r="A220" s="28">
        <v>3</v>
      </c>
      <c r="B220" s="32">
        <v>45744</v>
      </c>
      <c r="C220" s="36" t="s">
        <v>387</v>
      </c>
      <c r="D220" s="43">
        <v>1</v>
      </c>
      <c r="E220" s="48" t="s">
        <v>26</v>
      </c>
      <c r="F220" s="48" t="s">
        <v>555</v>
      </c>
      <c r="G220" s="49">
        <v>18</v>
      </c>
      <c r="H220" s="10">
        <v>18</v>
      </c>
      <c r="I220" s="52">
        <v>25</v>
      </c>
      <c r="J220" s="10">
        <v>25</v>
      </c>
      <c r="K220" s="55" t="s">
        <v>346</v>
      </c>
      <c r="L220" s="57">
        <v>0.28000000000000003</v>
      </c>
      <c r="M220" s="50">
        <v>7</v>
      </c>
      <c r="N220" s="64"/>
      <c r="O220" s="50"/>
      <c r="P220" s="52" t="s">
        <v>20</v>
      </c>
    </row>
    <row r="221" spans="1:16" ht="15.75" customHeight="1">
      <c r="A221" s="28">
        <v>3</v>
      </c>
      <c r="B221" s="32">
        <v>45744</v>
      </c>
      <c r="C221" s="36" t="s">
        <v>639</v>
      </c>
      <c r="D221" s="43">
        <v>2</v>
      </c>
      <c r="E221" s="48" t="s">
        <v>640</v>
      </c>
      <c r="F221" s="48" t="s">
        <v>555</v>
      </c>
      <c r="G221" s="49" t="s">
        <v>79</v>
      </c>
      <c r="H221" s="10">
        <v>0</v>
      </c>
      <c r="I221" s="52">
        <v>5</v>
      </c>
      <c r="J221" s="10">
        <v>10</v>
      </c>
      <c r="K221" s="55" t="s">
        <v>346</v>
      </c>
      <c r="L221" s="57">
        <v>1</v>
      </c>
      <c r="M221" s="50">
        <v>10</v>
      </c>
      <c r="N221" s="64"/>
      <c r="O221" s="50"/>
      <c r="P221" s="52" t="s">
        <v>20</v>
      </c>
    </row>
    <row r="222" spans="1:16" ht="15.75" customHeight="1">
      <c r="A222" s="28">
        <v>3</v>
      </c>
      <c r="B222" s="32">
        <v>45745</v>
      </c>
      <c r="C222" s="36" t="s">
        <v>641</v>
      </c>
      <c r="D222" s="43">
        <v>1</v>
      </c>
      <c r="E222" s="48" t="s">
        <v>26</v>
      </c>
      <c r="F222" s="48" t="s">
        <v>555</v>
      </c>
      <c r="G222" s="49" t="s">
        <v>79</v>
      </c>
      <c r="H222" s="10">
        <v>0</v>
      </c>
      <c r="I222" s="52">
        <v>10</v>
      </c>
      <c r="J222" s="10">
        <v>10</v>
      </c>
      <c r="K222" s="55" t="s">
        <v>346</v>
      </c>
      <c r="L222" s="57">
        <v>1</v>
      </c>
      <c r="M222" s="50">
        <v>10</v>
      </c>
      <c r="N222" s="64"/>
      <c r="O222" s="50"/>
      <c r="P222" s="52" t="s">
        <v>20</v>
      </c>
    </row>
    <row r="223" spans="1:16" ht="15.75" customHeight="1">
      <c r="A223" s="28">
        <v>3</v>
      </c>
      <c r="B223" s="32">
        <v>45745</v>
      </c>
      <c r="C223" s="36" t="s">
        <v>274</v>
      </c>
      <c r="D223" s="43">
        <v>1</v>
      </c>
      <c r="E223" s="48" t="s">
        <v>642</v>
      </c>
      <c r="F223" s="48" t="s">
        <v>555</v>
      </c>
      <c r="G223" s="49">
        <v>0</v>
      </c>
      <c r="H223" s="10">
        <v>0</v>
      </c>
      <c r="I223" s="52">
        <v>15</v>
      </c>
      <c r="J223" s="10">
        <v>15</v>
      </c>
      <c r="K223" s="55" t="s">
        <v>346</v>
      </c>
      <c r="L223" s="57">
        <v>1</v>
      </c>
      <c r="M223" s="50">
        <v>15</v>
      </c>
      <c r="N223" s="64"/>
      <c r="O223" s="50"/>
      <c r="P223" s="52" t="s">
        <v>20</v>
      </c>
    </row>
    <row r="224" spans="1:16" ht="15.75" customHeight="1">
      <c r="A224" s="28">
        <v>3</v>
      </c>
      <c r="B224" s="32">
        <v>45745</v>
      </c>
      <c r="C224" s="36" t="s">
        <v>398</v>
      </c>
      <c r="D224" s="43">
        <v>1</v>
      </c>
      <c r="E224" s="48" t="s">
        <v>642</v>
      </c>
      <c r="F224" s="48" t="s">
        <v>555</v>
      </c>
      <c r="G224" s="49">
        <v>0.39549999999999996</v>
      </c>
      <c r="H224" s="10">
        <v>0.39549999999999996</v>
      </c>
      <c r="I224" s="52">
        <v>2</v>
      </c>
      <c r="J224" s="10">
        <v>2</v>
      </c>
      <c r="K224" s="55" t="s">
        <v>346</v>
      </c>
      <c r="L224" s="57">
        <v>0.80225000000000002</v>
      </c>
      <c r="M224" s="50">
        <v>1.6045</v>
      </c>
      <c r="N224" s="64"/>
      <c r="O224" s="50"/>
      <c r="P224" s="52" t="s">
        <v>20</v>
      </c>
    </row>
    <row r="225" spans="1:16" ht="15.75" customHeight="1">
      <c r="A225" s="28">
        <v>3</v>
      </c>
      <c r="B225" s="32">
        <v>45745</v>
      </c>
      <c r="C225" s="36" t="s">
        <v>323</v>
      </c>
      <c r="D225" s="43">
        <v>3</v>
      </c>
      <c r="E225" s="48" t="s">
        <v>642</v>
      </c>
      <c r="F225" s="48" t="s">
        <v>555</v>
      </c>
      <c r="G225" s="49">
        <v>7.0000000000000007E-2</v>
      </c>
      <c r="H225" s="10">
        <v>0.21000000000000002</v>
      </c>
      <c r="I225" s="52">
        <v>1</v>
      </c>
      <c r="J225" s="10">
        <v>3</v>
      </c>
      <c r="K225" s="55" t="s">
        <v>346</v>
      </c>
      <c r="L225" s="57">
        <v>0.93</v>
      </c>
      <c r="M225" s="50">
        <v>2.79</v>
      </c>
      <c r="N225" s="64"/>
      <c r="O225" s="50"/>
      <c r="P225" s="52" t="s">
        <v>20</v>
      </c>
    </row>
    <row r="226" spans="1:16" ht="17.25" customHeight="1">
      <c r="A226" s="28">
        <v>3</v>
      </c>
      <c r="B226" s="32">
        <v>45745</v>
      </c>
      <c r="C226" s="36" t="s">
        <v>619</v>
      </c>
      <c r="D226" s="43">
        <v>1</v>
      </c>
      <c r="E226" s="48" t="s">
        <v>26</v>
      </c>
      <c r="F226" s="48" t="s">
        <v>555</v>
      </c>
      <c r="G226" s="49">
        <v>3.5</v>
      </c>
      <c r="H226" s="10">
        <v>3.5</v>
      </c>
      <c r="I226" s="52">
        <v>10</v>
      </c>
      <c r="J226" s="10">
        <v>10</v>
      </c>
      <c r="K226" s="55" t="s">
        <v>346</v>
      </c>
      <c r="L226" s="57">
        <v>0.65</v>
      </c>
      <c r="M226" s="50">
        <v>6.5</v>
      </c>
      <c r="N226" s="64"/>
      <c r="O226" s="50"/>
      <c r="P226" s="52" t="s">
        <v>20</v>
      </c>
    </row>
    <row r="227" spans="1:16" ht="17.25" customHeight="1">
      <c r="A227" s="28">
        <v>3</v>
      </c>
      <c r="B227" s="32">
        <v>45745</v>
      </c>
      <c r="C227" s="36" t="s">
        <v>323</v>
      </c>
      <c r="D227" s="43">
        <v>2</v>
      </c>
      <c r="E227" s="48" t="s">
        <v>26</v>
      </c>
      <c r="F227" s="48" t="s">
        <v>555</v>
      </c>
      <c r="G227" s="49">
        <v>7.0000000000000007E-2</v>
      </c>
      <c r="H227" s="10">
        <v>0.14000000000000001</v>
      </c>
      <c r="I227" s="52">
        <v>1</v>
      </c>
      <c r="J227" s="10">
        <v>2</v>
      </c>
      <c r="K227" s="55" t="s">
        <v>346</v>
      </c>
      <c r="L227" s="57">
        <v>0.92999999999999994</v>
      </c>
      <c r="M227" s="50">
        <v>1.8599999999999999</v>
      </c>
      <c r="N227" s="64"/>
      <c r="O227" s="50"/>
      <c r="P227" s="52" t="s">
        <v>20</v>
      </c>
    </row>
    <row r="228" spans="1:16" ht="17.25" customHeight="1">
      <c r="A228" s="28">
        <v>3</v>
      </c>
      <c r="B228" s="32">
        <v>45747</v>
      </c>
      <c r="C228" s="36" t="s">
        <v>334</v>
      </c>
      <c r="D228" s="43">
        <v>1</v>
      </c>
      <c r="E228" s="48" t="s">
        <v>26</v>
      </c>
      <c r="F228" s="48" t="s">
        <v>555</v>
      </c>
      <c r="G228" s="49">
        <v>0.05</v>
      </c>
      <c r="H228" s="10">
        <v>0.05</v>
      </c>
      <c r="I228" s="52">
        <v>0.5</v>
      </c>
      <c r="J228" s="10">
        <v>0.5</v>
      </c>
      <c r="K228" s="55" t="s">
        <v>346</v>
      </c>
      <c r="L228" s="57">
        <v>0.9</v>
      </c>
      <c r="M228" s="50">
        <v>0.45</v>
      </c>
      <c r="N228" s="64"/>
      <c r="O228" s="50"/>
      <c r="P228" s="52" t="s">
        <v>20</v>
      </c>
    </row>
    <row r="229" spans="1:16" ht="17.25" customHeight="1">
      <c r="A229" s="28">
        <v>3</v>
      </c>
      <c r="B229" s="32">
        <v>45747</v>
      </c>
      <c r="C229" s="36" t="s">
        <v>321</v>
      </c>
      <c r="D229" s="43">
        <v>1</v>
      </c>
      <c r="E229" s="48" t="s">
        <v>26</v>
      </c>
      <c r="F229" s="48" t="s">
        <v>555</v>
      </c>
      <c r="G229" s="49">
        <v>3</v>
      </c>
      <c r="H229" s="10">
        <v>3</v>
      </c>
      <c r="I229" s="52">
        <v>15</v>
      </c>
      <c r="J229" s="10">
        <v>15</v>
      </c>
      <c r="K229" s="55" t="s">
        <v>346</v>
      </c>
      <c r="L229" s="57">
        <v>0.8</v>
      </c>
      <c r="M229" s="50">
        <v>12</v>
      </c>
      <c r="N229" s="64"/>
      <c r="O229" s="50"/>
      <c r="P229" s="52" t="s">
        <v>20</v>
      </c>
    </row>
    <row r="230" spans="1:16" ht="17.25" customHeight="1">
      <c r="A230" s="28">
        <v>3</v>
      </c>
      <c r="B230" s="32">
        <v>45747</v>
      </c>
      <c r="C230" s="36" t="s">
        <v>274</v>
      </c>
      <c r="D230" s="43">
        <v>1</v>
      </c>
      <c r="E230" s="48" t="s">
        <v>26</v>
      </c>
      <c r="F230" s="48" t="s">
        <v>555</v>
      </c>
      <c r="G230" s="49">
        <v>0</v>
      </c>
      <c r="H230" s="10">
        <v>0</v>
      </c>
      <c r="I230" s="52">
        <v>10</v>
      </c>
      <c r="J230" s="10">
        <v>10</v>
      </c>
      <c r="K230" s="55" t="s">
        <v>346</v>
      </c>
      <c r="L230" s="57">
        <v>1</v>
      </c>
      <c r="M230" s="50">
        <v>10</v>
      </c>
      <c r="N230" s="64"/>
      <c r="O230" s="50"/>
      <c r="P230" s="52" t="s">
        <v>20</v>
      </c>
    </row>
    <row r="231" spans="1:16" ht="17.25" customHeight="1">
      <c r="A231" s="28">
        <v>3</v>
      </c>
      <c r="B231" s="32">
        <v>45747</v>
      </c>
      <c r="C231" s="36" t="s">
        <v>323</v>
      </c>
      <c r="D231" s="43">
        <v>5</v>
      </c>
      <c r="E231" s="48" t="s">
        <v>26</v>
      </c>
      <c r="F231" s="48" t="s">
        <v>555</v>
      </c>
      <c r="G231" s="49">
        <v>7.0000000000000007E-2</v>
      </c>
      <c r="H231" s="10">
        <v>0.35000000000000003</v>
      </c>
      <c r="I231" s="52">
        <v>1</v>
      </c>
      <c r="J231" s="10">
        <v>5</v>
      </c>
      <c r="K231" s="55" t="s">
        <v>346</v>
      </c>
      <c r="L231" s="57">
        <v>0.93</v>
      </c>
      <c r="M231" s="50">
        <v>4.6500000000000004</v>
      </c>
      <c r="N231" s="64"/>
      <c r="O231" s="50"/>
      <c r="P231" s="52" t="s">
        <v>20</v>
      </c>
    </row>
    <row r="232" spans="1:16" ht="15.75" customHeight="1">
      <c r="A232" s="28">
        <v>3</v>
      </c>
      <c r="B232" s="32">
        <v>45747</v>
      </c>
      <c r="C232" s="36" t="s">
        <v>334</v>
      </c>
      <c r="D232" s="43">
        <v>10</v>
      </c>
      <c r="E232" s="48" t="s">
        <v>26</v>
      </c>
      <c r="F232" s="48" t="s">
        <v>555</v>
      </c>
      <c r="G232" s="49">
        <v>0.05</v>
      </c>
      <c r="H232" s="10">
        <v>0.5</v>
      </c>
      <c r="I232" s="52">
        <v>0.5</v>
      </c>
      <c r="J232" s="10">
        <v>5</v>
      </c>
      <c r="K232" s="55" t="s">
        <v>346</v>
      </c>
      <c r="L232" s="57">
        <v>0.9</v>
      </c>
      <c r="M232" s="50">
        <v>4.5</v>
      </c>
      <c r="N232" s="64"/>
      <c r="O232" s="50"/>
      <c r="P232" s="52" t="s">
        <v>20</v>
      </c>
    </row>
    <row r="233" spans="1:16" ht="15.75" customHeight="1">
      <c r="A233" s="28">
        <v>3</v>
      </c>
      <c r="B233" s="32">
        <v>45747</v>
      </c>
      <c r="C233" s="36" t="s">
        <v>334</v>
      </c>
      <c r="D233" s="43">
        <v>1</v>
      </c>
      <c r="E233" s="48" t="s">
        <v>26</v>
      </c>
      <c r="F233" s="48" t="s">
        <v>555</v>
      </c>
      <c r="G233" s="49">
        <v>0.05</v>
      </c>
      <c r="H233" s="10">
        <v>0.05</v>
      </c>
      <c r="I233" s="52">
        <v>0.5</v>
      </c>
      <c r="J233" s="10">
        <v>0.5</v>
      </c>
      <c r="K233" s="55" t="s">
        <v>346</v>
      </c>
      <c r="L233" s="57">
        <v>0.9</v>
      </c>
      <c r="M233" s="50">
        <v>0.45</v>
      </c>
      <c r="N233" s="64"/>
      <c r="O233" s="50"/>
      <c r="P233" s="52" t="s">
        <v>20</v>
      </c>
    </row>
    <row r="234" spans="1:16" ht="15.75" customHeight="1">
      <c r="A234" s="73">
        <v>3</v>
      </c>
      <c r="B234" s="76">
        <v>45747</v>
      </c>
      <c r="C234" s="79" t="s">
        <v>390</v>
      </c>
      <c r="D234" s="84">
        <v>1</v>
      </c>
      <c r="E234" s="87" t="s">
        <v>26</v>
      </c>
      <c r="F234" s="87" t="s">
        <v>555</v>
      </c>
      <c r="G234" s="49">
        <v>0</v>
      </c>
      <c r="H234" s="10">
        <v>0</v>
      </c>
      <c r="I234" s="92">
        <v>130</v>
      </c>
      <c r="J234" s="69">
        <v>130</v>
      </c>
      <c r="K234" s="55" t="s">
        <v>346</v>
      </c>
      <c r="L234" s="57">
        <v>1</v>
      </c>
      <c r="M234" s="50">
        <v>130</v>
      </c>
      <c r="N234" s="64"/>
      <c r="O234" s="50"/>
      <c r="P234" s="92" t="s">
        <v>20</v>
      </c>
    </row>
    <row r="235" spans="1:16" ht="15.75" customHeight="1" collapsed="1">
      <c r="A235" s="28">
        <v>4</v>
      </c>
      <c r="B235" s="32">
        <v>45748</v>
      </c>
      <c r="C235" s="36" t="s">
        <v>643</v>
      </c>
      <c r="D235" s="43">
        <v>1</v>
      </c>
      <c r="E235" s="48" t="s">
        <v>635</v>
      </c>
      <c r="F235" s="48" t="s">
        <v>555</v>
      </c>
      <c r="G235" s="49">
        <v>42</v>
      </c>
      <c r="H235" s="10">
        <v>42</v>
      </c>
      <c r="I235" s="52">
        <v>70</v>
      </c>
      <c r="J235" s="10">
        <v>70</v>
      </c>
      <c r="K235" s="95" t="s">
        <v>346</v>
      </c>
      <c r="L235" s="57">
        <v>0.4</v>
      </c>
      <c r="M235" s="50">
        <v>28</v>
      </c>
      <c r="N235" s="64"/>
      <c r="O235" s="103"/>
      <c r="P235" s="52" t="s">
        <v>20</v>
      </c>
    </row>
    <row r="236" spans="1:16" ht="15.75" customHeight="1">
      <c r="A236" s="28">
        <v>4</v>
      </c>
      <c r="B236" s="32">
        <v>45748</v>
      </c>
      <c r="C236" s="36" t="s">
        <v>562</v>
      </c>
      <c r="D236" s="43">
        <v>1</v>
      </c>
      <c r="E236" s="48" t="s">
        <v>644</v>
      </c>
      <c r="F236" s="48" t="s">
        <v>555</v>
      </c>
      <c r="G236" s="49" t="s">
        <v>79</v>
      </c>
      <c r="H236" s="10">
        <v>0</v>
      </c>
      <c r="I236" s="52">
        <v>25</v>
      </c>
      <c r="J236" s="10">
        <v>25</v>
      </c>
      <c r="K236" s="95" t="s">
        <v>346</v>
      </c>
      <c r="L236" s="57">
        <v>1</v>
      </c>
      <c r="M236" s="50">
        <v>25</v>
      </c>
      <c r="N236" s="64"/>
      <c r="O236" s="103"/>
      <c r="P236" s="52" t="s">
        <v>20</v>
      </c>
    </row>
    <row r="237" spans="1:16" ht="15.75" customHeight="1">
      <c r="A237" s="28">
        <v>4</v>
      </c>
      <c r="B237" s="32">
        <v>45748</v>
      </c>
      <c r="C237" s="36" t="s">
        <v>321</v>
      </c>
      <c r="D237" s="43">
        <v>1</v>
      </c>
      <c r="E237" s="48" t="s">
        <v>26</v>
      </c>
      <c r="F237" s="48" t="s">
        <v>555</v>
      </c>
      <c r="G237" s="49">
        <v>3</v>
      </c>
      <c r="H237" s="10">
        <v>3</v>
      </c>
      <c r="I237" s="52">
        <v>15</v>
      </c>
      <c r="J237" s="10">
        <v>15</v>
      </c>
      <c r="K237" s="95" t="s">
        <v>346</v>
      </c>
      <c r="L237" s="57">
        <v>0.8</v>
      </c>
      <c r="M237" s="50">
        <v>12</v>
      </c>
      <c r="N237" s="64"/>
      <c r="O237" s="103"/>
      <c r="P237" s="52" t="s">
        <v>20</v>
      </c>
    </row>
    <row r="238" spans="1:16" ht="15.75" customHeight="1">
      <c r="A238" s="28">
        <v>4</v>
      </c>
      <c r="B238" s="32">
        <v>45748</v>
      </c>
      <c r="C238" s="36" t="s">
        <v>323</v>
      </c>
      <c r="D238" s="43">
        <v>2</v>
      </c>
      <c r="E238" s="48" t="s">
        <v>26</v>
      </c>
      <c r="F238" s="48" t="s">
        <v>555</v>
      </c>
      <c r="G238" s="49">
        <v>7.0000000000000007E-2</v>
      </c>
      <c r="H238" s="10">
        <v>0.14000000000000001</v>
      </c>
      <c r="I238" s="52">
        <v>1</v>
      </c>
      <c r="J238" s="10">
        <v>2</v>
      </c>
      <c r="K238" s="95" t="s">
        <v>346</v>
      </c>
      <c r="L238" s="57">
        <v>0.92999999999999994</v>
      </c>
      <c r="M238" s="50">
        <v>1.8599999999999999</v>
      </c>
      <c r="N238" s="64"/>
      <c r="O238" s="103"/>
      <c r="P238" s="52" t="s">
        <v>20</v>
      </c>
    </row>
    <row r="239" spans="1:16" ht="15.75" customHeight="1">
      <c r="A239" s="28">
        <v>4</v>
      </c>
      <c r="B239" s="32">
        <v>45750</v>
      </c>
      <c r="C239" s="36" t="s">
        <v>607</v>
      </c>
      <c r="D239" s="43">
        <v>1</v>
      </c>
      <c r="E239" s="48" t="s">
        <v>645</v>
      </c>
      <c r="F239" s="48" t="s">
        <v>555</v>
      </c>
      <c r="G239" s="49">
        <v>10</v>
      </c>
      <c r="H239" s="10">
        <v>10</v>
      </c>
      <c r="I239" s="52">
        <v>20</v>
      </c>
      <c r="J239" s="10">
        <v>20</v>
      </c>
      <c r="K239" s="95" t="s">
        <v>346</v>
      </c>
      <c r="L239" s="57">
        <v>0.5</v>
      </c>
      <c r="M239" s="50">
        <v>10</v>
      </c>
      <c r="N239" s="64"/>
      <c r="O239" s="103"/>
      <c r="P239" s="52" t="s">
        <v>20</v>
      </c>
    </row>
    <row r="240" spans="1:16" ht="15.75" customHeight="1">
      <c r="A240" s="28">
        <v>4</v>
      </c>
      <c r="B240" s="32">
        <v>45750</v>
      </c>
      <c r="C240" s="36" t="s">
        <v>646</v>
      </c>
      <c r="D240" s="43">
        <v>1</v>
      </c>
      <c r="E240" s="48" t="s">
        <v>645</v>
      </c>
      <c r="F240" s="48" t="s">
        <v>555</v>
      </c>
      <c r="G240" s="49" t="s">
        <v>79</v>
      </c>
      <c r="H240" s="10">
        <v>0</v>
      </c>
      <c r="I240" s="52">
        <v>10</v>
      </c>
      <c r="J240" s="10">
        <v>10</v>
      </c>
      <c r="K240" s="95" t="s">
        <v>346</v>
      </c>
      <c r="L240" s="57">
        <v>1</v>
      </c>
      <c r="M240" s="50">
        <v>10</v>
      </c>
      <c r="N240" s="64"/>
      <c r="O240" s="103"/>
      <c r="P240" s="52" t="s">
        <v>20</v>
      </c>
    </row>
    <row r="241" spans="1:16" ht="15.75" customHeight="1">
      <c r="A241" s="28">
        <v>4</v>
      </c>
      <c r="B241" s="32">
        <v>45750</v>
      </c>
      <c r="C241" s="36" t="s">
        <v>559</v>
      </c>
      <c r="D241" s="43">
        <v>4</v>
      </c>
      <c r="E241" s="48" t="s">
        <v>647</v>
      </c>
      <c r="F241" s="48" t="s">
        <v>555</v>
      </c>
      <c r="G241" s="49" t="s">
        <v>79</v>
      </c>
      <c r="H241" s="10">
        <v>0</v>
      </c>
      <c r="I241" s="52">
        <v>5</v>
      </c>
      <c r="J241" s="10">
        <v>20</v>
      </c>
      <c r="K241" s="95" t="s">
        <v>346</v>
      </c>
      <c r="L241" s="57">
        <v>1</v>
      </c>
      <c r="M241" s="50">
        <v>20</v>
      </c>
      <c r="N241" s="64"/>
      <c r="O241" s="103"/>
      <c r="P241" s="52" t="s">
        <v>20</v>
      </c>
    </row>
    <row r="242" spans="1:16" ht="15.75" customHeight="1">
      <c r="A242" s="28">
        <v>4</v>
      </c>
      <c r="B242" s="32">
        <v>45750</v>
      </c>
      <c r="C242" s="36" t="s">
        <v>648</v>
      </c>
      <c r="D242" s="43">
        <v>1</v>
      </c>
      <c r="E242" s="48" t="s">
        <v>649</v>
      </c>
      <c r="F242" s="48" t="s">
        <v>555</v>
      </c>
      <c r="G242" s="49">
        <v>9</v>
      </c>
      <c r="H242" s="10">
        <v>9</v>
      </c>
      <c r="I242" s="52">
        <v>26</v>
      </c>
      <c r="J242" s="10">
        <v>26</v>
      </c>
      <c r="K242" s="95" t="s">
        <v>346</v>
      </c>
      <c r="L242" s="57">
        <v>0.65384615384615385</v>
      </c>
      <c r="M242" s="50">
        <v>17</v>
      </c>
      <c r="N242" s="64"/>
      <c r="O242" s="103"/>
      <c r="P242" s="52" t="s">
        <v>20</v>
      </c>
    </row>
    <row r="243" spans="1:16" ht="15.75" customHeight="1">
      <c r="A243" s="28">
        <v>4</v>
      </c>
      <c r="B243" s="32">
        <v>45750</v>
      </c>
      <c r="C243" s="36" t="s">
        <v>334</v>
      </c>
      <c r="D243" s="43">
        <v>3</v>
      </c>
      <c r="E243" s="48" t="s">
        <v>26</v>
      </c>
      <c r="F243" s="48" t="s">
        <v>555</v>
      </c>
      <c r="G243" s="49">
        <v>0.05</v>
      </c>
      <c r="H243" s="10">
        <v>0.15000000000000002</v>
      </c>
      <c r="I243" s="52">
        <v>1</v>
      </c>
      <c r="J243" s="10">
        <v>3</v>
      </c>
      <c r="K243" s="95" t="s">
        <v>346</v>
      </c>
      <c r="L243" s="57">
        <v>0.95000000000000007</v>
      </c>
      <c r="M243" s="50">
        <v>2.85</v>
      </c>
      <c r="N243" s="64"/>
      <c r="O243" s="103"/>
      <c r="P243" s="52" t="s">
        <v>20</v>
      </c>
    </row>
    <row r="244" spans="1:16" ht="15.75" customHeight="1">
      <c r="A244" s="28">
        <v>4</v>
      </c>
      <c r="B244" s="32">
        <v>45750</v>
      </c>
      <c r="C244" s="36" t="s">
        <v>334</v>
      </c>
      <c r="D244" s="43">
        <v>1</v>
      </c>
      <c r="E244" s="48" t="s">
        <v>650</v>
      </c>
      <c r="F244" s="48" t="s">
        <v>555</v>
      </c>
      <c r="G244" s="49">
        <v>0.05</v>
      </c>
      <c r="H244" s="10">
        <v>0.05</v>
      </c>
      <c r="I244" s="52">
        <v>1</v>
      </c>
      <c r="J244" s="10">
        <v>1</v>
      </c>
      <c r="K244" s="95" t="s">
        <v>346</v>
      </c>
      <c r="L244" s="57">
        <v>0.95</v>
      </c>
      <c r="M244" s="50">
        <v>0.95</v>
      </c>
      <c r="N244" s="64"/>
      <c r="O244" s="103"/>
      <c r="P244" s="52" t="s">
        <v>20</v>
      </c>
    </row>
    <row r="245" spans="1:16" ht="15.75" customHeight="1">
      <c r="A245" s="28">
        <v>4</v>
      </c>
      <c r="B245" s="32">
        <v>45751</v>
      </c>
      <c r="C245" s="36" t="s">
        <v>422</v>
      </c>
      <c r="D245" s="43">
        <v>1</v>
      </c>
      <c r="E245" s="48" t="s">
        <v>26</v>
      </c>
      <c r="F245" s="48" t="s">
        <v>555</v>
      </c>
      <c r="G245" s="49">
        <v>15</v>
      </c>
      <c r="H245" s="10">
        <v>15</v>
      </c>
      <c r="I245" s="52">
        <v>15</v>
      </c>
      <c r="J245" s="10">
        <v>15</v>
      </c>
      <c r="K245" s="95" t="s">
        <v>346</v>
      </c>
      <c r="L245" s="57">
        <v>0</v>
      </c>
      <c r="M245" s="50">
        <v>0</v>
      </c>
      <c r="N245" s="64"/>
      <c r="O245" s="103"/>
      <c r="P245" s="52" t="s">
        <v>20</v>
      </c>
    </row>
    <row r="246" spans="1:16" ht="15.75" customHeight="1">
      <c r="A246" s="28">
        <v>4</v>
      </c>
      <c r="B246" s="32">
        <v>45751</v>
      </c>
      <c r="C246" s="36" t="s">
        <v>651</v>
      </c>
      <c r="D246" s="43">
        <v>1</v>
      </c>
      <c r="E246" s="48" t="s">
        <v>26</v>
      </c>
      <c r="F246" s="48" t="s">
        <v>555</v>
      </c>
      <c r="G246" s="49">
        <v>23</v>
      </c>
      <c r="H246" s="10">
        <v>23</v>
      </c>
      <c r="I246" s="52">
        <v>40</v>
      </c>
      <c r="J246" s="10">
        <v>40</v>
      </c>
      <c r="K246" s="95" t="s">
        <v>346</v>
      </c>
      <c r="L246" s="57">
        <v>0.42499999999999999</v>
      </c>
      <c r="M246" s="50">
        <v>17</v>
      </c>
      <c r="N246" s="64"/>
      <c r="O246" s="103"/>
      <c r="P246" s="52" t="s">
        <v>20</v>
      </c>
    </row>
    <row r="247" spans="1:16" ht="15.75" customHeight="1">
      <c r="A247" s="28">
        <v>4</v>
      </c>
      <c r="B247" s="32">
        <v>45751</v>
      </c>
      <c r="C247" s="36" t="s">
        <v>323</v>
      </c>
      <c r="D247" s="43">
        <v>4</v>
      </c>
      <c r="E247" s="48" t="s">
        <v>26</v>
      </c>
      <c r="F247" s="48" t="s">
        <v>555</v>
      </c>
      <c r="G247" s="49">
        <v>7.0000000000000007E-2</v>
      </c>
      <c r="H247" s="10">
        <v>0.28000000000000003</v>
      </c>
      <c r="I247" s="52">
        <v>1</v>
      </c>
      <c r="J247" s="10">
        <v>4</v>
      </c>
      <c r="K247" s="95" t="s">
        <v>346</v>
      </c>
      <c r="L247" s="57">
        <v>0.92999999999999994</v>
      </c>
      <c r="M247" s="50">
        <v>3.7199999999999998</v>
      </c>
      <c r="N247" s="64"/>
      <c r="O247" s="103"/>
      <c r="P247" s="52" t="s">
        <v>20</v>
      </c>
    </row>
    <row r="248" spans="1:16" ht="15.75" customHeight="1">
      <c r="A248" s="28">
        <v>4</v>
      </c>
      <c r="B248" s="32">
        <v>45751</v>
      </c>
      <c r="C248" s="36" t="s">
        <v>323</v>
      </c>
      <c r="D248" s="43">
        <v>2</v>
      </c>
      <c r="E248" s="48" t="s">
        <v>26</v>
      </c>
      <c r="F248" s="48" t="s">
        <v>555</v>
      </c>
      <c r="G248" s="49">
        <v>7.0000000000000007E-2</v>
      </c>
      <c r="H248" s="10">
        <v>0.14000000000000001</v>
      </c>
      <c r="I248" s="52">
        <v>1</v>
      </c>
      <c r="J248" s="10">
        <v>2</v>
      </c>
      <c r="K248" s="95" t="s">
        <v>346</v>
      </c>
      <c r="L248" s="57">
        <v>0.92999999999999994</v>
      </c>
      <c r="M248" s="50">
        <v>1.8599999999999999</v>
      </c>
      <c r="N248" s="64"/>
      <c r="O248" s="103"/>
      <c r="P248" s="52" t="s">
        <v>20</v>
      </c>
    </row>
    <row r="249" spans="1:16" ht="15.75" customHeight="1">
      <c r="A249" s="28">
        <v>4</v>
      </c>
      <c r="B249" s="32">
        <v>45751</v>
      </c>
      <c r="C249" s="36" t="s">
        <v>334</v>
      </c>
      <c r="D249" s="43">
        <v>1</v>
      </c>
      <c r="E249" s="48" t="s">
        <v>650</v>
      </c>
      <c r="F249" s="48" t="s">
        <v>555</v>
      </c>
      <c r="G249" s="49">
        <v>0.05</v>
      </c>
      <c r="H249" s="10">
        <v>0.05</v>
      </c>
      <c r="I249" s="52">
        <v>1</v>
      </c>
      <c r="J249" s="10">
        <v>1</v>
      </c>
      <c r="K249" s="95" t="s">
        <v>346</v>
      </c>
      <c r="L249" s="57">
        <v>0.95</v>
      </c>
      <c r="M249" s="50">
        <v>0.95</v>
      </c>
      <c r="N249" s="64"/>
      <c r="O249" s="103"/>
      <c r="P249" s="52" t="s">
        <v>20</v>
      </c>
    </row>
    <row r="250" spans="1:16" ht="15.75" customHeight="1">
      <c r="A250" s="28">
        <v>4</v>
      </c>
      <c r="B250" s="32">
        <v>45751</v>
      </c>
      <c r="C250" s="36" t="s">
        <v>652</v>
      </c>
      <c r="D250" s="43">
        <v>1</v>
      </c>
      <c r="E250" s="48" t="s">
        <v>26</v>
      </c>
      <c r="F250" s="48" t="s">
        <v>555</v>
      </c>
      <c r="G250" s="49">
        <v>4</v>
      </c>
      <c r="H250" s="10">
        <v>4</v>
      </c>
      <c r="I250" s="52">
        <v>10</v>
      </c>
      <c r="J250" s="10">
        <v>10</v>
      </c>
      <c r="K250" s="95" t="s">
        <v>346</v>
      </c>
      <c r="L250" s="57">
        <v>0.6</v>
      </c>
      <c r="M250" s="50">
        <v>6</v>
      </c>
      <c r="N250" s="64"/>
      <c r="O250" s="103"/>
      <c r="P250" s="52" t="s">
        <v>20</v>
      </c>
    </row>
    <row r="251" spans="1:16" ht="15.75" customHeight="1">
      <c r="A251" s="28">
        <v>4</v>
      </c>
      <c r="B251" s="32">
        <v>45751</v>
      </c>
      <c r="C251" s="36" t="s">
        <v>377</v>
      </c>
      <c r="D251" s="43">
        <v>1</v>
      </c>
      <c r="E251" s="48" t="s">
        <v>26</v>
      </c>
      <c r="F251" s="48" t="s">
        <v>555</v>
      </c>
      <c r="G251" s="49">
        <v>18</v>
      </c>
      <c r="H251" s="10">
        <v>18</v>
      </c>
      <c r="I251" s="52">
        <v>40</v>
      </c>
      <c r="J251" s="10">
        <v>40</v>
      </c>
      <c r="K251" s="95" t="s">
        <v>346</v>
      </c>
      <c r="L251" s="57">
        <v>0.55000000000000004</v>
      </c>
      <c r="M251" s="50">
        <v>22</v>
      </c>
      <c r="N251" s="64"/>
      <c r="O251" s="103"/>
      <c r="P251" s="52" t="s">
        <v>20</v>
      </c>
    </row>
    <row r="252" spans="1:16" ht="15.75" customHeight="1">
      <c r="A252" s="28">
        <v>4</v>
      </c>
      <c r="B252" s="32">
        <v>45752</v>
      </c>
      <c r="C252" s="36" t="s">
        <v>434</v>
      </c>
      <c r="D252" s="43">
        <v>1</v>
      </c>
      <c r="E252" s="48" t="s">
        <v>26</v>
      </c>
      <c r="F252" s="48" t="s">
        <v>555</v>
      </c>
      <c r="G252" s="49">
        <v>13</v>
      </c>
      <c r="H252" s="10">
        <v>13</v>
      </c>
      <c r="I252" s="52">
        <v>20</v>
      </c>
      <c r="J252" s="10">
        <v>20</v>
      </c>
      <c r="K252" s="95" t="s">
        <v>346</v>
      </c>
      <c r="L252" s="57">
        <v>0.35</v>
      </c>
      <c r="M252" s="50">
        <v>7</v>
      </c>
      <c r="N252" s="64"/>
      <c r="O252" s="103"/>
      <c r="P252" s="52" t="s">
        <v>20</v>
      </c>
    </row>
    <row r="253" spans="1:16" ht="15.75" customHeight="1">
      <c r="A253" s="28">
        <v>4</v>
      </c>
      <c r="B253" s="32">
        <v>45752</v>
      </c>
      <c r="C253" s="36" t="s">
        <v>653</v>
      </c>
      <c r="D253" s="43">
        <v>1</v>
      </c>
      <c r="E253" s="48" t="s">
        <v>26</v>
      </c>
      <c r="F253" s="48" t="s">
        <v>555</v>
      </c>
      <c r="G253" s="49">
        <v>2</v>
      </c>
      <c r="H253" s="10">
        <v>2</v>
      </c>
      <c r="I253" s="52">
        <v>7</v>
      </c>
      <c r="J253" s="10">
        <v>7</v>
      </c>
      <c r="K253" s="95" t="s">
        <v>346</v>
      </c>
      <c r="L253" s="57">
        <v>0.7142857142857143</v>
      </c>
      <c r="M253" s="50">
        <v>5</v>
      </c>
      <c r="N253" s="64"/>
      <c r="O253" s="103"/>
      <c r="P253" s="52" t="s">
        <v>20</v>
      </c>
    </row>
    <row r="254" spans="1:16" ht="15.75" customHeight="1">
      <c r="A254" s="28">
        <v>4</v>
      </c>
      <c r="B254" s="32">
        <v>45752</v>
      </c>
      <c r="C254" s="36" t="s">
        <v>654</v>
      </c>
      <c r="D254" s="43">
        <v>1</v>
      </c>
      <c r="E254" s="48" t="s">
        <v>26</v>
      </c>
      <c r="F254" s="48" t="s">
        <v>555</v>
      </c>
      <c r="G254" s="49">
        <v>5.5</v>
      </c>
      <c r="H254" s="10">
        <v>5.5</v>
      </c>
      <c r="I254" s="52">
        <v>8</v>
      </c>
      <c r="J254" s="10">
        <v>8</v>
      </c>
      <c r="K254" s="95" t="s">
        <v>346</v>
      </c>
      <c r="L254" s="57">
        <v>0.3125</v>
      </c>
      <c r="M254" s="50">
        <v>2.5</v>
      </c>
      <c r="N254" s="64"/>
      <c r="O254" s="103"/>
      <c r="P254" s="52" t="s">
        <v>20</v>
      </c>
    </row>
    <row r="255" spans="1:16" ht="15.75" customHeight="1">
      <c r="A255" s="28">
        <v>4</v>
      </c>
      <c r="B255" s="32">
        <v>45754</v>
      </c>
      <c r="C255" s="36" t="s">
        <v>323</v>
      </c>
      <c r="D255" s="43">
        <v>1</v>
      </c>
      <c r="E255" s="48" t="s">
        <v>26</v>
      </c>
      <c r="F255" s="48" t="s">
        <v>555</v>
      </c>
      <c r="G255" s="49">
        <v>7.0000000000000007E-2</v>
      </c>
      <c r="H255" s="10">
        <v>7.0000000000000007E-2</v>
      </c>
      <c r="I255" s="52">
        <v>1</v>
      </c>
      <c r="J255" s="10">
        <v>1</v>
      </c>
      <c r="K255" s="95" t="s">
        <v>346</v>
      </c>
      <c r="L255" s="57">
        <v>0.92999999999999994</v>
      </c>
      <c r="M255" s="50">
        <v>0.92999999999999994</v>
      </c>
      <c r="N255" s="64"/>
      <c r="O255" s="103"/>
      <c r="P255" s="52" t="s">
        <v>20</v>
      </c>
    </row>
    <row r="256" spans="1:16" ht="15.75" customHeight="1">
      <c r="A256" s="28">
        <v>4</v>
      </c>
      <c r="B256" s="32">
        <v>45754</v>
      </c>
      <c r="C256" s="36" t="s">
        <v>274</v>
      </c>
      <c r="D256" s="43">
        <v>3</v>
      </c>
      <c r="E256" s="48" t="s">
        <v>26</v>
      </c>
      <c r="F256" s="48" t="s">
        <v>555</v>
      </c>
      <c r="G256" s="49">
        <v>0</v>
      </c>
      <c r="H256" s="10">
        <v>0</v>
      </c>
      <c r="I256" s="52">
        <v>10</v>
      </c>
      <c r="J256" s="10">
        <v>30</v>
      </c>
      <c r="K256" s="95" t="s">
        <v>346</v>
      </c>
      <c r="L256" s="57">
        <v>1</v>
      </c>
      <c r="M256" s="50">
        <v>30</v>
      </c>
      <c r="N256" s="64"/>
      <c r="O256" s="103"/>
      <c r="P256" s="52" t="s">
        <v>20</v>
      </c>
    </row>
    <row r="257" spans="1:16" ht="15.75" customHeight="1">
      <c r="A257" s="28">
        <v>4</v>
      </c>
      <c r="B257" s="32">
        <v>45756</v>
      </c>
      <c r="C257" s="36" t="s">
        <v>323</v>
      </c>
      <c r="D257" s="43">
        <v>12</v>
      </c>
      <c r="E257" s="48" t="s">
        <v>26</v>
      </c>
      <c r="F257" s="48" t="s">
        <v>555</v>
      </c>
      <c r="G257" s="49">
        <v>7.0000000000000007E-2</v>
      </c>
      <c r="H257" s="10">
        <v>0.84000000000000008</v>
      </c>
      <c r="I257" s="52">
        <v>1</v>
      </c>
      <c r="J257" s="10">
        <v>12</v>
      </c>
      <c r="K257" s="95" t="s">
        <v>346</v>
      </c>
      <c r="L257" s="57">
        <v>0.93</v>
      </c>
      <c r="M257" s="50">
        <v>11.16</v>
      </c>
      <c r="N257" s="64"/>
      <c r="O257" s="103"/>
      <c r="P257" s="52" t="s">
        <v>20</v>
      </c>
    </row>
    <row r="258" spans="1:16" ht="15.75" customHeight="1">
      <c r="A258" s="28">
        <v>4</v>
      </c>
      <c r="B258" s="32">
        <v>45756</v>
      </c>
      <c r="C258" s="36" t="s">
        <v>655</v>
      </c>
      <c r="D258" s="43">
        <v>1</v>
      </c>
      <c r="E258" s="48" t="s">
        <v>620</v>
      </c>
      <c r="F258" s="48" t="s">
        <v>555</v>
      </c>
      <c r="G258" s="49">
        <v>45</v>
      </c>
      <c r="H258" s="10">
        <v>45</v>
      </c>
      <c r="I258" s="52">
        <v>65</v>
      </c>
      <c r="J258" s="10">
        <v>65</v>
      </c>
      <c r="K258" s="95" t="s">
        <v>346</v>
      </c>
      <c r="L258" s="57">
        <v>0.30769230769230771</v>
      </c>
      <c r="M258" s="50">
        <v>20</v>
      </c>
      <c r="N258" s="64"/>
      <c r="O258" s="103"/>
      <c r="P258" s="52" t="s">
        <v>20</v>
      </c>
    </row>
    <row r="259" spans="1:16" ht="15.75" customHeight="1">
      <c r="A259" s="28">
        <v>4</v>
      </c>
      <c r="B259" s="32">
        <v>45756</v>
      </c>
      <c r="C259" s="36" t="s">
        <v>112</v>
      </c>
      <c r="D259" s="43">
        <v>1</v>
      </c>
      <c r="E259" s="48" t="s">
        <v>656</v>
      </c>
      <c r="F259" s="48" t="s">
        <v>555</v>
      </c>
      <c r="G259" s="49">
        <v>12</v>
      </c>
      <c r="H259" s="10">
        <v>12</v>
      </c>
      <c r="I259" s="52">
        <v>30</v>
      </c>
      <c r="J259" s="10">
        <v>30</v>
      </c>
      <c r="K259" s="95" t="s">
        <v>346</v>
      </c>
      <c r="L259" s="57">
        <v>0.6</v>
      </c>
      <c r="M259" s="50">
        <v>18</v>
      </c>
      <c r="N259" s="64"/>
      <c r="O259" s="103"/>
      <c r="P259" s="52" t="s">
        <v>20</v>
      </c>
    </row>
    <row r="260" spans="1:16" ht="15.75" customHeight="1">
      <c r="A260" s="28">
        <v>4</v>
      </c>
      <c r="B260" s="32">
        <v>45756</v>
      </c>
      <c r="C260" s="36" t="s">
        <v>657</v>
      </c>
      <c r="D260" s="43">
        <v>1</v>
      </c>
      <c r="E260" s="48" t="s">
        <v>656</v>
      </c>
      <c r="F260" s="48" t="s">
        <v>555</v>
      </c>
      <c r="G260" s="49" t="s">
        <v>79</v>
      </c>
      <c r="H260" s="10">
        <v>0</v>
      </c>
      <c r="I260" s="52">
        <v>10</v>
      </c>
      <c r="J260" s="10">
        <v>10</v>
      </c>
      <c r="K260" s="95" t="s">
        <v>346</v>
      </c>
      <c r="L260" s="57">
        <v>1</v>
      </c>
      <c r="M260" s="50">
        <v>10</v>
      </c>
      <c r="N260" s="64"/>
      <c r="O260" s="103"/>
      <c r="P260" s="52" t="s">
        <v>20</v>
      </c>
    </row>
    <row r="261" spans="1:16" ht="15.75" customHeight="1">
      <c r="A261" s="28">
        <v>4</v>
      </c>
      <c r="B261" s="32">
        <v>45757</v>
      </c>
      <c r="C261" s="36" t="s">
        <v>321</v>
      </c>
      <c r="D261" s="43">
        <v>1</v>
      </c>
      <c r="E261" s="48" t="s">
        <v>658</v>
      </c>
      <c r="F261" s="48" t="s">
        <v>555</v>
      </c>
      <c r="G261" s="49">
        <v>3</v>
      </c>
      <c r="H261" s="10">
        <v>3</v>
      </c>
      <c r="I261" s="52">
        <v>10</v>
      </c>
      <c r="J261" s="10">
        <v>10</v>
      </c>
      <c r="K261" s="95" t="s">
        <v>346</v>
      </c>
      <c r="L261" s="57">
        <v>0.7</v>
      </c>
      <c r="M261" s="50">
        <v>7</v>
      </c>
      <c r="N261" s="64"/>
      <c r="O261" s="103"/>
      <c r="P261" s="52" t="s">
        <v>20</v>
      </c>
    </row>
    <row r="262" spans="1:16" ht="15.75" customHeight="1">
      <c r="A262" s="28">
        <v>4</v>
      </c>
      <c r="B262" s="32">
        <v>45757</v>
      </c>
      <c r="C262" s="36" t="s">
        <v>274</v>
      </c>
      <c r="D262" s="43">
        <v>1</v>
      </c>
      <c r="E262" s="48" t="s">
        <v>26</v>
      </c>
      <c r="F262" s="48" t="s">
        <v>555</v>
      </c>
      <c r="G262" s="49">
        <v>0</v>
      </c>
      <c r="H262" s="10">
        <v>0</v>
      </c>
      <c r="I262" s="52">
        <v>60</v>
      </c>
      <c r="J262" s="10">
        <v>60</v>
      </c>
      <c r="K262" s="95" t="s">
        <v>346</v>
      </c>
      <c r="L262" s="57">
        <v>1</v>
      </c>
      <c r="M262" s="50">
        <v>60</v>
      </c>
      <c r="N262" s="64"/>
      <c r="O262" s="103"/>
      <c r="P262" s="52" t="s">
        <v>20</v>
      </c>
    </row>
    <row r="263" spans="1:16" ht="15.75" customHeight="1">
      <c r="A263" s="28">
        <v>4</v>
      </c>
      <c r="B263" s="32">
        <v>45757</v>
      </c>
      <c r="C263" s="36" t="s">
        <v>323</v>
      </c>
      <c r="D263" s="43">
        <v>2</v>
      </c>
      <c r="E263" s="48" t="s">
        <v>26</v>
      </c>
      <c r="F263" s="48" t="s">
        <v>555</v>
      </c>
      <c r="G263" s="49">
        <v>7.0000000000000007E-2</v>
      </c>
      <c r="H263" s="10">
        <v>0.14000000000000001</v>
      </c>
      <c r="I263" s="52">
        <v>1</v>
      </c>
      <c r="J263" s="10">
        <v>2</v>
      </c>
      <c r="K263" s="95" t="s">
        <v>346</v>
      </c>
      <c r="L263" s="57">
        <v>0.92999999999999994</v>
      </c>
      <c r="M263" s="50">
        <v>1.8599999999999999</v>
      </c>
      <c r="N263" s="64"/>
      <c r="O263" s="103"/>
      <c r="P263" s="52" t="s">
        <v>20</v>
      </c>
    </row>
    <row r="264" spans="1:16" ht="15.75" customHeight="1">
      <c r="A264" s="28">
        <v>4</v>
      </c>
      <c r="B264" s="32">
        <v>45757</v>
      </c>
      <c r="C264" s="36" t="s">
        <v>659</v>
      </c>
      <c r="D264" s="43">
        <v>1</v>
      </c>
      <c r="E264" s="48" t="s">
        <v>495</v>
      </c>
      <c r="F264" s="48" t="s">
        <v>555</v>
      </c>
      <c r="G264" s="49">
        <v>8</v>
      </c>
      <c r="H264" s="10">
        <v>8</v>
      </c>
      <c r="I264" s="52">
        <v>15</v>
      </c>
      <c r="J264" s="10">
        <v>15</v>
      </c>
      <c r="K264" s="95" t="s">
        <v>346</v>
      </c>
      <c r="L264" s="57">
        <v>0.46666666666666667</v>
      </c>
      <c r="M264" s="50">
        <v>7</v>
      </c>
      <c r="N264" s="64"/>
      <c r="O264" s="103"/>
      <c r="P264" s="52" t="s">
        <v>20</v>
      </c>
    </row>
    <row r="265" spans="1:16" ht="15.75" customHeight="1">
      <c r="A265" s="28">
        <v>4</v>
      </c>
      <c r="B265" s="32">
        <v>45757</v>
      </c>
      <c r="C265" s="36" t="s">
        <v>660</v>
      </c>
      <c r="D265" s="43">
        <v>1</v>
      </c>
      <c r="E265" s="48" t="s">
        <v>661</v>
      </c>
      <c r="F265" s="48" t="s">
        <v>555</v>
      </c>
      <c r="G265" s="49" t="s">
        <v>79</v>
      </c>
      <c r="H265" s="10">
        <v>0</v>
      </c>
      <c r="I265" s="52">
        <v>150</v>
      </c>
      <c r="J265" s="10">
        <v>150</v>
      </c>
      <c r="K265" s="95" t="s">
        <v>346</v>
      </c>
      <c r="L265" s="57">
        <v>1</v>
      </c>
      <c r="M265" s="50">
        <v>150</v>
      </c>
      <c r="N265" s="64"/>
      <c r="O265" s="103"/>
      <c r="P265" s="52" t="s">
        <v>20</v>
      </c>
    </row>
    <row r="266" spans="1:16" ht="15.75" customHeight="1">
      <c r="A266" s="28">
        <v>4</v>
      </c>
      <c r="B266" s="32">
        <v>45757</v>
      </c>
      <c r="C266" s="36" t="s">
        <v>653</v>
      </c>
      <c r="D266" s="43">
        <v>2</v>
      </c>
      <c r="E266" s="48" t="s">
        <v>662</v>
      </c>
      <c r="F266" s="48" t="s">
        <v>555</v>
      </c>
      <c r="G266" s="49">
        <v>2</v>
      </c>
      <c r="H266" s="10">
        <v>4</v>
      </c>
      <c r="I266" s="52">
        <v>5</v>
      </c>
      <c r="J266" s="10">
        <v>10</v>
      </c>
      <c r="K266" s="95" t="s">
        <v>346</v>
      </c>
      <c r="L266" s="57">
        <v>0.6</v>
      </c>
      <c r="M266" s="50">
        <v>6</v>
      </c>
      <c r="N266" s="64"/>
      <c r="O266" s="103"/>
      <c r="P266" s="52" t="s">
        <v>20</v>
      </c>
    </row>
    <row r="267" spans="1:16" ht="15.75" customHeight="1">
      <c r="A267" s="28">
        <v>4</v>
      </c>
      <c r="B267" s="32">
        <v>45757</v>
      </c>
      <c r="C267" s="36" t="s">
        <v>663</v>
      </c>
      <c r="D267" s="43">
        <v>1</v>
      </c>
      <c r="E267" s="48" t="s">
        <v>664</v>
      </c>
      <c r="F267" s="48" t="s">
        <v>555</v>
      </c>
      <c r="G267" s="49" t="s">
        <v>79</v>
      </c>
      <c r="H267" s="10">
        <v>0</v>
      </c>
      <c r="I267" s="52">
        <v>300</v>
      </c>
      <c r="J267" s="10">
        <v>300</v>
      </c>
      <c r="K267" s="95" t="s">
        <v>346</v>
      </c>
      <c r="L267" s="57">
        <v>1</v>
      </c>
      <c r="M267" s="50">
        <v>300</v>
      </c>
      <c r="N267" s="64"/>
      <c r="O267" s="103"/>
      <c r="P267" s="52" t="s">
        <v>20</v>
      </c>
    </row>
    <row r="268" spans="1:16" ht="15.75" customHeight="1">
      <c r="A268" s="28">
        <v>4</v>
      </c>
      <c r="B268" s="32">
        <v>45758</v>
      </c>
      <c r="C268" s="36" t="s">
        <v>323</v>
      </c>
      <c r="D268" s="43">
        <v>1</v>
      </c>
      <c r="E268" s="48" t="s">
        <v>58</v>
      </c>
      <c r="F268" s="48" t="s">
        <v>555</v>
      </c>
      <c r="G268" s="49">
        <v>7.0000000000000007E-2</v>
      </c>
      <c r="H268" s="10">
        <v>7.0000000000000007E-2</v>
      </c>
      <c r="I268" s="52">
        <v>1</v>
      </c>
      <c r="J268" s="10">
        <v>1</v>
      </c>
      <c r="K268" s="95" t="s">
        <v>346</v>
      </c>
      <c r="L268" s="57">
        <v>0.92999999999999994</v>
      </c>
      <c r="M268" s="50">
        <v>0.92999999999999994</v>
      </c>
      <c r="N268" s="64"/>
      <c r="O268" s="103"/>
      <c r="P268" s="52" t="s">
        <v>20</v>
      </c>
    </row>
    <row r="269" spans="1:16" ht="15.75" customHeight="1">
      <c r="A269" s="28">
        <v>4</v>
      </c>
      <c r="B269" s="32">
        <v>45758</v>
      </c>
      <c r="C269" s="36" t="s">
        <v>321</v>
      </c>
      <c r="D269" s="43">
        <v>1</v>
      </c>
      <c r="E269" s="48" t="s">
        <v>583</v>
      </c>
      <c r="F269" s="48" t="s">
        <v>555</v>
      </c>
      <c r="G269" s="49">
        <v>3</v>
      </c>
      <c r="H269" s="10">
        <v>3</v>
      </c>
      <c r="I269" s="52">
        <v>15</v>
      </c>
      <c r="J269" s="10">
        <v>15</v>
      </c>
      <c r="K269" s="95" t="s">
        <v>346</v>
      </c>
      <c r="L269" s="57">
        <v>0.8</v>
      </c>
      <c r="M269" s="50">
        <v>12</v>
      </c>
      <c r="N269" s="64"/>
      <c r="O269" s="103">
        <v>15</v>
      </c>
      <c r="P269" s="52" t="s">
        <v>20</v>
      </c>
    </row>
    <row r="270" spans="1:16" ht="15.75" customHeight="1">
      <c r="A270" s="28">
        <v>4</v>
      </c>
      <c r="B270" s="32">
        <v>45758</v>
      </c>
      <c r="C270" s="36" t="s">
        <v>559</v>
      </c>
      <c r="D270" s="43">
        <v>4</v>
      </c>
      <c r="E270" s="48" t="s">
        <v>26</v>
      </c>
      <c r="F270" s="48" t="s">
        <v>555</v>
      </c>
      <c r="G270" s="49" t="s">
        <v>79</v>
      </c>
      <c r="H270" s="10">
        <v>0</v>
      </c>
      <c r="I270" s="52">
        <v>5</v>
      </c>
      <c r="J270" s="10">
        <v>20</v>
      </c>
      <c r="K270" s="95" t="s">
        <v>346</v>
      </c>
      <c r="L270" s="57">
        <v>1</v>
      </c>
      <c r="M270" s="50">
        <v>20</v>
      </c>
      <c r="N270" s="64"/>
      <c r="O270" s="103"/>
      <c r="P270" s="52" t="s">
        <v>20</v>
      </c>
    </row>
    <row r="271" spans="1:16" ht="15.75" customHeight="1">
      <c r="A271" s="28">
        <v>4</v>
      </c>
      <c r="B271" s="32">
        <v>45758</v>
      </c>
      <c r="C271" s="36" t="s">
        <v>501</v>
      </c>
      <c r="D271" s="43">
        <v>1</v>
      </c>
      <c r="E271" s="48" t="s">
        <v>26</v>
      </c>
      <c r="F271" s="48" t="s">
        <v>555</v>
      </c>
      <c r="G271" s="49">
        <v>0.8</v>
      </c>
      <c r="H271" s="10">
        <v>0.8</v>
      </c>
      <c r="I271" s="52">
        <v>5</v>
      </c>
      <c r="J271" s="10">
        <v>5</v>
      </c>
      <c r="K271" s="95" t="s">
        <v>346</v>
      </c>
      <c r="L271" s="57">
        <v>0.84000000000000008</v>
      </c>
      <c r="M271" s="50">
        <v>4.2</v>
      </c>
      <c r="N271" s="64"/>
      <c r="O271" s="103"/>
      <c r="P271" s="52" t="s">
        <v>20</v>
      </c>
    </row>
    <row r="272" spans="1:16" ht="15.75" customHeight="1">
      <c r="A272" s="28">
        <v>4</v>
      </c>
      <c r="B272" s="32">
        <v>45758</v>
      </c>
      <c r="C272" s="36" t="s">
        <v>665</v>
      </c>
      <c r="D272" s="43">
        <v>1</v>
      </c>
      <c r="E272" s="48" t="s">
        <v>239</v>
      </c>
      <c r="F272" s="48" t="s">
        <v>555</v>
      </c>
      <c r="G272" s="49">
        <v>10</v>
      </c>
      <c r="H272" s="10">
        <v>10</v>
      </c>
      <c r="I272" s="52">
        <v>25</v>
      </c>
      <c r="J272" s="10">
        <v>25</v>
      </c>
      <c r="K272" s="95" t="s">
        <v>346</v>
      </c>
      <c r="L272" s="57">
        <v>0.6</v>
      </c>
      <c r="M272" s="50">
        <v>15</v>
      </c>
      <c r="N272" s="64"/>
      <c r="O272" s="103"/>
      <c r="P272" s="52" t="s">
        <v>20</v>
      </c>
    </row>
    <row r="273" spans="1:16" ht="15.75" customHeight="1">
      <c r="A273" s="28">
        <v>4</v>
      </c>
      <c r="B273" s="32">
        <v>45758</v>
      </c>
      <c r="C273" s="36" t="s">
        <v>666</v>
      </c>
      <c r="D273" s="43">
        <v>1</v>
      </c>
      <c r="E273" s="48" t="s">
        <v>662</v>
      </c>
      <c r="F273" s="48" t="s">
        <v>555</v>
      </c>
      <c r="G273" s="49" t="s">
        <v>79</v>
      </c>
      <c r="H273" s="10">
        <v>0</v>
      </c>
      <c r="I273" s="52">
        <v>10</v>
      </c>
      <c r="J273" s="10">
        <v>10</v>
      </c>
      <c r="K273" s="95" t="s">
        <v>346</v>
      </c>
      <c r="L273" s="57">
        <v>1</v>
      </c>
      <c r="M273" s="50">
        <v>10</v>
      </c>
      <c r="N273" s="64"/>
      <c r="O273" s="103"/>
      <c r="P273" s="52" t="s">
        <v>20</v>
      </c>
    </row>
    <row r="274" spans="1:16" ht="15.75" customHeight="1">
      <c r="A274" s="28">
        <v>4</v>
      </c>
      <c r="B274" s="32">
        <v>45759</v>
      </c>
      <c r="C274" s="36" t="s">
        <v>667</v>
      </c>
      <c r="D274" s="43">
        <v>1</v>
      </c>
      <c r="E274" s="48" t="s">
        <v>545</v>
      </c>
      <c r="F274" s="48" t="s">
        <v>555</v>
      </c>
      <c r="G274" s="49">
        <v>35</v>
      </c>
      <c r="H274" s="10">
        <v>35</v>
      </c>
      <c r="I274" s="52">
        <v>65</v>
      </c>
      <c r="J274" s="10">
        <v>65</v>
      </c>
      <c r="K274" s="95" t="s">
        <v>346</v>
      </c>
      <c r="L274" s="57">
        <v>0.46153846153846156</v>
      </c>
      <c r="M274" s="50">
        <v>30</v>
      </c>
      <c r="N274" s="64"/>
      <c r="O274" s="103"/>
      <c r="P274" s="52" t="s">
        <v>20</v>
      </c>
    </row>
    <row r="275" spans="1:16" ht="15.75" customHeight="1">
      <c r="A275" s="28">
        <v>4</v>
      </c>
      <c r="B275" s="32">
        <v>45759</v>
      </c>
      <c r="C275" s="36" t="s">
        <v>323</v>
      </c>
      <c r="D275" s="43">
        <v>4</v>
      </c>
      <c r="E275" s="48" t="s">
        <v>26</v>
      </c>
      <c r="F275" s="48" t="s">
        <v>555</v>
      </c>
      <c r="G275" s="49">
        <v>7.0000000000000007E-2</v>
      </c>
      <c r="H275" s="10">
        <v>0.28000000000000003</v>
      </c>
      <c r="I275" s="52">
        <v>1</v>
      </c>
      <c r="J275" s="10">
        <v>4</v>
      </c>
      <c r="K275" s="95" t="s">
        <v>346</v>
      </c>
      <c r="L275" s="57">
        <v>0.92999999999999994</v>
      </c>
      <c r="M275" s="50">
        <v>3.7199999999999998</v>
      </c>
      <c r="N275" s="64"/>
      <c r="O275" s="103"/>
      <c r="P275" s="52" t="s">
        <v>20</v>
      </c>
    </row>
    <row r="276" spans="1:16" ht="15.75" customHeight="1">
      <c r="A276" s="28">
        <v>4</v>
      </c>
      <c r="B276" s="32">
        <v>45761</v>
      </c>
      <c r="C276" s="36" t="s">
        <v>323</v>
      </c>
      <c r="D276" s="43">
        <v>7</v>
      </c>
      <c r="E276" s="48" t="s">
        <v>26</v>
      </c>
      <c r="F276" s="48" t="s">
        <v>555</v>
      </c>
      <c r="G276" s="49">
        <v>7.0000000000000007E-2</v>
      </c>
      <c r="H276" s="10">
        <v>0.49000000000000005</v>
      </c>
      <c r="I276" s="52">
        <v>1</v>
      </c>
      <c r="J276" s="10">
        <v>7</v>
      </c>
      <c r="K276" s="95" t="s">
        <v>346</v>
      </c>
      <c r="L276" s="57">
        <v>0.92999999999999994</v>
      </c>
      <c r="M276" s="50">
        <v>6.51</v>
      </c>
      <c r="N276" s="64"/>
      <c r="O276" s="103"/>
      <c r="P276" s="52" t="s">
        <v>20</v>
      </c>
    </row>
    <row r="277" spans="1:16" ht="15.75" customHeight="1">
      <c r="A277" s="28">
        <v>4</v>
      </c>
      <c r="B277" s="32">
        <v>45762</v>
      </c>
      <c r="C277" s="36" t="s">
        <v>334</v>
      </c>
      <c r="D277" s="43">
        <v>1</v>
      </c>
      <c r="E277" s="48" t="s">
        <v>26</v>
      </c>
      <c r="F277" s="48" t="s">
        <v>555</v>
      </c>
      <c r="G277" s="49">
        <v>0.05</v>
      </c>
      <c r="H277" s="10">
        <v>0.05</v>
      </c>
      <c r="I277" s="52">
        <v>1</v>
      </c>
      <c r="J277" s="10">
        <v>1</v>
      </c>
      <c r="K277" s="95" t="s">
        <v>346</v>
      </c>
      <c r="L277" s="57">
        <v>0.95</v>
      </c>
      <c r="M277" s="50">
        <v>0.95</v>
      </c>
      <c r="N277" s="64"/>
      <c r="O277" s="103"/>
      <c r="P277" s="52" t="s">
        <v>20</v>
      </c>
    </row>
    <row r="278" spans="1:16" ht="15" customHeight="1">
      <c r="A278" s="28">
        <v>4</v>
      </c>
      <c r="B278" s="32">
        <v>45762</v>
      </c>
      <c r="C278" s="36" t="s">
        <v>668</v>
      </c>
      <c r="D278" s="43">
        <v>1</v>
      </c>
      <c r="E278" s="48" t="s">
        <v>669</v>
      </c>
      <c r="F278" s="48" t="s">
        <v>555</v>
      </c>
      <c r="G278" s="49" t="s">
        <v>79</v>
      </c>
      <c r="H278" s="10">
        <v>0</v>
      </c>
      <c r="I278" s="52">
        <v>200</v>
      </c>
      <c r="J278" s="10">
        <v>200</v>
      </c>
      <c r="K278" s="95" t="s">
        <v>346</v>
      </c>
      <c r="L278" s="57">
        <v>1</v>
      </c>
      <c r="M278" s="50">
        <v>200</v>
      </c>
      <c r="N278" s="64"/>
      <c r="O278" s="103"/>
      <c r="P278" s="52" t="s">
        <v>20</v>
      </c>
    </row>
    <row r="279" spans="1:16" ht="15" customHeight="1">
      <c r="A279" s="28">
        <v>4</v>
      </c>
      <c r="B279" s="32">
        <v>45763</v>
      </c>
      <c r="C279" s="36" t="s">
        <v>670</v>
      </c>
      <c r="D279" s="43">
        <v>4</v>
      </c>
      <c r="E279" s="48" t="s">
        <v>26</v>
      </c>
      <c r="F279" s="48" t="s">
        <v>555</v>
      </c>
      <c r="G279" s="49">
        <v>10</v>
      </c>
      <c r="H279" s="10">
        <v>40</v>
      </c>
      <c r="I279" s="52">
        <v>10</v>
      </c>
      <c r="J279" s="10">
        <v>40</v>
      </c>
      <c r="K279" s="95" t="s">
        <v>346</v>
      </c>
      <c r="L279" s="57">
        <v>0</v>
      </c>
      <c r="M279" s="50">
        <v>0</v>
      </c>
      <c r="N279" s="64"/>
      <c r="O279" s="103"/>
      <c r="P279" s="52" t="s">
        <v>20</v>
      </c>
    </row>
    <row r="280" spans="1:16" ht="15" customHeight="1">
      <c r="A280" s="28">
        <v>4</v>
      </c>
      <c r="B280" s="32">
        <v>45763</v>
      </c>
      <c r="C280" s="36" t="s">
        <v>671</v>
      </c>
      <c r="D280" s="43">
        <v>3</v>
      </c>
      <c r="E280" s="48" t="s">
        <v>495</v>
      </c>
      <c r="F280" s="48" t="s">
        <v>555</v>
      </c>
      <c r="G280" s="49" t="s">
        <v>79</v>
      </c>
      <c r="H280" s="10">
        <v>0</v>
      </c>
      <c r="I280" s="52">
        <v>5</v>
      </c>
      <c r="J280" s="10">
        <v>15</v>
      </c>
      <c r="K280" s="95" t="s">
        <v>346</v>
      </c>
      <c r="L280" s="57">
        <v>1</v>
      </c>
      <c r="M280" s="50">
        <v>15</v>
      </c>
      <c r="N280" s="64"/>
      <c r="O280" s="103"/>
      <c r="P280" s="52" t="s">
        <v>20</v>
      </c>
    </row>
    <row r="281" spans="1:16" ht="15" customHeight="1">
      <c r="A281" s="28">
        <v>4</v>
      </c>
      <c r="B281" s="32">
        <v>45763</v>
      </c>
      <c r="C281" s="36" t="s">
        <v>607</v>
      </c>
      <c r="D281" s="43">
        <v>1</v>
      </c>
      <c r="E281" s="48" t="s">
        <v>650</v>
      </c>
      <c r="F281" s="48" t="s">
        <v>555</v>
      </c>
      <c r="G281" s="49">
        <v>10</v>
      </c>
      <c r="H281" s="10">
        <v>10</v>
      </c>
      <c r="I281" s="52">
        <v>30</v>
      </c>
      <c r="J281" s="10">
        <v>30</v>
      </c>
      <c r="K281" s="95" t="s">
        <v>346</v>
      </c>
      <c r="L281" s="57">
        <v>0.66666666666666663</v>
      </c>
      <c r="M281" s="50">
        <v>20</v>
      </c>
      <c r="N281" s="64">
        <v>16</v>
      </c>
      <c r="O281" s="103">
        <v>14</v>
      </c>
      <c r="P281" s="52" t="s">
        <v>20</v>
      </c>
    </row>
    <row r="282" spans="1:16" ht="15" customHeight="1">
      <c r="A282" s="28">
        <v>4</v>
      </c>
      <c r="B282" s="32">
        <v>45763</v>
      </c>
      <c r="C282" s="36" t="s">
        <v>323</v>
      </c>
      <c r="D282" s="43">
        <v>11</v>
      </c>
      <c r="E282" s="48" t="s">
        <v>26</v>
      </c>
      <c r="F282" s="48" t="s">
        <v>555</v>
      </c>
      <c r="G282" s="49">
        <v>7.0000000000000007E-2</v>
      </c>
      <c r="H282" s="10">
        <v>0.77</v>
      </c>
      <c r="I282" s="52">
        <v>1</v>
      </c>
      <c r="J282" s="10">
        <v>11</v>
      </c>
      <c r="K282" s="95" t="s">
        <v>346</v>
      </c>
      <c r="L282" s="57">
        <v>0.93</v>
      </c>
      <c r="M282" s="50">
        <v>10.23</v>
      </c>
      <c r="N282" s="64"/>
      <c r="O282" s="103"/>
      <c r="P282" s="52" t="s">
        <v>20</v>
      </c>
    </row>
    <row r="283" spans="1:16" ht="15" customHeight="1">
      <c r="A283" s="28">
        <v>4</v>
      </c>
      <c r="B283" s="32">
        <v>45763</v>
      </c>
      <c r="C283" s="36" t="s">
        <v>323</v>
      </c>
      <c r="D283" s="43">
        <v>2</v>
      </c>
      <c r="E283" s="48" t="s">
        <v>58</v>
      </c>
      <c r="F283" s="48" t="s">
        <v>555</v>
      </c>
      <c r="G283" s="49">
        <v>7.0000000000000007E-2</v>
      </c>
      <c r="H283" s="10">
        <v>0.14000000000000001</v>
      </c>
      <c r="I283" s="52">
        <v>1</v>
      </c>
      <c r="J283" s="10">
        <v>2</v>
      </c>
      <c r="K283" s="95" t="s">
        <v>346</v>
      </c>
      <c r="L283" s="57">
        <v>0.92999999999999994</v>
      </c>
      <c r="M283" s="50">
        <v>1.8599999999999999</v>
      </c>
      <c r="N283" s="64"/>
      <c r="O283" s="103"/>
      <c r="P283" s="52" t="s">
        <v>20</v>
      </c>
    </row>
    <row r="284" spans="1:16" ht="15" customHeight="1">
      <c r="A284" s="28">
        <v>4</v>
      </c>
      <c r="B284" s="32">
        <v>45763</v>
      </c>
      <c r="C284" s="36" t="s">
        <v>670</v>
      </c>
      <c r="D284" s="43">
        <v>1</v>
      </c>
      <c r="E284" s="48" t="s">
        <v>26</v>
      </c>
      <c r="F284" s="48" t="s">
        <v>555</v>
      </c>
      <c r="G284" s="49">
        <v>10</v>
      </c>
      <c r="H284" s="10">
        <v>10</v>
      </c>
      <c r="I284" s="52">
        <v>10</v>
      </c>
      <c r="J284" s="10">
        <v>10</v>
      </c>
      <c r="K284" s="95" t="s">
        <v>346</v>
      </c>
      <c r="L284" s="57">
        <v>0</v>
      </c>
      <c r="M284" s="50">
        <v>0</v>
      </c>
      <c r="N284" s="64"/>
      <c r="O284" s="103"/>
      <c r="P284" s="52" t="s">
        <v>20</v>
      </c>
    </row>
    <row r="285" spans="1:16" ht="15" customHeight="1">
      <c r="A285" s="28">
        <v>4</v>
      </c>
      <c r="B285" s="32">
        <v>45764</v>
      </c>
      <c r="C285" s="36" t="s">
        <v>672</v>
      </c>
      <c r="D285" s="43">
        <v>1</v>
      </c>
      <c r="E285" s="48" t="s">
        <v>26</v>
      </c>
      <c r="F285" s="48" t="s">
        <v>555</v>
      </c>
      <c r="G285" s="49">
        <v>5.5</v>
      </c>
      <c r="H285" s="10">
        <v>5.5</v>
      </c>
      <c r="I285" s="52">
        <v>10</v>
      </c>
      <c r="J285" s="10">
        <v>10</v>
      </c>
      <c r="K285" s="95" t="s">
        <v>346</v>
      </c>
      <c r="L285" s="57">
        <v>0.45</v>
      </c>
      <c r="M285" s="50">
        <v>4.5</v>
      </c>
      <c r="N285" s="64"/>
      <c r="O285" s="103"/>
      <c r="P285" s="52" t="s">
        <v>20</v>
      </c>
    </row>
    <row r="286" spans="1:16" ht="15" customHeight="1">
      <c r="A286" s="28">
        <v>4</v>
      </c>
      <c r="B286" s="32">
        <v>45764</v>
      </c>
      <c r="C286" s="36" t="s">
        <v>570</v>
      </c>
      <c r="D286" s="43">
        <v>1</v>
      </c>
      <c r="E286" s="48" t="s">
        <v>26</v>
      </c>
      <c r="F286" s="48" t="s">
        <v>555</v>
      </c>
      <c r="G286" s="49">
        <v>32</v>
      </c>
      <c r="H286" s="10">
        <v>32</v>
      </c>
      <c r="I286" s="52">
        <v>65</v>
      </c>
      <c r="J286" s="10">
        <v>65</v>
      </c>
      <c r="K286" s="95" t="s">
        <v>346</v>
      </c>
      <c r="L286" s="57">
        <v>0.50769230769230766</v>
      </c>
      <c r="M286" s="50">
        <v>33</v>
      </c>
      <c r="N286" s="64"/>
      <c r="O286" s="103"/>
      <c r="P286" s="52" t="s">
        <v>20</v>
      </c>
    </row>
    <row r="287" spans="1:16" ht="15" customHeight="1">
      <c r="A287" s="28">
        <v>4</v>
      </c>
      <c r="B287" s="32">
        <v>45764</v>
      </c>
      <c r="C287" s="36" t="s">
        <v>323</v>
      </c>
      <c r="D287" s="43">
        <v>2</v>
      </c>
      <c r="E287" s="48" t="s">
        <v>620</v>
      </c>
      <c r="F287" s="48" t="s">
        <v>555</v>
      </c>
      <c r="G287" s="49">
        <v>7.0000000000000007E-2</v>
      </c>
      <c r="H287" s="10">
        <v>0.14000000000000001</v>
      </c>
      <c r="I287" s="52">
        <v>1</v>
      </c>
      <c r="J287" s="10">
        <v>2</v>
      </c>
      <c r="K287" s="95" t="s">
        <v>346</v>
      </c>
      <c r="L287" s="57">
        <v>0.92999999999999994</v>
      </c>
      <c r="M287" s="50">
        <v>1.8599999999999999</v>
      </c>
      <c r="N287" s="64"/>
      <c r="O287" s="103"/>
      <c r="P287" s="52" t="s">
        <v>20</v>
      </c>
    </row>
    <row r="288" spans="1:16" ht="15" customHeight="1">
      <c r="A288" s="28">
        <v>4</v>
      </c>
      <c r="B288" s="32">
        <v>45764</v>
      </c>
      <c r="C288" s="36" t="s">
        <v>673</v>
      </c>
      <c r="D288" s="43">
        <v>1</v>
      </c>
      <c r="E288" s="48" t="s">
        <v>620</v>
      </c>
      <c r="F288" s="48" t="s">
        <v>555</v>
      </c>
      <c r="G288" s="49">
        <v>10</v>
      </c>
      <c r="H288" s="10">
        <v>10</v>
      </c>
      <c r="I288" s="52">
        <v>20</v>
      </c>
      <c r="J288" s="10">
        <v>20</v>
      </c>
      <c r="K288" s="95" t="s">
        <v>346</v>
      </c>
      <c r="L288" s="57">
        <v>0.5</v>
      </c>
      <c r="M288" s="50">
        <v>10</v>
      </c>
      <c r="N288" s="64"/>
      <c r="O288" s="103"/>
      <c r="P288" s="52" t="s">
        <v>20</v>
      </c>
    </row>
    <row r="289" spans="1:16" ht="15" customHeight="1">
      <c r="A289" s="28">
        <v>4</v>
      </c>
      <c r="B289" s="32">
        <v>45766</v>
      </c>
      <c r="C289" s="36" t="s">
        <v>334</v>
      </c>
      <c r="D289" s="43">
        <v>1</v>
      </c>
      <c r="E289" s="48" t="s">
        <v>26</v>
      </c>
      <c r="F289" s="48" t="s">
        <v>555</v>
      </c>
      <c r="G289" s="49">
        <v>0.05</v>
      </c>
      <c r="H289" s="10">
        <v>0.05</v>
      </c>
      <c r="I289" s="52">
        <v>1</v>
      </c>
      <c r="J289" s="10">
        <v>1</v>
      </c>
      <c r="K289" s="95" t="s">
        <v>346</v>
      </c>
      <c r="L289" s="57">
        <v>0.95</v>
      </c>
      <c r="M289" s="50">
        <v>0.95</v>
      </c>
      <c r="N289" s="64"/>
      <c r="O289" s="103"/>
      <c r="P289" s="52" t="s">
        <v>20</v>
      </c>
    </row>
    <row r="290" spans="1:16" ht="15" customHeight="1">
      <c r="A290" s="28">
        <v>4</v>
      </c>
      <c r="B290" s="32">
        <v>45766</v>
      </c>
      <c r="C290" s="36" t="s">
        <v>653</v>
      </c>
      <c r="D290" s="43">
        <v>4</v>
      </c>
      <c r="E290" s="48" t="s">
        <v>674</v>
      </c>
      <c r="F290" s="48" t="s">
        <v>555</v>
      </c>
      <c r="G290" s="49">
        <v>2</v>
      </c>
      <c r="H290" s="10">
        <v>8</v>
      </c>
      <c r="I290" s="52">
        <v>5</v>
      </c>
      <c r="J290" s="10">
        <v>20</v>
      </c>
      <c r="K290" s="95" t="s">
        <v>346</v>
      </c>
      <c r="L290" s="57">
        <v>0.6</v>
      </c>
      <c r="M290" s="50">
        <v>12</v>
      </c>
      <c r="N290" s="64"/>
      <c r="O290" s="103"/>
      <c r="P290" s="52" t="s">
        <v>20</v>
      </c>
    </row>
    <row r="291" spans="1:16" ht="15" customHeight="1">
      <c r="A291" s="28">
        <v>4</v>
      </c>
      <c r="B291" s="32">
        <v>45766</v>
      </c>
      <c r="C291" s="36" t="s">
        <v>323</v>
      </c>
      <c r="D291" s="43">
        <v>44</v>
      </c>
      <c r="E291" s="48" t="s">
        <v>674</v>
      </c>
      <c r="F291" s="48" t="s">
        <v>555</v>
      </c>
      <c r="G291" s="49">
        <v>7.0000000000000007E-2</v>
      </c>
      <c r="H291" s="10">
        <v>3.08</v>
      </c>
      <c r="I291" s="52">
        <v>0.5</v>
      </c>
      <c r="J291" s="10">
        <v>22</v>
      </c>
      <c r="K291" s="95" t="s">
        <v>346</v>
      </c>
      <c r="L291" s="57">
        <v>0.8600000000000001</v>
      </c>
      <c r="M291" s="50">
        <v>18.920000000000002</v>
      </c>
      <c r="N291" s="64"/>
      <c r="O291" s="103"/>
      <c r="P291" s="52" t="s">
        <v>20</v>
      </c>
    </row>
    <row r="292" spans="1:16" ht="15" customHeight="1">
      <c r="A292" s="28">
        <v>4</v>
      </c>
      <c r="B292" s="32">
        <v>45766</v>
      </c>
      <c r="C292" s="36" t="s">
        <v>283</v>
      </c>
      <c r="D292" s="43">
        <v>1</v>
      </c>
      <c r="E292" s="48" t="s">
        <v>675</v>
      </c>
      <c r="F292" s="48" t="s">
        <v>555</v>
      </c>
      <c r="G292" s="49">
        <v>18</v>
      </c>
      <c r="H292" s="10">
        <v>18</v>
      </c>
      <c r="I292" s="52">
        <v>30</v>
      </c>
      <c r="J292" s="10">
        <v>30</v>
      </c>
      <c r="K292" s="95" t="s">
        <v>346</v>
      </c>
      <c r="L292" s="57">
        <v>0.4</v>
      </c>
      <c r="M292" s="50">
        <v>12</v>
      </c>
      <c r="N292" s="64"/>
      <c r="O292" s="103"/>
      <c r="P292" s="52" t="s">
        <v>20</v>
      </c>
    </row>
    <row r="293" spans="1:16" ht="15" customHeight="1">
      <c r="A293" s="28">
        <v>4</v>
      </c>
      <c r="B293" s="32">
        <v>45766</v>
      </c>
      <c r="C293" s="36" t="s">
        <v>323</v>
      </c>
      <c r="D293" s="43">
        <v>1</v>
      </c>
      <c r="E293" s="48" t="s">
        <v>395</v>
      </c>
      <c r="F293" s="48" t="s">
        <v>555</v>
      </c>
      <c r="G293" s="49">
        <v>7.0000000000000007E-2</v>
      </c>
      <c r="H293" s="10">
        <v>7.0000000000000007E-2</v>
      </c>
      <c r="I293" s="52">
        <v>1</v>
      </c>
      <c r="J293" s="10">
        <v>1</v>
      </c>
      <c r="K293" s="95" t="s">
        <v>346</v>
      </c>
      <c r="L293" s="57">
        <v>0.92999999999999994</v>
      </c>
      <c r="M293" s="50">
        <v>0.92999999999999994</v>
      </c>
      <c r="N293" s="64"/>
      <c r="O293" s="103"/>
      <c r="P293" s="52" t="s">
        <v>20</v>
      </c>
    </row>
    <row r="294" spans="1:16" ht="15" customHeight="1">
      <c r="A294" s="28">
        <v>4</v>
      </c>
      <c r="B294" s="32">
        <v>45766</v>
      </c>
      <c r="C294" s="36" t="s">
        <v>670</v>
      </c>
      <c r="D294" s="43">
        <v>3</v>
      </c>
      <c r="E294" s="48" t="s">
        <v>495</v>
      </c>
      <c r="F294" s="48" t="s">
        <v>555</v>
      </c>
      <c r="G294" s="49">
        <v>10</v>
      </c>
      <c r="H294" s="10">
        <v>30</v>
      </c>
      <c r="I294" s="52">
        <v>10</v>
      </c>
      <c r="J294" s="10">
        <v>30</v>
      </c>
      <c r="K294" s="95" t="s">
        <v>346</v>
      </c>
      <c r="L294" s="57">
        <v>0</v>
      </c>
      <c r="M294" s="50">
        <v>0</v>
      </c>
      <c r="N294" s="64"/>
      <c r="O294" s="103"/>
      <c r="P294" s="52" t="s">
        <v>20</v>
      </c>
    </row>
    <row r="295" spans="1:16" ht="15" customHeight="1">
      <c r="A295" s="28">
        <v>4</v>
      </c>
      <c r="B295" s="32">
        <v>45769</v>
      </c>
      <c r="C295" s="36" t="s">
        <v>676</v>
      </c>
      <c r="D295" s="43">
        <v>1</v>
      </c>
      <c r="E295" s="48" t="s">
        <v>239</v>
      </c>
      <c r="F295" s="48" t="s">
        <v>555</v>
      </c>
      <c r="G295" s="49">
        <v>5</v>
      </c>
      <c r="H295" s="10">
        <v>5</v>
      </c>
      <c r="I295" s="52">
        <v>5</v>
      </c>
      <c r="J295" s="10">
        <v>5</v>
      </c>
      <c r="K295" s="95" t="s">
        <v>346</v>
      </c>
      <c r="L295" s="57">
        <v>0</v>
      </c>
      <c r="M295" s="50">
        <v>0</v>
      </c>
      <c r="N295" s="64"/>
      <c r="O295" s="103">
        <v>5</v>
      </c>
      <c r="P295" s="52" t="s">
        <v>20</v>
      </c>
    </row>
    <row r="296" spans="1:16" ht="15" customHeight="1">
      <c r="A296" s="28">
        <v>4</v>
      </c>
      <c r="B296" s="32">
        <v>45769</v>
      </c>
      <c r="C296" s="36" t="s">
        <v>358</v>
      </c>
      <c r="D296" s="43">
        <v>1</v>
      </c>
      <c r="E296" s="48" t="s">
        <v>620</v>
      </c>
      <c r="F296" s="48" t="s">
        <v>555</v>
      </c>
      <c r="G296" s="49">
        <v>10</v>
      </c>
      <c r="H296" s="10">
        <v>10</v>
      </c>
      <c r="I296" s="52">
        <v>20</v>
      </c>
      <c r="J296" s="10">
        <v>20</v>
      </c>
      <c r="K296" s="95" t="s">
        <v>346</v>
      </c>
      <c r="L296" s="57">
        <v>0.5</v>
      </c>
      <c r="M296" s="50">
        <v>10</v>
      </c>
      <c r="N296" s="64"/>
      <c r="O296" s="103">
        <v>20</v>
      </c>
      <c r="P296" s="52" t="s">
        <v>20</v>
      </c>
    </row>
    <row r="297" spans="1:16" ht="15" customHeight="1">
      <c r="A297" s="28">
        <v>4</v>
      </c>
      <c r="B297" s="32">
        <v>45769</v>
      </c>
      <c r="C297" s="36" t="s">
        <v>670</v>
      </c>
      <c r="D297" s="43">
        <v>1</v>
      </c>
      <c r="E297" s="48" t="s">
        <v>620</v>
      </c>
      <c r="F297" s="48" t="s">
        <v>555</v>
      </c>
      <c r="G297" s="49">
        <v>10</v>
      </c>
      <c r="H297" s="10">
        <v>10</v>
      </c>
      <c r="I297" s="52">
        <v>10</v>
      </c>
      <c r="J297" s="10">
        <v>10</v>
      </c>
      <c r="K297" s="95" t="s">
        <v>346</v>
      </c>
      <c r="L297" s="57">
        <v>0</v>
      </c>
      <c r="M297" s="50">
        <v>0</v>
      </c>
      <c r="N297" s="64"/>
      <c r="O297" s="103">
        <v>10</v>
      </c>
      <c r="P297" s="52" t="s">
        <v>20</v>
      </c>
    </row>
    <row r="298" spans="1:16" ht="15" customHeight="1">
      <c r="A298" s="28">
        <v>4</v>
      </c>
      <c r="B298" s="32">
        <v>45769</v>
      </c>
      <c r="C298" s="36" t="s">
        <v>670</v>
      </c>
      <c r="D298" s="43">
        <v>1</v>
      </c>
      <c r="E298" s="48" t="s">
        <v>545</v>
      </c>
      <c r="F298" s="48" t="s">
        <v>555</v>
      </c>
      <c r="G298" s="49">
        <v>10</v>
      </c>
      <c r="H298" s="10">
        <v>10</v>
      </c>
      <c r="I298" s="52">
        <v>10</v>
      </c>
      <c r="J298" s="10">
        <v>10</v>
      </c>
      <c r="K298" s="95" t="s">
        <v>346</v>
      </c>
      <c r="L298" s="57">
        <v>0</v>
      </c>
      <c r="M298" s="50">
        <v>0</v>
      </c>
      <c r="N298" s="64"/>
      <c r="O298" s="103"/>
      <c r="P298" s="52" t="s">
        <v>20</v>
      </c>
    </row>
    <row r="299" spans="1:16" ht="15" customHeight="1">
      <c r="A299" s="28">
        <v>4</v>
      </c>
      <c r="B299" s="32">
        <v>45769</v>
      </c>
      <c r="C299" s="36" t="s">
        <v>670</v>
      </c>
      <c r="D299" s="43">
        <v>1</v>
      </c>
      <c r="E299" s="48" t="s">
        <v>348</v>
      </c>
      <c r="F299" s="48" t="s">
        <v>555</v>
      </c>
      <c r="G299" s="49">
        <v>10</v>
      </c>
      <c r="H299" s="10">
        <v>10</v>
      </c>
      <c r="I299" s="52">
        <v>10</v>
      </c>
      <c r="J299" s="10">
        <v>10</v>
      </c>
      <c r="K299" s="95" t="s">
        <v>346</v>
      </c>
      <c r="L299" s="57">
        <v>0</v>
      </c>
      <c r="M299" s="50">
        <v>0</v>
      </c>
      <c r="N299" s="64"/>
      <c r="O299" s="103">
        <v>10</v>
      </c>
      <c r="P299" s="52" t="s">
        <v>20</v>
      </c>
    </row>
    <row r="300" spans="1:16" ht="15" customHeight="1">
      <c r="A300" s="28">
        <v>4</v>
      </c>
      <c r="B300" s="32">
        <v>45769</v>
      </c>
      <c r="C300" s="36" t="s">
        <v>676</v>
      </c>
      <c r="D300" s="43">
        <v>1</v>
      </c>
      <c r="E300" s="48" t="s">
        <v>348</v>
      </c>
      <c r="F300" s="48" t="s">
        <v>555</v>
      </c>
      <c r="G300" s="49">
        <v>5</v>
      </c>
      <c r="H300" s="10">
        <v>5</v>
      </c>
      <c r="I300" s="52">
        <v>5</v>
      </c>
      <c r="J300" s="10">
        <v>5</v>
      </c>
      <c r="K300" s="95" t="s">
        <v>346</v>
      </c>
      <c r="L300" s="57">
        <v>0</v>
      </c>
      <c r="M300" s="50">
        <v>0</v>
      </c>
      <c r="N300" s="64"/>
      <c r="O300" s="103">
        <v>5</v>
      </c>
      <c r="P300" s="52" t="s">
        <v>20</v>
      </c>
    </row>
    <row r="301" spans="1:16" ht="15" customHeight="1">
      <c r="A301" s="28">
        <v>4</v>
      </c>
      <c r="B301" s="32">
        <v>45769</v>
      </c>
      <c r="C301" s="36" t="s">
        <v>670</v>
      </c>
      <c r="D301" s="43">
        <v>1</v>
      </c>
      <c r="E301" s="48" t="s">
        <v>339</v>
      </c>
      <c r="F301" s="48" t="s">
        <v>555</v>
      </c>
      <c r="G301" s="49">
        <v>10</v>
      </c>
      <c r="H301" s="10">
        <v>10</v>
      </c>
      <c r="I301" s="52">
        <v>10</v>
      </c>
      <c r="J301" s="10">
        <v>10</v>
      </c>
      <c r="K301" s="95" t="s">
        <v>346</v>
      </c>
      <c r="L301" s="57">
        <v>0</v>
      </c>
      <c r="M301" s="50">
        <v>0</v>
      </c>
      <c r="N301" s="64"/>
      <c r="O301" s="103"/>
      <c r="P301" s="52" t="s">
        <v>20</v>
      </c>
    </row>
    <row r="302" spans="1:16" ht="15" customHeight="1">
      <c r="A302" s="28">
        <v>4</v>
      </c>
      <c r="B302" s="32">
        <v>45770</v>
      </c>
      <c r="C302" s="36" t="s">
        <v>321</v>
      </c>
      <c r="D302" s="43">
        <v>1</v>
      </c>
      <c r="E302" s="48" t="s">
        <v>26</v>
      </c>
      <c r="F302" s="48" t="s">
        <v>555</v>
      </c>
      <c r="G302" s="49">
        <v>3</v>
      </c>
      <c r="H302" s="10">
        <v>3</v>
      </c>
      <c r="I302" s="52">
        <v>15</v>
      </c>
      <c r="J302" s="10">
        <v>15</v>
      </c>
      <c r="K302" s="95" t="s">
        <v>346</v>
      </c>
      <c r="L302" s="57">
        <v>0.8</v>
      </c>
      <c r="M302" s="50">
        <v>12</v>
      </c>
      <c r="N302" s="64"/>
      <c r="O302" s="103"/>
      <c r="P302" s="52" t="s">
        <v>20</v>
      </c>
    </row>
    <row r="303" spans="1:16" ht="15" customHeight="1">
      <c r="A303" s="28">
        <v>4</v>
      </c>
      <c r="B303" s="32">
        <v>45770</v>
      </c>
      <c r="C303" s="36" t="s">
        <v>388</v>
      </c>
      <c r="D303" s="43">
        <v>3</v>
      </c>
      <c r="E303" s="48" t="s">
        <v>26</v>
      </c>
      <c r="F303" s="48" t="s">
        <v>555</v>
      </c>
      <c r="G303" s="49">
        <v>2.5</v>
      </c>
      <c r="H303" s="10">
        <v>7.5</v>
      </c>
      <c r="I303" s="52">
        <v>5</v>
      </c>
      <c r="J303" s="10">
        <v>15</v>
      </c>
      <c r="K303" s="95" t="s">
        <v>346</v>
      </c>
      <c r="L303" s="57">
        <v>0.5</v>
      </c>
      <c r="M303" s="50">
        <v>7.5</v>
      </c>
      <c r="N303" s="64"/>
      <c r="O303" s="103"/>
      <c r="P303" s="52" t="s">
        <v>20</v>
      </c>
    </row>
    <row r="304" spans="1:16" ht="15" customHeight="1">
      <c r="A304" s="28">
        <v>4</v>
      </c>
      <c r="B304" s="32">
        <v>45770</v>
      </c>
      <c r="C304" s="36" t="s">
        <v>401</v>
      </c>
      <c r="D304" s="43">
        <v>1</v>
      </c>
      <c r="E304" s="48" t="s">
        <v>26</v>
      </c>
      <c r="F304" s="48" t="s">
        <v>555</v>
      </c>
      <c r="G304" s="49">
        <v>10</v>
      </c>
      <c r="H304" s="10">
        <v>10</v>
      </c>
      <c r="I304" s="52">
        <v>15</v>
      </c>
      <c r="J304" s="10">
        <v>15</v>
      </c>
      <c r="K304" s="95" t="s">
        <v>346</v>
      </c>
      <c r="L304" s="57">
        <v>0.33333333333333331</v>
      </c>
      <c r="M304" s="50">
        <v>5</v>
      </c>
      <c r="N304" s="64"/>
      <c r="O304" s="103"/>
      <c r="P304" s="52" t="s">
        <v>20</v>
      </c>
    </row>
    <row r="305" spans="1:16" ht="15" customHeight="1">
      <c r="A305" s="28">
        <v>4</v>
      </c>
      <c r="B305" s="32">
        <v>45770</v>
      </c>
      <c r="C305" s="36" t="s">
        <v>334</v>
      </c>
      <c r="D305" s="43">
        <v>1</v>
      </c>
      <c r="E305" s="48" t="s">
        <v>26</v>
      </c>
      <c r="F305" s="48" t="s">
        <v>555</v>
      </c>
      <c r="G305" s="49">
        <v>0.05</v>
      </c>
      <c r="H305" s="10">
        <v>0.05</v>
      </c>
      <c r="I305" s="52">
        <v>1</v>
      </c>
      <c r="J305" s="10">
        <v>1</v>
      </c>
      <c r="K305" s="95" t="s">
        <v>346</v>
      </c>
      <c r="L305" s="57">
        <v>0.95</v>
      </c>
      <c r="M305" s="50">
        <v>0.95</v>
      </c>
      <c r="N305" s="64"/>
      <c r="O305" s="103"/>
      <c r="P305" s="52" t="s">
        <v>20</v>
      </c>
    </row>
    <row r="306" spans="1:16" ht="15" customHeight="1">
      <c r="A306" s="28">
        <v>4</v>
      </c>
      <c r="B306" s="32">
        <v>45770</v>
      </c>
      <c r="C306" s="36" t="s">
        <v>323</v>
      </c>
      <c r="D306" s="43">
        <v>97</v>
      </c>
      <c r="E306" s="48" t="s">
        <v>26</v>
      </c>
      <c r="F306" s="48" t="s">
        <v>555</v>
      </c>
      <c r="G306" s="49">
        <v>7.0000000000000007E-2</v>
      </c>
      <c r="H306" s="10">
        <v>6.7900000000000009</v>
      </c>
      <c r="I306" s="52">
        <v>0.5</v>
      </c>
      <c r="J306" s="10">
        <v>48.5</v>
      </c>
      <c r="K306" s="95" t="s">
        <v>346</v>
      </c>
      <c r="L306" s="57">
        <v>0.86</v>
      </c>
      <c r="M306" s="50">
        <v>41.71</v>
      </c>
      <c r="N306" s="64"/>
      <c r="O306" s="103"/>
      <c r="P306" s="52" t="s">
        <v>20</v>
      </c>
    </row>
    <row r="307" spans="1:16" ht="15" customHeight="1">
      <c r="A307" s="28">
        <v>4</v>
      </c>
      <c r="B307" s="32">
        <v>45770</v>
      </c>
      <c r="C307" s="36" t="s">
        <v>441</v>
      </c>
      <c r="D307" s="43">
        <v>1</v>
      </c>
      <c r="E307" s="48" t="s">
        <v>26</v>
      </c>
      <c r="F307" s="48" t="s">
        <v>555</v>
      </c>
      <c r="G307" s="49">
        <v>0</v>
      </c>
      <c r="H307" s="10">
        <v>0</v>
      </c>
      <c r="I307" s="52">
        <v>10</v>
      </c>
      <c r="J307" s="10">
        <v>10</v>
      </c>
      <c r="K307" s="95" t="s">
        <v>346</v>
      </c>
      <c r="L307" s="57">
        <v>1</v>
      </c>
      <c r="M307" s="50">
        <v>10</v>
      </c>
      <c r="N307" s="64"/>
      <c r="O307" s="103"/>
      <c r="P307" s="52" t="s">
        <v>20</v>
      </c>
    </row>
    <row r="308" spans="1:16" ht="15" customHeight="1">
      <c r="A308" s="28">
        <v>4</v>
      </c>
      <c r="B308" s="32">
        <v>45770</v>
      </c>
      <c r="C308" s="36" t="s">
        <v>177</v>
      </c>
      <c r="D308" s="43">
        <v>1</v>
      </c>
      <c r="E308" s="48" t="s">
        <v>26</v>
      </c>
      <c r="F308" s="48" t="s">
        <v>555</v>
      </c>
      <c r="G308" s="49">
        <v>8</v>
      </c>
      <c r="H308" s="10">
        <v>8</v>
      </c>
      <c r="I308" s="52">
        <v>20</v>
      </c>
      <c r="J308" s="10">
        <v>20</v>
      </c>
      <c r="K308" s="95" t="s">
        <v>346</v>
      </c>
      <c r="L308" s="57">
        <v>0.6</v>
      </c>
      <c r="M308" s="50">
        <v>12</v>
      </c>
      <c r="N308" s="64"/>
      <c r="O308" s="103"/>
      <c r="P308" s="52" t="s">
        <v>20</v>
      </c>
    </row>
    <row r="309" spans="1:16" s="70" customFormat="1" ht="15" customHeight="1">
      <c r="A309" s="74">
        <v>4</v>
      </c>
      <c r="B309" s="77">
        <v>45770</v>
      </c>
      <c r="C309" s="80" t="s">
        <v>563</v>
      </c>
      <c r="D309" s="85">
        <v>1</v>
      </c>
      <c r="E309" s="88" t="s">
        <v>677</v>
      </c>
      <c r="F309" s="88" t="s">
        <v>555</v>
      </c>
      <c r="G309" s="49" t="s">
        <v>79</v>
      </c>
      <c r="H309" s="10">
        <v>0</v>
      </c>
      <c r="I309" s="93">
        <v>2020</v>
      </c>
      <c r="J309" s="10">
        <v>2020</v>
      </c>
      <c r="K309" s="96" t="s">
        <v>346</v>
      </c>
      <c r="L309" s="98">
        <v>1</v>
      </c>
      <c r="M309" s="50">
        <v>2020</v>
      </c>
      <c r="N309" s="101"/>
      <c r="O309" s="104">
        <v>2020</v>
      </c>
      <c r="P309" s="93" t="s">
        <v>20</v>
      </c>
    </row>
    <row r="310" spans="1:16" ht="15" customHeight="1">
      <c r="A310" s="28">
        <v>4</v>
      </c>
      <c r="B310" s="32">
        <v>45770</v>
      </c>
      <c r="C310" s="36" t="s">
        <v>670</v>
      </c>
      <c r="D310" s="43">
        <v>2</v>
      </c>
      <c r="E310" s="48" t="s">
        <v>495</v>
      </c>
      <c r="F310" s="48" t="s">
        <v>555</v>
      </c>
      <c r="G310" s="49">
        <v>10</v>
      </c>
      <c r="H310" s="10">
        <v>20</v>
      </c>
      <c r="I310" s="52">
        <v>10</v>
      </c>
      <c r="J310" s="10">
        <v>20</v>
      </c>
      <c r="K310" s="95" t="s">
        <v>346</v>
      </c>
      <c r="L310" s="57">
        <v>0</v>
      </c>
      <c r="M310" s="50">
        <v>0</v>
      </c>
      <c r="N310" s="64"/>
      <c r="O310" s="103">
        <v>20</v>
      </c>
      <c r="P310" s="52" t="s">
        <v>20</v>
      </c>
    </row>
    <row r="311" spans="1:16" ht="15" customHeight="1">
      <c r="A311" s="28">
        <v>4</v>
      </c>
      <c r="B311" s="32">
        <v>45770</v>
      </c>
      <c r="C311" s="36" t="s">
        <v>670</v>
      </c>
      <c r="D311" s="43">
        <v>1</v>
      </c>
      <c r="E311" s="48" t="s">
        <v>650</v>
      </c>
      <c r="F311" s="48" t="s">
        <v>555</v>
      </c>
      <c r="G311" s="49">
        <v>10</v>
      </c>
      <c r="H311" s="10">
        <v>10</v>
      </c>
      <c r="I311" s="52">
        <v>10</v>
      </c>
      <c r="J311" s="10">
        <v>10</v>
      </c>
      <c r="K311" s="95" t="s">
        <v>346</v>
      </c>
      <c r="L311" s="57">
        <v>0</v>
      </c>
      <c r="M311" s="50">
        <v>0</v>
      </c>
      <c r="N311" s="64"/>
      <c r="O311" s="103">
        <v>10</v>
      </c>
      <c r="P311" s="52" t="s">
        <v>20</v>
      </c>
    </row>
    <row r="312" spans="1:16" ht="15" customHeight="1">
      <c r="A312" s="28">
        <v>4</v>
      </c>
      <c r="B312" s="32">
        <v>45770</v>
      </c>
      <c r="C312" s="36" t="s">
        <v>323</v>
      </c>
      <c r="D312" s="43">
        <v>1</v>
      </c>
      <c r="E312" s="48" t="s">
        <v>26</v>
      </c>
      <c r="F312" s="48" t="s">
        <v>555</v>
      </c>
      <c r="G312" s="49">
        <v>7.0000000000000007E-2</v>
      </c>
      <c r="H312" s="10">
        <v>7.0000000000000007E-2</v>
      </c>
      <c r="I312" s="52">
        <v>1</v>
      </c>
      <c r="J312" s="10">
        <v>1</v>
      </c>
      <c r="K312" s="95" t="s">
        <v>346</v>
      </c>
      <c r="L312" s="57">
        <v>0.92999999999999994</v>
      </c>
      <c r="M312" s="50">
        <v>0.92999999999999994</v>
      </c>
      <c r="N312" s="64"/>
      <c r="O312" s="103"/>
      <c r="P312" s="52" t="s">
        <v>20</v>
      </c>
    </row>
    <row r="313" spans="1:16" ht="15" customHeight="1">
      <c r="A313" s="28">
        <v>4</v>
      </c>
      <c r="B313" s="32">
        <v>45770</v>
      </c>
      <c r="C313" s="36" t="s">
        <v>678</v>
      </c>
      <c r="D313" s="43">
        <v>1</v>
      </c>
      <c r="E313" s="48" t="s">
        <v>26</v>
      </c>
      <c r="F313" s="48" t="s">
        <v>555</v>
      </c>
      <c r="G313" s="49">
        <v>270</v>
      </c>
      <c r="H313" s="10">
        <v>270</v>
      </c>
      <c r="I313" s="52">
        <v>400</v>
      </c>
      <c r="J313" s="10">
        <v>400</v>
      </c>
      <c r="K313" s="95" t="s">
        <v>346</v>
      </c>
      <c r="L313" s="57">
        <v>0.32500000000000001</v>
      </c>
      <c r="M313" s="50">
        <v>130</v>
      </c>
      <c r="N313" s="64"/>
      <c r="O313" s="103"/>
      <c r="P313" s="52" t="s">
        <v>20</v>
      </c>
    </row>
    <row r="314" spans="1:16" ht="15" customHeight="1">
      <c r="A314" s="28">
        <v>4</v>
      </c>
      <c r="B314" s="32">
        <v>45770</v>
      </c>
      <c r="C314" s="36" t="s">
        <v>670</v>
      </c>
      <c r="D314" s="43">
        <v>2</v>
      </c>
      <c r="E314" s="48" t="s">
        <v>679</v>
      </c>
      <c r="F314" s="48" t="s">
        <v>555</v>
      </c>
      <c r="G314" s="49">
        <v>10</v>
      </c>
      <c r="H314" s="10">
        <v>20</v>
      </c>
      <c r="I314" s="94">
        <v>7.5</v>
      </c>
      <c r="J314" s="10">
        <v>15</v>
      </c>
      <c r="K314" s="95" t="s">
        <v>346</v>
      </c>
      <c r="L314" s="57">
        <v>0.66666666666666663</v>
      </c>
      <c r="M314" s="50">
        <v>10</v>
      </c>
      <c r="N314" s="64"/>
      <c r="O314" s="103">
        <v>15</v>
      </c>
      <c r="P314" s="52" t="s">
        <v>20</v>
      </c>
    </row>
    <row r="315" spans="1:16" ht="15" customHeight="1">
      <c r="A315" s="28">
        <v>4</v>
      </c>
      <c r="B315" s="32">
        <v>45770</v>
      </c>
      <c r="C315" s="36" t="s">
        <v>676</v>
      </c>
      <c r="D315" s="43">
        <v>1</v>
      </c>
      <c r="E315" s="48" t="s">
        <v>679</v>
      </c>
      <c r="F315" s="48" t="s">
        <v>555</v>
      </c>
      <c r="G315" s="49">
        <v>5</v>
      </c>
      <c r="H315" s="10">
        <v>5</v>
      </c>
      <c r="I315" s="52">
        <v>3</v>
      </c>
      <c r="J315" s="10">
        <v>3</v>
      </c>
      <c r="K315" s="95" t="s">
        <v>346</v>
      </c>
      <c r="L315" s="57">
        <v>1.6666666666666667</v>
      </c>
      <c r="M315" s="50">
        <v>5</v>
      </c>
      <c r="N315" s="64"/>
      <c r="O315" s="103">
        <v>3</v>
      </c>
      <c r="P315" s="52" t="s">
        <v>20</v>
      </c>
    </row>
    <row r="316" spans="1:16" ht="15" customHeight="1">
      <c r="A316" s="28">
        <v>4</v>
      </c>
      <c r="B316" s="32">
        <v>45770</v>
      </c>
      <c r="C316" s="36" t="s">
        <v>480</v>
      </c>
      <c r="D316" s="43">
        <v>2</v>
      </c>
      <c r="E316" s="48" t="s">
        <v>680</v>
      </c>
      <c r="F316" s="48" t="s">
        <v>555</v>
      </c>
      <c r="G316" s="49">
        <v>30</v>
      </c>
      <c r="H316" s="10">
        <v>60</v>
      </c>
      <c r="I316" s="52">
        <v>55</v>
      </c>
      <c r="J316" s="10">
        <v>110</v>
      </c>
      <c r="K316" s="95" t="s">
        <v>346</v>
      </c>
      <c r="L316" s="57">
        <v>0.45454545454545453</v>
      </c>
      <c r="M316" s="50">
        <v>50</v>
      </c>
      <c r="N316" s="64"/>
      <c r="O316" s="103"/>
      <c r="P316" s="52" t="s">
        <v>20</v>
      </c>
    </row>
    <row r="317" spans="1:16" ht="15" customHeight="1">
      <c r="A317" s="28">
        <v>4</v>
      </c>
      <c r="B317" s="32">
        <v>45770</v>
      </c>
      <c r="C317" s="36" t="s">
        <v>323</v>
      </c>
      <c r="D317" s="43">
        <v>4</v>
      </c>
      <c r="E317" s="48" t="s">
        <v>26</v>
      </c>
      <c r="F317" s="48" t="s">
        <v>555</v>
      </c>
      <c r="G317" s="49">
        <v>7.0000000000000007E-2</v>
      </c>
      <c r="H317" s="10">
        <v>0.28000000000000003</v>
      </c>
      <c r="I317" s="52">
        <v>1</v>
      </c>
      <c r="J317" s="10">
        <v>4</v>
      </c>
      <c r="K317" s="95" t="s">
        <v>346</v>
      </c>
      <c r="L317" s="57">
        <v>0.92999999999999994</v>
      </c>
      <c r="M317" s="50">
        <v>3.7199999999999998</v>
      </c>
      <c r="N317" s="64"/>
      <c r="O317" s="103"/>
      <c r="P317" s="52" t="s">
        <v>20</v>
      </c>
    </row>
    <row r="318" spans="1:16" ht="15" customHeight="1">
      <c r="A318" s="28">
        <v>4</v>
      </c>
      <c r="B318" s="32">
        <v>45773</v>
      </c>
      <c r="C318" s="36" t="s">
        <v>681</v>
      </c>
      <c r="D318" s="43">
        <v>1</v>
      </c>
      <c r="E318" s="48" t="s">
        <v>26</v>
      </c>
      <c r="F318" s="48" t="s">
        <v>555</v>
      </c>
      <c r="G318" s="49" t="s">
        <v>79</v>
      </c>
      <c r="H318" s="10">
        <v>0</v>
      </c>
      <c r="I318" s="52">
        <v>80</v>
      </c>
      <c r="J318" s="10">
        <v>80</v>
      </c>
      <c r="K318" s="95" t="s">
        <v>346</v>
      </c>
      <c r="L318" s="57">
        <v>1</v>
      </c>
      <c r="M318" s="50">
        <v>80</v>
      </c>
      <c r="N318" s="64"/>
      <c r="O318" s="103"/>
      <c r="P318" s="52" t="s">
        <v>20</v>
      </c>
    </row>
    <row r="319" spans="1:16" ht="15" customHeight="1">
      <c r="A319" s="28">
        <v>4</v>
      </c>
      <c r="B319" s="32">
        <v>45773</v>
      </c>
      <c r="C319" s="36" t="s">
        <v>682</v>
      </c>
      <c r="D319" s="43">
        <v>1</v>
      </c>
      <c r="E319" s="48" t="s">
        <v>26</v>
      </c>
      <c r="F319" s="48" t="s">
        <v>555</v>
      </c>
      <c r="G319" s="49" t="s">
        <v>79</v>
      </c>
      <c r="H319" s="10">
        <v>0</v>
      </c>
      <c r="I319" s="52">
        <v>10</v>
      </c>
      <c r="J319" s="10">
        <v>10</v>
      </c>
      <c r="K319" s="95" t="s">
        <v>346</v>
      </c>
      <c r="L319" s="57">
        <v>1</v>
      </c>
      <c r="M319" s="50">
        <v>10</v>
      </c>
      <c r="N319" s="64"/>
      <c r="O319" s="103"/>
      <c r="P319" s="52" t="s">
        <v>20</v>
      </c>
    </row>
    <row r="320" spans="1:16" ht="15" customHeight="1">
      <c r="A320" s="28">
        <v>4</v>
      </c>
      <c r="B320" s="32">
        <v>45775</v>
      </c>
      <c r="C320" s="36" t="s">
        <v>323</v>
      </c>
      <c r="D320" s="43">
        <v>1</v>
      </c>
      <c r="E320" s="48" t="s">
        <v>26</v>
      </c>
      <c r="F320" s="48" t="s">
        <v>555</v>
      </c>
      <c r="G320" s="49">
        <v>7.0000000000000007E-2</v>
      </c>
      <c r="H320" s="10">
        <v>7.0000000000000007E-2</v>
      </c>
      <c r="I320" s="52">
        <v>1</v>
      </c>
      <c r="J320" s="10">
        <v>1</v>
      </c>
      <c r="K320" s="95" t="s">
        <v>346</v>
      </c>
      <c r="L320" s="57">
        <v>0.92999999999999994</v>
      </c>
      <c r="M320" s="50">
        <v>0.92999999999999994</v>
      </c>
      <c r="N320" s="64"/>
      <c r="O320" s="103"/>
      <c r="P320" s="52" t="s">
        <v>20</v>
      </c>
    </row>
    <row r="321" spans="1:16" ht="15" customHeight="1">
      <c r="A321" s="28">
        <v>4</v>
      </c>
      <c r="B321" s="32">
        <v>45775</v>
      </c>
      <c r="C321" s="36" t="s">
        <v>683</v>
      </c>
      <c r="D321" s="43">
        <v>3</v>
      </c>
      <c r="E321" s="48" t="s">
        <v>684</v>
      </c>
      <c r="F321" s="48" t="s">
        <v>555</v>
      </c>
      <c r="G321" s="49">
        <v>17</v>
      </c>
      <c r="H321" s="10">
        <v>51</v>
      </c>
      <c r="I321" s="52">
        <v>20</v>
      </c>
      <c r="J321" s="10">
        <v>60</v>
      </c>
      <c r="K321" s="95" t="s">
        <v>346</v>
      </c>
      <c r="L321" s="57">
        <v>0.15</v>
      </c>
      <c r="M321" s="50">
        <v>9</v>
      </c>
      <c r="N321" s="64"/>
      <c r="O321" s="103"/>
      <c r="P321" s="52" t="s">
        <v>20</v>
      </c>
    </row>
    <row r="322" spans="1:16" ht="15" customHeight="1">
      <c r="A322" s="28">
        <v>4</v>
      </c>
      <c r="B322" s="32">
        <v>45775</v>
      </c>
      <c r="C322" s="36" t="s">
        <v>563</v>
      </c>
      <c r="D322" s="43">
        <v>1</v>
      </c>
      <c r="E322" s="48" t="s">
        <v>684</v>
      </c>
      <c r="F322" s="48" t="s">
        <v>555</v>
      </c>
      <c r="G322" s="49" t="s">
        <v>79</v>
      </c>
      <c r="H322" s="10">
        <v>0</v>
      </c>
      <c r="I322" s="52">
        <v>50</v>
      </c>
      <c r="J322" s="10">
        <v>50</v>
      </c>
      <c r="K322" s="95" t="s">
        <v>346</v>
      </c>
      <c r="L322" s="57">
        <v>1</v>
      </c>
      <c r="M322" s="50">
        <v>50</v>
      </c>
      <c r="N322" s="64"/>
      <c r="O322" s="103"/>
      <c r="P322" s="52" t="s">
        <v>20</v>
      </c>
    </row>
    <row r="323" spans="1:16" ht="15" customHeight="1">
      <c r="A323" s="28">
        <v>4</v>
      </c>
      <c r="B323" s="32">
        <v>45775</v>
      </c>
      <c r="C323" s="36" t="s">
        <v>323</v>
      </c>
      <c r="D323" s="43">
        <v>2</v>
      </c>
      <c r="E323" s="48" t="s">
        <v>26</v>
      </c>
      <c r="F323" s="48" t="s">
        <v>555</v>
      </c>
      <c r="G323" s="49">
        <v>7.0000000000000007E-2</v>
      </c>
      <c r="H323" s="10">
        <v>0.14000000000000001</v>
      </c>
      <c r="I323" s="52">
        <v>1</v>
      </c>
      <c r="J323" s="10">
        <v>2</v>
      </c>
      <c r="K323" s="95" t="s">
        <v>346</v>
      </c>
      <c r="L323" s="57">
        <v>0.92999999999999994</v>
      </c>
      <c r="M323" s="50">
        <v>1.8599999999999999</v>
      </c>
      <c r="N323" s="64"/>
      <c r="O323" s="103"/>
      <c r="P323" s="52" t="s">
        <v>20</v>
      </c>
    </row>
    <row r="324" spans="1:16" ht="15" customHeight="1">
      <c r="A324" s="28">
        <v>4</v>
      </c>
      <c r="B324" s="32">
        <v>45775</v>
      </c>
      <c r="C324" s="36" t="s">
        <v>501</v>
      </c>
      <c r="D324" s="43">
        <v>1</v>
      </c>
      <c r="E324" s="48" t="s">
        <v>26</v>
      </c>
      <c r="F324" s="48" t="s">
        <v>555</v>
      </c>
      <c r="G324" s="49">
        <v>0.8</v>
      </c>
      <c r="H324" s="10">
        <v>0.8</v>
      </c>
      <c r="I324" s="52">
        <v>5</v>
      </c>
      <c r="J324" s="10">
        <v>5</v>
      </c>
      <c r="K324" s="95" t="s">
        <v>346</v>
      </c>
      <c r="L324" s="57">
        <v>0.84000000000000008</v>
      </c>
      <c r="M324" s="50">
        <v>4.2</v>
      </c>
      <c r="N324" s="64"/>
      <c r="O324" s="103"/>
      <c r="P324" s="52" t="s">
        <v>20</v>
      </c>
    </row>
    <row r="325" spans="1:16" ht="15" customHeight="1">
      <c r="A325" s="28">
        <v>4</v>
      </c>
      <c r="B325" s="32">
        <v>45776</v>
      </c>
      <c r="C325" s="36" t="s">
        <v>274</v>
      </c>
      <c r="D325" s="43">
        <v>1</v>
      </c>
      <c r="E325" s="48" t="s">
        <v>26</v>
      </c>
      <c r="F325" s="48" t="s">
        <v>555</v>
      </c>
      <c r="G325" s="49">
        <v>0</v>
      </c>
      <c r="H325" s="10">
        <v>0</v>
      </c>
      <c r="I325" s="52">
        <v>5</v>
      </c>
      <c r="J325" s="10">
        <v>5</v>
      </c>
      <c r="K325" s="95" t="s">
        <v>346</v>
      </c>
      <c r="L325" s="57">
        <v>1</v>
      </c>
      <c r="M325" s="50">
        <v>5</v>
      </c>
      <c r="N325" s="64"/>
      <c r="O325" s="103"/>
      <c r="P325" s="52" t="s">
        <v>20</v>
      </c>
    </row>
    <row r="326" spans="1:16" ht="15" customHeight="1">
      <c r="A326" s="28">
        <v>4</v>
      </c>
      <c r="B326" s="32">
        <v>45776</v>
      </c>
      <c r="C326" s="36" t="s">
        <v>685</v>
      </c>
      <c r="D326" s="43">
        <v>1</v>
      </c>
      <c r="E326" s="48" t="s">
        <v>26</v>
      </c>
      <c r="F326" s="48" t="s">
        <v>555</v>
      </c>
      <c r="G326" s="49" t="s">
        <v>79</v>
      </c>
      <c r="H326" s="10">
        <v>0</v>
      </c>
      <c r="I326" s="52">
        <v>15</v>
      </c>
      <c r="J326" s="10">
        <v>15</v>
      </c>
      <c r="K326" s="95" t="s">
        <v>346</v>
      </c>
      <c r="L326" s="57">
        <v>1</v>
      </c>
      <c r="M326" s="50">
        <v>15</v>
      </c>
      <c r="N326" s="64"/>
      <c r="O326" s="103"/>
      <c r="P326" s="52" t="s">
        <v>20</v>
      </c>
    </row>
    <row r="327" spans="1:16" ht="15" customHeight="1">
      <c r="A327" s="28">
        <v>4</v>
      </c>
      <c r="B327" s="32">
        <v>45776</v>
      </c>
      <c r="C327" s="36" t="s">
        <v>323</v>
      </c>
      <c r="D327" s="43">
        <v>6</v>
      </c>
      <c r="E327" s="48" t="s">
        <v>26</v>
      </c>
      <c r="F327" s="48" t="s">
        <v>555</v>
      </c>
      <c r="G327" s="49">
        <v>7.0000000000000007E-2</v>
      </c>
      <c r="H327" s="10">
        <v>0.42000000000000004</v>
      </c>
      <c r="I327" s="52">
        <v>1</v>
      </c>
      <c r="J327" s="10">
        <v>6</v>
      </c>
      <c r="K327" s="95" t="s">
        <v>346</v>
      </c>
      <c r="L327" s="57">
        <v>0.93</v>
      </c>
      <c r="M327" s="50">
        <v>5.58</v>
      </c>
      <c r="N327" s="64"/>
      <c r="O327" s="103"/>
      <c r="P327" s="52" t="s">
        <v>20</v>
      </c>
    </row>
    <row r="328" spans="1:16" ht="15" customHeight="1">
      <c r="A328" s="28">
        <v>4</v>
      </c>
      <c r="B328" s="32">
        <v>45776</v>
      </c>
      <c r="C328" s="36" t="s">
        <v>274</v>
      </c>
      <c r="D328" s="43">
        <v>1</v>
      </c>
      <c r="E328" s="48" t="s">
        <v>26</v>
      </c>
      <c r="F328" s="48" t="s">
        <v>555</v>
      </c>
      <c r="G328" s="49">
        <v>0</v>
      </c>
      <c r="H328" s="10">
        <v>0</v>
      </c>
      <c r="I328" s="52">
        <v>7</v>
      </c>
      <c r="J328" s="10">
        <v>7</v>
      </c>
      <c r="K328" s="95" t="s">
        <v>346</v>
      </c>
      <c r="L328" s="57">
        <v>1</v>
      </c>
      <c r="M328" s="50">
        <v>7</v>
      </c>
      <c r="N328" s="64"/>
      <c r="O328" s="103"/>
      <c r="P328" s="52" t="s">
        <v>20</v>
      </c>
    </row>
    <row r="329" spans="1:16" ht="15" customHeight="1">
      <c r="A329" s="28">
        <v>4</v>
      </c>
      <c r="B329" s="32">
        <v>45776</v>
      </c>
      <c r="C329" s="36" t="s">
        <v>686</v>
      </c>
      <c r="D329" s="43">
        <v>4</v>
      </c>
      <c r="E329" s="48" t="s">
        <v>26</v>
      </c>
      <c r="F329" s="48" t="s">
        <v>555</v>
      </c>
      <c r="G329" s="49">
        <v>3.5</v>
      </c>
      <c r="H329" s="10">
        <v>14</v>
      </c>
      <c r="I329" s="52">
        <v>7.5</v>
      </c>
      <c r="J329" s="10">
        <v>30</v>
      </c>
      <c r="K329" s="95" t="s">
        <v>346</v>
      </c>
      <c r="L329" s="57">
        <v>0.53333333333333333</v>
      </c>
      <c r="M329" s="50">
        <v>16</v>
      </c>
      <c r="N329" s="64"/>
      <c r="O329" s="103"/>
      <c r="P329" s="52" t="s">
        <v>20</v>
      </c>
    </row>
    <row r="330" spans="1:16" ht="15" customHeight="1">
      <c r="A330" s="28">
        <v>4</v>
      </c>
      <c r="B330" s="32">
        <v>45776</v>
      </c>
      <c r="C330" s="36" t="s">
        <v>687</v>
      </c>
      <c r="D330" s="43">
        <v>1</v>
      </c>
      <c r="E330" s="48" t="s">
        <v>26</v>
      </c>
      <c r="F330" s="48" t="s">
        <v>555</v>
      </c>
      <c r="G330" s="49" t="s">
        <v>79</v>
      </c>
      <c r="H330" s="10">
        <v>0</v>
      </c>
      <c r="I330" s="52">
        <v>25</v>
      </c>
      <c r="J330" s="10">
        <v>25</v>
      </c>
      <c r="K330" s="95" t="s">
        <v>346</v>
      </c>
      <c r="L330" s="57">
        <v>1</v>
      </c>
      <c r="M330" s="50">
        <v>25</v>
      </c>
      <c r="N330" s="64"/>
      <c r="O330" s="103"/>
      <c r="P330" s="52" t="s">
        <v>20</v>
      </c>
    </row>
    <row r="331" spans="1:16" ht="15" customHeight="1">
      <c r="A331" s="28">
        <v>4</v>
      </c>
      <c r="B331" s="32">
        <v>45776</v>
      </c>
      <c r="C331" s="36" t="s">
        <v>193</v>
      </c>
      <c r="D331" s="43">
        <v>1</v>
      </c>
      <c r="E331" s="48" t="s">
        <v>26</v>
      </c>
      <c r="F331" s="48" t="s">
        <v>555</v>
      </c>
      <c r="G331" s="49">
        <v>11</v>
      </c>
      <c r="H331" s="10">
        <v>11</v>
      </c>
      <c r="I331" s="52">
        <v>20</v>
      </c>
      <c r="J331" s="10">
        <v>20</v>
      </c>
      <c r="K331" s="95" t="s">
        <v>346</v>
      </c>
      <c r="L331" s="57">
        <v>0.45</v>
      </c>
      <c r="M331" s="50">
        <v>9</v>
      </c>
      <c r="N331" s="64"/>
      <c r="O331" s="103"/>
      <c r="P331" s="52" t="s">
        <v>20</v>
      </c>
    </row>
    <row r="332" spans="1:16" ht="15" customHeight="1">
      <c r="A332" s="28">
        <v>4</v>
      </c>
      <c r="B332" s="32">
        <v>45777</v>
      </c>
      <c r="C332" s="36" t="s">
        <v>334</v>
      </c>
      <c r="D332" s="43">
        <v>1</v>
      </c>
      <c r="E332" s="48" t="s">
        <v>26</v>
      </c>
      <c r="F332" s="48" t="s">
        <v>555</v>
      </c>
      <c r="G332" s="49">
        <v>0.05</v>
      </c>
      <c r="H332" s="10">
        <v>0.05</v>
      </c>
      <c r="I332" s="52">
        <v>1</v>
      </c>
      <c r="J332" s="10">
        <v>1</v>
      </c>
      <c r="K332" s="95" t="s">
        <v>346</v>
      </c>
      <c r="L332" s="57">
        <v>0.95</v>
      </c>
      <c r="M332" s="50">
        <v>0.95</v>
      </c>
      <c r="N332" s="64"/>
      <c r="O332" s="103"/>
      <c r="P332" s="52" t="s">
        <v>20</v>
      </c>
    </row>
    <row r="333" spans="1:16" ht="15" customHeight="1">
      <c r="A333" s="28">
        <v>4</v>
      </c>
      <c r="B333" s="32">
        <v>45777</v>
      </c>
      <c r="C333" s="36" t="s">
        <v>323</v>
      </c>
      <c r="D333" s="43">
        <v>4</v>
      </c>
      <c r="E333" s="48" t="s">
        <v>26</v>
      </c>
      <c r="F333" s="48" t="s">
        <v>555</v>
      </c>
      <c r="G333" s="49">
        <v>7.0000000000000007E-2</v>
      </c>
      <c r="H333" s="10">
        <v>0.28000000000000003</v>
      </c>
      <c r="I333" s="52">
        <v>1</v>
      </c>
      <c r="J333" s="10">
        <v>4</v>
      </c>
      <c r="K333" s="95" t="s">
        <v>346</v>
      </c>
      <c r="L333" s="57">
        <v>0.92999999999999994</v>
      </c>
      <c r="M333" s="50">
        <v>3.7199999999999998</v>
      </c>
      <c r="N333" s="64"/>
      <c r="O333" s="103"/>
      <c r="P333" s="52" t="s">
        <v>20</v>
      </c>
    </row>
    <row r="334" spans="1:16" ht="15" customHeight="1">
      <c r="A334" s="28">
        <v>4</v>
      </c>
      <c r="B334" s="32">
        <v>45777</v>
      </c>
      <c r="C334" s="36" t="s">
        <v>686</v>
      </c>
      <c r="D334" s="43">
        <v>2</v>
      </c>
      <c r="E334" s="48" t="s">
        <v>26</v>
      </c>
      <c r="F334" s="48" t="s">
        <v>555</v>
      </c>
      <c r="G334" s="49">
        <v>3.5</v>
      </c>
      <c r="H334" s="10">
        <v>7</v>
      </c>
      <c r="I334" s="52">
        <v>7.5</v>
      </c>
      <c r="J334" s="10">
        <v>15</v>
      </c>
      <c r="K334" s="95" t="s">
        <v>346</v>
      </c>
      <c r="L334" s="57">
        <v>0.53333333333333333</v>
      </c>
      <c r="M334" s="50">
        <v>8</v>
      </c>
      <c r="N334" s="64"/>
      <c r="O334" s="103"/>
      <c r="P334" s="52" t="s">
        <v>20</v>
      </c>
    </row>
    <row r="335" spans="1:16" ht="15" customHeight="1">
      <c r="A335" s="28">
        <v>4</v>
      </c>
      <c r="B335" s="32">
        <v>45777</v>
      </c>
      <c r="C335" s="36" t="s">
        <v>653</v>
      </c>
      <c r="D335" s="43">
        <v>4</v>
      </c>
      <c r="E335" s="48" t="s">
        <v>26</v>
      </c>
      <c r="F335" s="48" t="s">
        <v>555</v>
      </c>
      <c r="G335" s="49">
        <v>2</v>
      </c>
      <c r="H335" s="10">
        <v>8</v>
      </c>
      <c r="I335" s="52">
        <v>5</v>
      </c>
      <c r="J335" s="10">
        <v>20</v>
      </c>
      <c r="K335" s="95" t="s">
        <v>346</v>
      </c>
      <c r="L335" s="57">
        <v>0.6</v>
      </c>
      <c r="M335" s="50">
        <v>12</v>
      </c>
      <c r="N335" s="64"/>
      <c r="O335" s="103"/>
      <c r="P335" s="52" t="s">
        <v>20</v>
      </c>
    </row>
    <row r="336" spans="1:16" ht="15" customHeight="1">
      <c r="A336" s="28">
        <v>4</v>
      </c>
      <c r="B336" s="32">
        <v>45777</v>
      </c>
      <c r="C336" s="36" t="s">
        <v>688</v>
      </c>
      <c r="D336" s="43">
        <v>1</v>
      </c>
      <c r="E336" s="48" t="s">
        <v>26</v>
      </c>
      <c r="F336" s="48" t="s">
        <v>555</v>
      </c>
      <c r="G336" s="49">
        <v>5</v>
      </c>
      <c r="H336" s="10">
        <v>5</v>
      </c>
      <c r="I336" s="52">
        <v>10</v>
      </c>
      <c r="J336" s="10">
        <v>10</v>
      </c>
      <c r="K336" s="95" t="s">
        <v>346</v>
      </c>
      <c r="L336" s="57">
        <v>0.5</v>
      </c>
      <c r="M336" s="50">
        <v>5</v>
      </c>
      <c r="N336" s="64"/>
      <c r="O336" s="103"/>
      <c r="P336" s="52" t="s">
        <v>20</v>
      </c>
    </row>
    <row r="337" spans="1:16" ht="15" customHeight="1">
      <c r="A337" s="28">
        <v>4</v>
      </c>
      <c r="B337" s="32">
        <v>45777</v>
      </c>
      <c r="C337" s="36" t="s">
        <v>321</v>
      </c>
      <c r="D337" s="43">
        <v>1</v>
      </c>
      <c r="E337" s="48" t="s">
        <v>26</v>
      </c>
      <c r="F337" s="48" t="s">
        <v>555</v>
      </c>
      <c r="G337" s="49">
        <v>3</v>
      </c>
      <c r="H337" s="10">
        <v>3</v>
      </c>
      <c r="I337" s="52">
        <v>15</v>
      </c>
      <c r="J337" s="10">
        <v>15</v>
      </c>
      <c r="K337" s="95" t="s">
        <v>346</v>
      </c>
      <c r="L337" s="57">
        <v>0.8</v>
      </c>
      <c r="M337" s="50">
        <v>12</v>
      </c>
      <c r="N337" s="64"/>
      <c r="O337" s="103"/>
      <c r="P337" s="52" t="s">
        <v>20</v>
      </c>
    </row>
    <row r="338" spans="1:16" ht="15" customHeight="1">
      <c r="A338" s="28">
        <v>5</v>
      </c>
      <c r="B338" s="32">
        <v>45779</v>
      </c>
      <c r="C338" s="36" t="s">
        <v>666</v>
      </c>
      <c r="D338" s="43">
        <v>1</v>
      </c>
      <c r="E338" s="48" t="s">
        <v>26</v>
      </c>
      <c r="F338" s="48" t="s">
        <v>555</v>
      </c>
      <c r="G338" s="49" t="s">
        <v>79</v>
      </c>
      <c r="H338" s="10">
        <v>0</v>
      </c>
      <c r="I338" s="52">
        <v>15</v>
      </c>
      <c r="J338" s="10">
        <v>15</v>
      </c>
      <c r="K338" s="95" t="s">
        <v>346</v>
      </c>
      <c r="L338" s="57">
        <v>1</v>
      </c>
      <c r="M338" s="50">
        <v>15</v>
      </c>
      <c r="N338" s="64"/>
      <c r="O338" s="103"/>
      <c r="P338" s="52" t="s">
        <v>20</v>
      </c>
    </row>
    <row r="339" spans="1:16" ht="15" customHeight="1">
      <c r="A339" s="28">
        <v>5</v>
      </c>
      <c r="B339" s="32">
        <v>45779</v>
      </c>
      <c r="C339" s="36" t="s">
        <v>562</v>
      </c>
      <c r="D339" s="43">
        <v>1</v>
      </c>
      <c r="E339" s="48" t="s">
        <v>26</v>
      </c>
      <c r="F339" s="48" t="s">
        <v>555</v>
      </c>
      <c r="G339" s="49" t="s">
        <v>79</v>
      </c>
      <c r="H339" s="10">
        <v>0</v>
      </c>
      <c r="I339" s="52">
        <v>30</v>
      </c>
      <c r="J339" s="10">
        <v>30</v>
      </c>
      <c r="K339" s="95" t="s">
        <v>346</v>
      </c>
      <c r="L339" s="57">
        <v>1</v>
      </c>
      <c r="M339" s="50">
        <v>30</v>
      </c>
      <c r="N339" s="64"/>
      <c r="O339" s="103"/>
      <c r="P339" s="52" t="s">
        <v>20</v>
      </c>
    </row>
    <row r="340" spans="1:16" ht="15" customHeight="1">
      <c r="A340" s="28">
        <v>5</v>
      </c>
      <c r="B340" s="32">
        <v>45779</v>
      </c>
      <c r="C340" s="36" t="s">
        <v>321</v>
      </c>
      <c r="D340" s="43">
        <v>1</v>
      </c>
      <c r="E340" s="48" t="s">
        <v>26</v>
      </c>
      <c r="F340" s="48" t="s">
        <v>555</v>
      </c>
      <c r="G340" s="49">
        <v>3</v>
      </c>
      <c r="H340" s="10">
        <v>3</v>
      </c>
      <c r="I340" s="52">
        <v>15</v>
      </c>
      <c r="J340" s="10">
        <v>15</v>
      </c>
      <c r="K340" s="95" t="s">
        <v>346</v>
      </c>
      <c r="L340" s="57">
        <v>0.8</v>
      </c>
      <c r="M340" s="50">
        <v>12</v>
      </c>
      <c r="N340" s="64"/>
      <c r="O340" s="103"/>
      <c r="P340" s="52" t="s">
        <v>20</v>
      </c>
    </row>
    <row r="341" spans="1:16" ht="15" customHeight="1">
      <c r="A341" s="28">
        <v>5</v>
      </c>
      <c r="B341" s="32">
        <v>45779</v>
      </c>
      <c r="C341" s="36" t="s">
        <v>323</v>
      </c>
      <c r="D341" s="43">
        <v>13</v>
      </c>
      <c r="E341" s="48" t="s">
        <v>26</v>
      </c>
      <c r="F341" s="48" t="s">
        <v>555</v>
      </c>
      <c r="G341" s="49">
        <v>7.0000000000000007E-2</v>
      </c>
      <c r="H341" s="10">
        <v>0.91000000000000014</v>
      </c>
      <c r="I341" s="52">
        <v>1</v>
      </c>
      <c r="J341" s="10">
        <v>13</v>
      </c>
      <c r="K341" s="95" t="s">
        <v>346</v>
      </c>
      <c r="L341" s="57">
        <v>0.92999999999999994</v>
      </c>
      <c r="M341" s="50">
        <v>12.09</v>
      </c>
      <c r="N341" s="64"/>
      <c r="O341" s="103"/>
      <c r="P341" s="52" t="s">
        <v>20</v>
      </c>
    </row>
    <row r="342" spans="1:16" ht="15" customHeight="1">
      <c r="A342" s="28">
        <v>5</v>
      </c>
      <c r="B342" s="32">
        <v>45779</v>
      </c>
      <c r="C342" s="36" t="s">
        <v>653</v>
      </c>
      <c r="D342" s="43">
        <v>6</v>
      </c>
      <c r="E342" s="48" t="s">
        <v>26</v>
      </c>
      <c r="F342" s="48" t="s">
        <v>555</v>
      </c>
      <c r="G342" s="49">
        <v>2</v>
      </c>
      <c r="H342" s="10">
        <v>12</v>
      </c>
      <c r="I342" s="52">
        <v>5</v>
      </c>
      <c r="J342" s="10">
        <v>30</v>
      </c>
      <c r="K342" s="95" t="s">
        <v>346</v>
      </c>
      <c r="L342" s="57">
        <v>0.6</v>
      </c>
      <c r="M342" s="50">
        <v>18</v>
      </c>
      <c r="N342" s="64"/>
      <c r="O342" s="103"/>
      <c r="P342" s="52" t="s">
        <v>20</v>
      </c>
    </row>
    <row r="343" spans="1:16" ht="15" customHeight="1">
      <c r="A343" s="28">
        <v>5</v>
      </c>
      <c r="B343" s="32">
        <v>45779</v>
      </c>
      <c r="C343" s="36" t="s">
        <v>274</v>
      </c>
      <c r="D343" s="43">
        <v>1</v>
      </c>
      <c r="E343" s="48" t="s">
        <v>26</v>
      </c>
      <c r="F343" s="48" t="s">
        <v>555</v>
      </c>
      <c r="G343" s="49">
        <v>0</v>
      </c>
      <c r="H343" s="10">
        <v>0</v>
      </c>
      <c r="I343" s="52">
        <v>25</v>
      </c>
      <c r="J343" s="10">
        <v>25</v>
      </c>
      <c r="K343" s="95" t="s">
        <v>346</v>
      </c>
      <c r="L343" s="57">
        <v>1</v>
      </c>
      <c r="M343" s="50">
        <v>25</v>
      </c>
      <c r="N343" s="64"/>
      <c r="O343" s="103"/>
      <c r="P343" s="52" t="s">
        <v>20</v>
      </c>
    </row>
    <row r="344" spans="1:16" ht="15" customHeight="1">
      <c r="A344" s="28">
        <v>5</v>
      </c>
      <c r="B344" s="32">
        <v>45779</v>
      </c>
      <c r="C344" s="36" t="s">
        <v>274</v>
      </c>
      <c r="D344" s="43">
        <v>1</v>
      </c>
      <c r="E344" s="48" t="s">
        <v>26</v>
      </c>
      <c r="F344" s="48" t="s">
        <v>555</v>
      </c>
      <c r="G344" s="49">
        <v>0</v>
      </c>
      <c r="H344" s="10">
        <v>0</v>
      </c>
      <c r="I344" s="52">
        <v>10</v>
      </c>
      <c r="J344" s="10">
        <v>10</v>
      </c>
      <c r="K344" s="95" t="s">
        <v>346</v>
      </c>
      <c r="L344" s="57">
        <v>1</v>
      </c>
      <c r="M344" s="50">
        <v>10</v>
      </c>
      <c r="N344" s="64"/>
      <c r="O344" s="103"/>
      <c r="P344" s="52" t="s">
        <v>20</v>
      </c>
    </row>
    <row r="345" spans="1:16" ht="15" customHeight="1">
      <c r="A345" s="28">
        <v>5</v>
      </c>
      <c r="B345" s="32">
        <v>45779</v>
      </c>
      <c r="C345" s="36" t="s">
        <v>458</v>
      </c>
      <c r="D345" s="43">
        <v>1</v>
      </c>
      <c r="E345" s="48" t="s">
        <v>26</v>
      </c>
      <c r="F345" s="48" t="s">
        <v>555</v>
      </c>
      <c r="G345" s="49">
        <v>0.5</v>
      </c>
      <c r="H345" s="10">
        <v>0.5</v>
      </c>
      <c r="I345" s="52">
        <v>2</v>
      </c>
      <c r="J345" s="10">
        <v>2</v>
      </c>
      <c r="K345" s="95" t="s">
        <v>346</v>
      </c>
      <c r="L345" s="57">
        <v>0.75</v>
      </c>
      <c r="M345" s="50">
        <v>1.5</v>
      </c>
      <c r="N345" s="64"/>
      <c r="O345" s="103"/>
      <c r="P345" s="52" t="s">
        <v>20</v>
      </c>
    </row>
    <row r="346" spans="1:16" ht="15" customHeight="1">
      <c r="A346" s="28">
        <v>5</v>
      </c>
      <c r="B346" s="32">
        <v>45779</v>
      </c>
      <c r="C346" s="36" t="s">
        <v>686</v>
      </c>
      <c r="D346" s="43">
        <v>2</v>
      </c>
      <c r="E346" s="48" t="s">
        <v>26</v>
      </c>
      <c r="F346" s="48" t="s">
        <v>555</v>
      </c>
      <c r="G346" s="49">
        <v>3.5</v>
      </c>
      <c r="H346" s="10">
        <v>7</v>
      </c>
      <c r="I346" s="52">
        <v>5</v>
      </c>
      <c r="J346" s="10">
        <v>10</v>
      </c>
      <c r="K346" s="95" t="s">
        <v>346</v>
      </c>
      <c r="L346" s="57">
        <v>0.3</v>
      </c>
      <c r="M346" s="50">
        <v>3</v>
      </c>
      <c r="N346" s="64"/>
      <c r="O346" s="103"/>
      <c r="P346" s="52" t="s">
        <v>20</v>
      </c>
    </row>
    <row r="347" spans="1:16" ht="15" customHeight="1">
      <c r="A347" s="28">
        <v>5</v>
      </c>
      <c r="B347" s="32">
        <v>45779</v>
      </c>
      <c r="C347" s="36" t="s">
        <v>689</v>
      </c>
      <c r="D347" s="43">
        <v>1</v>
      </c>
      <c r="E347" s="48" t="s">
        <v>26</v>
      </c>
      <c r="F347" s="48" t="s">
        <v>555</v>
      </c>
      <c r="G347" s="49" t="s">
        <v>79</v>
      </c>
      <c r="H347" s="10">
        <v>0</v>
      </c>
      <c r="I347" s="52">
        <v>10</v>
      </c>
      <c r="J347" s="10">
        <v>10</v>
      </c>
      <c r="K347" s="95" t="s">
        <v>346</v>
      </c>
      <c r="L347" s="57">
        <v>1</v>
      </c>
      <c r="M347" s="50">
        <v>10</v>
      </c>
      <c r="N347" s="64"/>
      <c r="O347" s="103"/>
      <c r="P347" s="52" t="s">
        <v>20</v>
      </c>
    </row>
    <row r="348" spans="1:16" ht="15" customHeight="1">
      <c r="A348" s="28">
        <v>5</v>
      </c>
      <c r="B348" s="32">
        <v>45779</v>
      </c>
      <c r="C348" s="36" t="s">
        <v>390</v>
      </c>
      <c r="D348" s="43">
        <v>1</v>
      </c>
      <c r="E348" s="48" t="s">
        <v>26</v>
      </c>
      <c r="F348" s="48" t="s">
        <v>555</v>
      </c>
      <c r="G348" s="49">
        <v>0</v>
      </c>
      <c r="H348" s="10">
        <v>0</v>
      </c>
      <c r="I348" s="52">
        <v>100</v>
      </c>
      <c r="J348" s="10">
        <v>100</v>
      </c>
      <c r="K348" s="95" t="s">
        <v>346</v>
      </c>
      <c r="L348" s="57">
        <v>1</v>
      </c>
      <c r="M348" s="50">
        <v>100</v>
      </c>
      <c r="N348" s="64"/>
      <c r="O348" s="103"/>
      <c r="P348" s="52" t="s">
        <v>20</v>
      </c>
    </row>
    <row r="349" spans="1:16" ht="15" customHeight="1">
      <c r="A349" s="28">
        <v>5</v>
      </c>
      <c r="B349" s="32">
        <v>45782</v>
      </c>
      <c r="C349" s="36" t="s">
        <v>690</v>
      </c>
      <c r="D349" s="43">
        <v>1</v>
      </c>
      <c r="E349" s="48" t="s">
        <v>26</v>
      </c>
      <c r="F349" s="48" t="s">
        <v>555</v>
      </c>
      <c r="G349" s="49" t="s">
        <v>79</v>
      </c>
      <c r="H349" s="10">
        <v>0</v>
      </c>
      <c r="I349" s="52">
        <v>35</v>
      </c>
      <c r="J349" s="10">
        <v>35</v>
      </c>
      <c r="K349" s="95" t="s">
        <v>346</v>
      </c>
      <c r="L349" s="57">
        <v>1</v>
      </c>
      <c r="M349" s="50">
        <v>35</v>
      </c>
      <c r="N349" s="64"/>
      <c r="O349" s="103"/>
      <c r="P349" s="52" t="s">
        <v>20</v>
      </c>
    </row>
    <row r="350" spans="1:16" ht="15" customHeight="1">
      <c r="A350" s="28">
        <v>5</v>
      </c>
      <c r="B350" s="32">
        <v>45782</v>
      </c>
      <c r="C350" s="36" t="s">
        <v>686</v>
      </c>
      <c r="D350" s="43">
        <v>3</v>
      </c>
      <c r="E350" s="48" t="s">
        <v>26</v>
      </c>
      <c r="F350" s="48" t="s">
        <v>555</v>
      </c>
      <c r="G350" s="49">
        <v>3.5</v>
      </c>
      <c r="H350" s="10">
        <v>10.5</v>
      </c>
      <c r="I350" s="52">
        <v>5</v>
      </c>
      <c r="J350" s="10">
        <v>15</v>
      </c>
      <c r="K350" s="95" t="s">
        <v>346</v>
      </c>
      <c r="L350" s="57">
        <v>0.3</v>
      </c>
      <c r="M350" s="50">
        <v>4.5</v>
      </c>
      <c r="N350" s="64"/>
      <c r="O350" s="103"/>
      <c r="P350" s="52" t="s">
        <v>20</v>
      </c>
    </row>
    <row r="351" spans="1:16" ht="15" customHeight="1">
      <c r="A351" s="28">
        <v>5</v>
      </c>
      <c r="B351" s="32">
        <v>45782</v>
      </c>
      <c r="C351" s="36" t="s">
        <v>321</v>
      </c>
      <c r="D351" s="43">
        <v>5</v>
      </c>
      <c r="E351" s="48" t="s">
        <v>26</v>
      </c>
      <c r="F351" s="48" t="s">
        <v>555</v>
      </c>
      <c r="G351" s="49">
        <v>3</v>
      </c>
      <c r="H351" s="10">
        <v>15</v>
      </c>
      <c r="I351" s="52">
        <v>15</v>
      </c>
      <c r="J351" s="10">
        <v>75</v>
      </c>
      <c r="K351" s="95" t="s">
        <v>346</v>
      </c>
      <c r="L351" s="57">
        <v>0.8</v>
      </c>
      <c r="M351" s="50">
        <v>60</v>
      </c>
      <c r="N351" s="64"/>
      <c r="O351" s="103"/>
      <c r="P351" s="52" t="s">
        <v>20</v>
      </c>
    </row>
    <row r="352" spans="1:16" ht="15" customHeight="1">
      <c r="A352" s="28">
        <v>5</v>
      </c>
      <c r="B352" s="32">
        <v>45782</v>
      </c>
      <c r="C352" s="36" t="s">
        <v>388</v>
      </c>
      <c r="D352" s="43">
        <v>1</v>
      </c>
      <c r="E352" s="48" t="s">
        <v>26</v>
      </c>
      <c r="F352" s="48" t="s">
        <v>555</v>
      </c>
      <c r="G352" s="49">
        <v>2.5</v>
      </c>
      <c r="H352" s="10">
        <v>2.5</v>
      </c>
      <c r="I352" s="52">
        <v>5</v>
      </c>
      <c r="J352" s="10">
        <v>5</v>
      </c>
      <c r="K352" s="95" t="s">
        <v>346</v>
      </c>
      <c r="L352" s="57">
        <v>0.5</v>
      </c>
      <c r="M352" s="50">
        <v>2.5</v>
      </c>
      <c r="N352" s="64"/>
      <c r="O352" s="103"/>
      <c r="P352" s="52" t="s">
        <v>20</v>
      </c>
    </row>
    <row r="353" spans="1:16" ht="15" customHeight="1">
      <c r="A353" s="28">
        <v>5</v>
      </c>
      <c r="B353" s="32">
        <v>45782</v>
      </c>
      <c r="C353" s="36" t="s">
        <v>562</v>
      </c>
      <c r="D353" s="43">
        <v>1</v>
      </c>
      <c r="E353" s="48" t="s">
        <v>26</v>
      </c>
      <c r="F353" s="48" t="s">
        <v>555</v>
      </c>
      <c r="G353" s="49" t="s">
        <v>79</v>
      </c>
      <c r="H353" s="10">
        <v>0</v>
      </c>
      <c r="I353" s="52">
        <v>30</v>
      </c>
      <c r="J353" s="10">
        <v>30</v>
      </c>
      <c r="K353" s="95" t="s">
        <v>346</v>
      </c>
      <c r="L353" s="57">
        <v>1</v>
      </c>
      <c r="M353" s="50">
        <v>30</v>
      </c>
      <c r="N353" s="64"/>
      <c r="O353" s="103"/>
      <c r="P353" s="52" t="s">
        <v>20</v>
      </c>
    </row>
    <row r="354" spans="1:16" ht="15" customHeight="1">
      <c r="A354" s="28">
        <v>5</v>
      </c>
      <c r="B354" s="32">
        <v>45782</v>
      </c>
      <c r="C354" s="36" t="s">
        <v>323</v>
      </c>
      <c r="D354" s="43">
        <v>20</v>
      </c>
      <c r="E354" s="48" t="s">
        <v>26</v>
      </c>
      <c r="F354" s="48" t="s">
        <v>555</v>
      </c>
      <c r="G354" s="49">
        <v>7.0000000000000007E-2</v>
      </c>
      <c r="H354" s="10">
        <v>1.4000000000000001</v>
      </c>
      <c r="I354" s="52">
        <v>1</v>
      </c>
      <c r="J354" s="10">
        <v>20</v>
      </c>
      <c r="K354" s="95" t="s">
        <v>346</v>
      </c>
      <c r="L354" s="57">
        <v>0.93</v>
      </c>
      <c r="M354" s="50">
        <v>18.600000000000001</v>
      </c>
      <c r="N354" s="64"/>
      <c r="O354" s="103"/>
      <c r="P354" s="52" t="s">
        <v>20</v>
      </c>
    </row>
    <row r="355" spans="1:16" ht="15" customHeight="1">
      <c r="A355" s="28">
        <v>5</v>
      </c>
      <c r="B355" s="32">
        <v>45782</v>
      </c>
      <c r="C355" s="36" t="s">
        <v>458</v>
      </c>
      <c r="D355" s="43">
        <v>1</v>
      </c>
      <c r="E355" s="48" t="s">
        <v>26</v>
      </c>
      <c r="F355" s="48" t="s">
        <v>555</v>
      </c>
      <c r="G355" s="49">
        <v>0.5</v>
      </c>
      <c r="H355" s="10">
        <v>0.5</v>
      </c>
      <c r="I355" s="52">
        <v>2</v>
      </c>
      <c r="J355" s="10">
        <v>2</v>
      </c>
      <c r="K355" s="95" t="s">
        <v>346</v>
      </c>
      <c r="L355" s="57">
        <v>0.75</v>
      </c>
      <c r="M355" s="50">
        <v>1.5</v>
      </c>
      <c r="N355" s="64"/>
      <c r="O355" s="103"/>
      <c r="P355" s="52" t="s">
        <v>20</v>
      </c>
    </row>
    <row r="356" spans="1:16" ht="15" customHeight="1">
      <c r="A356" s="28">
        <v>5</v>
      </c>
      <c r="B356" s="32">
        <v>45782</v>
      </c>
      <c r="C356" s="36" t="s">
        <v>607</v>
      </c>
      <c r="D356" s="43">
        <v>1</v>
      </c>
      <c r="E356" s="48" t="s">
        <v>26</v>
      </c>
      <c r="F356" s="48" t="s">
        <v>555</v>
      </c>
      <c r="G356" s="49">
        <v>10</v>
      </c>
      <c r="H356" s="10">
        <v>10</v>
      </c>
      <c r="I356" s="52">
        <v>30</v>
      </c>
      <c r="J356" s="10">
        <v>30</v>
      </c>
      <c r="K356" s="95" t="s">
        <v>346</v>
      </c>
      <c r="L356" s="57">
        <v>0.66666666666666663</v>
      </c>
      <c r="M356" s="50">
        <v>20</v>
      </c>
      <c r="N356" s="64"/>
      <c r="O356" s="103"/>
      <c r="P356" s="52" t="s">
        <v>20</v>
      </c>
    </row>
    <row r="357" spans="1:16" ht="15" customHeight="1">
      <c r="A357" s="28">
        <v>5</v>
      </c>
      <c r="B357" s="32">
        <v>45782</v>
      </c>
      <c r="C357" s="36" t="s">
        <v>55</v>
      </c>
      <c r="D357" s="43">
        <v>1</v>
      </c>
      <c r="E357" s="48" t="s">
        <v>26</v>
      </c>
      <c r="F357" s="48" t="s">
        <v>555</v>
      </c>
      <c r="G357" s="49">
        <v>3</v>
      </c>
      <c r="H357" s="10">
        <v>3</v>
      </c>
      <c r="I357" s="52">
        <v>10</v>
      </c>
      <c r="J357" s="10">
        <v>10</v>
      </c>
      <c r="K357" s="95" t="s">
        <v>346</v>
      </c>
      <c r="L357" s="57">
        <v>0.7</v>
      </c>
      <c r="M357" s="50">
        <v>7</v>
      </c>
      <c r="N357" s="64"/>
      <c r="O357" s="103"/>
      <c r="P357" s="52" t="s">
        <v>20</v>
      </c>
    </row>
    <row r="358" spans="1:16" ht="15" customHeight="1">
      <c r="A358" s="28">
        <v>5</v>
      </c>
      <c r="B358" s="32">
        <v>45782</v>
      </c>
      <c r="C358" s="36" t="s">
        <v>691</v>
      </c>
      <c r="D358" s="43">
        <v>1</v>
      </c>
      <c r="E358" s="48" t="s">
        <v>26</v>
      </c>
      <c r="F358" s="48" t="s">
        <v>555</v>
      </c>
      <c r="G358" s="49" t="s">
        <v>79</v>
      </c>
      <c r="H358" s="10">
        <v>0</v>
      </c>
      <c r="I358" s="52">
        <v>30</v>
      </c>
      <c r="J358" s="10">
        <v>30</v>
      </c>
      <c r="K358" s="95" t="s">
        <v>346</v>
      </c>
      <c r="L358" s="57">
        <v>1</v>
      </c>
      <c r="M358" s="50">
        <v>30</v>
      </c>
      <c r="N358" s="64"/>
      <c r="O358" s="103"/>
      <c r="P358" s="52" t="s">
        <v>20</v>
      </c>
    </row>
    <row r="359" spans="1:16" ht="15" customHeight="1">
      <c r="A359" s="28">
        <v>5</v>
      </c>
      <c r="B359" s="32">
        <v>45785</v>
      </c>
      <c r="C359" s="36" t="s">
        <v>530</v>
      </c>
      <c r="D359" s="43">
        <v>1</v>
      </c>
      <c r="E359" s="48" t="s">
        <v>26</v>
      </c>
      <c r="F359" s="48" t="s">
        <v>555</v>
      </c>
      <c r="G359" s="49">
        <v>13</v>
      </c>
      <c r="H359" s="10">
        <v>13</v>
      </c>
      <c r="I359" s="52">
        <v>30</v>
      </c>
      <c r="J359" s="10">
        <v>30</v>
      </c>
      <c r="K359" s="95" t="s">
        <v>346</v>
      </c>
      <c r="L359" s="57">
        <v>0.56666666666666665</v>
      </c>
      <c r="M359" s="50">
        <v>17</v>
      </c>
      <c r="N359" s="64"/>
      <c r="O359" s="103"/>
      <c r="P359" s="52" t="s">
        <v>20</v>
      </c>
    </row>
    <row r="360" spans="1:16" ht="15" customHeight="1">
      <c r="A360" s="28">
        <v>5</v>
      </c>
      <c r="B360" s="32">
        <v>45785</v>
      </c>
      <c r="C360" s="36" t="s">
        <v>653</v>
      </c>
      <c r="D360" s="43">
        <v>7</v>
      </c>
      <c r="E360" s="48" t="s">
        <v>26</v>
      </c>
      <c r="F360" s="48" t="s">
        <v>555</v>
      </c>
      <c r="G360" s="49">
        <v>2</v>
      </c>
      <c r="H360" s="10">
        <v>14</v>
      </c>
      <c r="I360" s="52">
        <v>5</v>
      </c>
      <c r="J360" s="10">
        <v>35</v>
      </c>
      <c r="K360" s="95" t="s">
        <v>346</v>
      </c>
      <c r="L360" s="57">
        <v>0.6</v>
      </c>
      <c r="M360" s="50">
        <v>21</v>
      </c>
      <c r="N360" s="64"/>
      <c r="O360" s="103"/>
      <c r="P360" s="52" t="s">
        <v>20</v>
      </c>
    </row>
    <row r="361" spans="1:16" ht="15" customHeight="1">
      <c r="A361" s="28">
        <v>5</v>
      </c>
      <c r="B361" s="32">
        <v>45785</v>
      </c>
      <c r="C361" s="36" t="s">
        <v>323</v>
      </c>
      <c r="D361" s="43">
        <v>5</v>
      </c>
      <c r="E361" s="48" t="s">
        <v>26</v>
      </c>
      <c r="F361" s="48" t="s">
        <v>555</v>
      </c>
      <c r="G361" s="49">
        <v>7.0000000000000007E-2</v>
      </c>
      <c r="H361" s="10">
        <v>0.35000000000000003</v>
      </c>
      <c r="I361" s="52">
        <v>1</v>
      </c>
      <c r="J361" s="10">
        <v>5</v>
      </c>
      <c r="K361" s="95" t="s">
        <v>346</v>
      </c>
      <c r="L361" s="57">
        <v>0.93</v>
      </c>
      <c r="M361" s="50">
        <v>4.6500000000000004</v>
      </c>
      <c r="N361" s="64"/>
      <c r="O361" s="103"/>
      <c r="P361" s="52" t="s">
        <v>20</v>
      </c>
    </row>
    <row r="362" spans="1:16" ht="15" customHeight="1">
      <c r="A362" s="28">
        <v>5</v>
      </c>
      <c r="B362" s="32">
        <v>45785</v>
      </c>
      <c r="C362" s="36" t="s">
        <v>530</v>
      </c>
      <c r="D362" s="43">
        <v>3</v>
      </c>
      <c r="E362" s="48" t="s">
        <v>26</v>
      </c>
      <c r="F362" s="48" t="s">
        <v>555</v>
      </c>
      <c r="G362" s="49">
        <v>13</v>
      </c>
      <c r="H362" s="10">
        <v>39</v>
      </c>
      <c r="I362" s="52">
        <v>30</v>
      </c>
      <c r="J362" s="10">
        <v>90</v>
      </c>
      <c r="K362" s="95" t="s">
        <v>346</v>
      </c>
      <c r="L362" s="57">
        <v>0.56666666666666665</v>
      </c>
      <c r="M362" s="50">
        <v>51</v>
      </c>
      <c r="N362" s="64"/>
      <c r="O362" s="103"/>
      <c r="P362" s="52" t="s">
        <v>20</v>
      </c>
    </row>
    <row r="363" spans="1:16" ht="15" customHeight="1">
      <c r="A363" s="28">
        <v>5</v>
      </c>
      <c r="B363" s="32">
        <v>45785</v>
      </c>
      <c r="C363" s="36" t="s">
        <v>686</v>
      </c>
      <c r="D363" s="43">
        <v>5</v>
      </c>
      <c r="E363" s="48" t="s">
        <v>26</v>
      </c>
      <c r="F363" s="48" t="s">
        <v>555</v>
      </c>
      <c r="G363" s="49">
        <v>3.5</v>
      </c>
      <c r="H363" s="10">
        <v>17.5</v>
      </c>
      <c r="I363" s="52">
        <v>5</v>
      </c>
      <c r="J363" s="10">
        <v>25</v>
      </c>
      <c r="K363" s="95" t="s">
        <v>346</v>
      </c>
      <c r="L363" s="57">
        <v>0.3</v>
      </c>
      <c r="M363" s="50">
        <v>7.5</v>
      </c>
      <c r="N363" s="64"/>
      <c r="O363" s="103"/>
      <c r="P363" s="52" t="s">
        <v>20</v>
      </c>
    </row>
    <row r="364" spans="1:16" ht="15" customHeight="1">
      <c r="A364" s="28">
        <v>5</v>
      </c>
      <c r="B364" s="32">
        <v>45785</v>
      </c>
      <c r="C364" s="36" t="s">
        <v>692</v>
      </c>
      <c r="D364" s="43">
        <v>2</v>
      </c>
      <c r="E364" s="48" t="s">
        <v>26</v>
      </c>
      <c r="F364" s="48" t="s">
        <v>555</v>
      </c>
      <c r="G364" s="49">
        <v>2.5</v>
      </c>
      <c r="H364" s="10">
        <v>5</v>
      </c>
      <c r="I364" s="52">
        <v>5</v>
      </c>
      <c r="J364" s="10">
        <v>10</v>
      </c>
      <c r="K364" s="95" t="s">
        <v>346</v>
      </c>
      <c r="L364" s="57">
        <v>0.5</v>
      </c>
      <c r="M364" s="50">
        <v>5</v>
      </c>
      <c r="N364" s="64"/>
      <c r="O364" s="103"/>
      <c r="P364" s="52" t="s">
        <v>20</v>
      </c>
    </row>
    <row r="365" spans="1:16" ht="15" customHeight="1">
      <c r="A365" s="28">
        <v>5</v>
      </c>
      <c r="B365" s="32">
        <v>45785</v>
      </c>
      <c r="C365" s="36" t="s">
        <v>693</v>
      </c>
      <c r="D365" s="43">
        <v>1</v>
      </c>
      <c r="E365" s="48" t="s">
        <v>26</v>
      </c>
      <c r="F365" s="48" t="s">
        <v>555</v>
      </c>
      <c r="G365" s="49">
        <v>12</v>
      </c>
      <c r="H365" s="10">
        <v>12</v>
      </c>
      <c r="I365" s="52">
        <v>15</v>
      </c>
      <c r="J365" s="10">
        <v>15</v>
      </c>
      <c r="K365" s="95" t="s">
        <v>346</v>
      </c>
      <c r="L365" s="57">
        <v>0.2</v>
      </c>
      <c r="M365" s="50">
        <v>3</v>
      </c>
      <c r="N365" s="64"/>
      <c r="O365" s="103"/>
      <c r="P365" s="52" t="s">
        <v>20</v>
      </c>
    </row>
    <row r="366" spans="1:16" ht="15" customHeight="1">
      <c r="A366" s="28">
        <v>5</v>
      </c>
      <c r="B366" s="32">
        <v>45785</v>
      </c>
      <c r="C366" s="36" t="s">
        <v>665</v>
      </c>
      <c r="D366" s="43">
        <v>2</v>
      </c>
      <c r="E366" s="48" t="s">
        <v>26</v>
      </c>
      <c r="F366" s="48" t="s">
        <v>555</v>
      </c>
      <c r="G366" s="49">
        <v>10</v>
      </c>
      <c r="H366" s="10">
        <v>20</v>
      </c>
      <c r="I366" s="52">
        <v>30</v>
      </c>
      <c r="J366" s="10">
        <v>60</v>
      </c>
      <c r="K366" s="95" t="s">
        <v>346</v>
      </c>
      <c r="L366" s="57">
        <v>0.66666666666666663</v>
      </c>
      <c r="M366" s="50">
        <v>40</v>
      </c>
      <c r="N366" s="64"/>
      <c r="O366" s="103"/>
      <c r="P366" s="52" t="s">
        <v>20</v>
      </c>
    </row>
    <row r="367" spans="1:16" ht="15" customHeight="1">
      <c r="A367" s="28">
        <v>5</v>
      </c>
      <c r="B367" s="32">
        <v>45785</v>
      </c>
      <c r="C367" s="36" t="s">
        <v>274</v>
      </c>
      <c r="D367" s="43">
        <v>3</v>
      </c>
      <c r="E367" s="48" t="s">
        <v>26</v>
      </c>
      <c r="F367" s="48" t="s">
        <v>555</v>
      </c>
      <c r="G367" s="49">
        <v>0</v>
      </c>
      <c r="H367" s="10">
        <v>0</v>
      </c>
      <c r="I367" s="52">
        <v>15</v>
      </c>
      <c r="J367" s="10">
        <v>45</v>
      </c>
      <c r="K367" s="95" t="s">
        <v>346</v>
      </c>
      <c r="L367" s="57">
        <v>1</v>
      </c>
      <c r="M367" s="50">
        <v>45</v>
      </c>
      <c r="N367" s="64"/>
      <c r="O367" s="103"/>
      <c r="P367" s="52" t="s">
        <v>20</v>
      </c>
    </row>
    <row r="368" spans="1:16" ht="15" customHeight="1">
      <c r="A368" s="28">
        <v>5</v>
      </c>
      <c r="B368" s="32">
        <v>45785</v>
      </c>
      <c r="C368" s="36" t="s">
        <v>694</v>
      </c>
      <c r="D368" s="43">
        <v>1</v>
      </c>
      <c r="E368" s="48" t="s">
        <v>26</v>
      </c>
      <c r="F368" s="48" t="s">
        <v>555</v>
      </c>
      <c r="G368" s="49" t="s">
        <v>79</v>
      </c>
      <c r="H368" s="10">
        <v>0</v>
      </c>
      <c r="I368" s="52">
        <v>5</v>
      </c>
      <c r="J368" s="10">
        <v>5</v>
      </c>
      <c r="K368" s="95" t="s">
        <v>346</v>
      </c>
      <c r="L368" s="57">
        <v>1</v>
      </c>
      <c r="M368" s="50">
        <v>5</v>
      </c>
      <c r="N368" s="64"/>
      <c r="O368" s="103"/>
      <c r="P368" s="52" t="s">
        <v>20</v>
      </c>
    </row>
    <row r="369" spans="1:16" ht="15" customHeight="1">
      <c r="A369" s="28">
        <v>5</v>
      </c>
      <c r="B369" s="32">
        <v>45785</v>
      </c>
      <c r="C369" s="36" t="s">
        <v>695</v>
      </c>
      <c r="D369" s="43">
        <v>1</v>
      </c>
      <c r="E369" s="48" t="s">
        <v>26</v>
      </c>
      <c r="F369" s="48" t="s">
        <v>555</v>
      </c>
      <c r="G369" s="49" t="s">
        <v>79</v>
      </c>
      <c r="H369" s="10">
        <v>0</v>
      </c>
      <c r="I369" s="52">
        <v>90</v>
      </c>
      <c r="J369" s="10">
        <v>90</v>
      </c>
      <c r="K369" s="95" t="s">
        <v>346</v>
      </c>
      <c r="L369" s="57">
        <v>1</v>
      </c>
      <c r="M369" s="50">
        <v>90</v>
      </c>
      <c r="N369" s="64"/>
      <c r="O369" s="103"/>
      <c r="P369" s="52" t="s">
        <v>20</v>
      </c>
    </row>
    <row r="370" spans="1:16" ht="15" customHeight="1">
      <c r="A370" s="28">
        <v>5</v>
      </c>
      <c r="B370" s="32">
        <v>45787</v>
      </c>
      <c r="C370" s="36" t="s">
        <v>231</v>
      </c>
      <c r="D370" s="43">
        <v>1</v>
      </c>
      <c r="E370" s="48" t="s">
        <v>26</v>
      </c>
      <c r="F370" s="48" t="s">
        <v>555</v>
      </c>
      <c r="G370" s="49">
        <v>18</v>
      </c>
      <c r="H370" s="10">
        <v>18</v>
      </c>
      <c r="I370" s="52">
        <v>45</v>
      </c>
      <c r="J370" s="10">
        <v>45</v>
      </c>
      <c r="K370" s="95" t="s">
        <v>346</v>
      </c>
      <c r="L370" s="57">
        <v>0.6</v>
      </c>
      <c r="M370" s="50">
        <v>27</v>
      </c>
      <c r="N370" s="64"/>
      <c r="O370" s="103"/>
      <c r="P370" s="52" t="s">
        <v>20</v>
      </c>
    </row>
    <row r="371" spans="1:16" ht="15" customHeight="1">
      <c r="A371" s="28">
        <v>5</v>
      </c>
      <c r="B371" s="32">
        <v>45787</v>
      </c>
      <c r="C371" s="36" t="s">
        <v>562</v>
      </c>
      <c r="D371" s="43">
        <v>1</v>
      </c>
      <c r="E371" s="48" t="s">
        <v>26</v>
      </c>
      <c r="F371" s="48" t="s">
        <v>555</v>
      </c>
      <c r="G371" s="49" t="s">
        <v>79</v>
      </c>
      <c r="H371" s="10">
        <v>0</v>
      </c>
      <c r="I371" s="52">
        <v>30</v>
      </c>
      <c r="J371" s="10">
        <v>30</v>
      </c>
      <c r="K371" s="95" t="s">
        <v>346</v>
      </c>
      <c r="L371" s="57">
        <v>1</v>
      </c>
      <c r="M371" s="50">
        <v>30</v>
      </c>
      <c r="N371" s="64"/>
      <c r="O371" s="103"/>
      <c r="P371" s="52" t="s">
        <v>20</v>
      </c>
    </row>
    <row r="372" spans="1:16" ht="15" customHeight="1">
      <c r="A372" s="28">
        <v>5</v>
      </c>
      <c r="B372" s="32">
        <v>45787</v>
      </c>
      <c r="C372" s="36" t="s">
        <v>696</v>
      </c>
      <c r="D372" s="43">
        <v>1</v>
      </c>
      <c r="E372" s="48" t="s">
        <v>26</v>
      </c>
      <c r="F372" s="48" t="s">
        <v>555</v>
      </c>
      <c r="G372" s="49" t="s">
        <v>79</v>
      </c>
      <c r="H372" s="10">
        <v>0</v>
      </c>
      <c r="I372" s="52">
        <v>100</v>
      </c>
      <c r="J372" s="10">
        <v>100</v>
      </c>
      <c r="K372" s="95" t="s">
        <v>346</v>
      </c>
      <c r="L372" s="57">
        <v>1</v>
      </c>
      <c r="M372" s="50">
        <v>100</v>
      </c>
      <c r="N372" s="64"/>
      <c r="O372" s="103"/>
      <c r="P372" s="52" t="s">
        <v>20</v>
      </c>
    </row>
    <row r="373" spans="1:16" ht="15" customHeight="1">
      <c r="A373" s="28">
        <v>5</v>
      </c>
      <c r="B373" s="32">
        <v>45787</v>
      </c>
      <c r="C373" s="36" t="s">
        <v>697</v>
      </c>
      <c r="D373" s="43">
        <v>1</v>
      </c>
      <c r="E373" s="48" t="s">
        <v>26</v>
      </c>
      <c r="F373" s="48" t="s">
        <v>555</v>
      </c>
      <c r="G373" s="49" t="s">
        <v>79</v>
      </c>
      <c r="H373" s="10">
        <v>0</v>
      </c>
      <c r="I373" s="52">
        <v>25</v>
      </c>
      <c r="J373" s="10">
        <v>25</v>
      </c>
      <c r="K373" s="95" t="s">
        <v>346</v>
      </c>
      <c r="L373" s="57">
        <v>1</v>
      </c>
      <c r="M373" s="50">
        <v>25</v>
      </c>
      <c r="N373" s="64"/>
      <c r="O373" s="103"/>
      <c r="P373" s="52" t="s">
        <v>20</v>
      </c>
    </row>
    <row r="374" spans="1:16" ht="15" customHeight="1">
      <c r="A374" s="28">
        <v>5</v>
      </c>
      <c r="B374" s="32">
        <v>45787</v>
      </c>
      <c r="C374" s="36" t="s">
        <v>55</v>
      </c>
      <c r="D374" s="43">
        <v>1</v>
      </c>
      <c r="E374" s="48" t="s">
        <v>26</v>
      </c>
      <c r="F374" s="48" t="s">
        <v>555</v>
      </c>
      <c r="G374" s="49">
        <v>3</v>
      </c>
      <c r="H374" s="10">
        <v>3</v>
      </c>
      <c r="I374" s="52">
        <v>30</v>
      </c>
      <c r="J374" s="10">
        <v>30</v>
      </c>
      <c r="K374" s="95" t="s">
        <v>346</v>
      </c>
      <c r="L374" s="57">
        <v>0.9</v>
      </c>
      <c r="M374" s="50">
        <v>27</v>
      </c>
      <c r="N374" s="64"/>
      <c r="O374" s="103"/>
      <c r="P374" s="52" t="s">
        <v>20</v>
      </c>
    </row>
    <row r="375" spans="1:16" ht="15" customHeight="1">
      <c r="A375" s="28">
        <v>5</v>
      </c>
      <c r="B375" s="32">
        <v>45787</v>
      </c>
      <c r="C375" s="36" t="s">
        <v>458</v>
      </c>
      <c r="D375" s="43">
        <v>1</v>
      </c>
      <c r="E375" s="48" t="s">
        <v>26</v>
      </c>
      <c r="F375" s="48" t="s">
        <v>555</v>
      </c>
      <c r="G375" s="49">
        <v>0.5</v>
      </c>
      <c r="H375" s="10">
        <v>0.5</v>
      </c>
      <c r="I375" s="52">
        <v>2.5</v>
      </c>
      <c r="J375" s="10">
        <v>2.5</v>
      </c>
      <c r="K375" s="95" t="s">
        <v>346</v>
      </c>
      <c r="L375" s="57">
        <v>0.8</v>
      </c>
      <c r="M375" s="50">
        <v>2</v>
      </c>
      <c r="N375" s="64"/>
      <c r="O375" s="103"/>
      <c r="P375" s="52" t="s">
        <v>20</v>
      </c>
    </row>
    <row r="376" spans="1:16" ht="15" customHeight="1">
      <c r="A376" s="28">
        <v>5</v>
      </c>
      <c r="B376" s="32">
        <v>45787</v>
      </c>
      <c r="C376" s="36" t="s">
        <v>698</v>
      </c>
      <c r="D376" s="43">
        <v>1</v>
      </c>
      <c r="E376" s="48" t="s">
        <v>26</v>
      </c>
      <c r="F376" s="48" t="s">
        <v>555</v>
      </c>
      <c r="G376" s="49" t="s">
        <v>79</v>
      </c>
      <c r="H376" s="10">
        <v>0</v>
      </c>
      <c r="I376" s="52">
        <v>15</v>
      </c>
      <c r="J376" s="10">
        <v>15</v>
      </c>
      <c r="K376" s="95" t="s">
        <v>346</v>
      </c>
      <c r="L376" s="57">
        <v>1</v>
      </c>
      <c r="M376" s="50">
        <v>15</v>
      </c>
      <c r="N376" s="64"/>
      <c r="O376" s="103"/>
      <c r="P376" s="52" t="s">
        <v>20</v>
      </c>
    </row>
    <row r="377" spans="1:16" ht="15" customHeight="1">
      <c r="A377" s="28">
        <v>5</v>
      </c>
      <c r="B377" s="32">
        <v>45787</v>
      </c>
      <c r="C377" s="36" t="s">
        <v>607</v>
      </c>
      <c r="D377" s="43">
        <v>2</v>
      </c>
      <c r="E377" s="48" t="s">
        <v>26</v>
      </c>
      <c r="F377" s="48" t="s">
        <v>555</v>
      </c>
      <c r="G377" s="49">
        <v>10</v>
      </c>
      <c r="H377" s="10">
        <v>20</v>
      </c>
      <c r="I377" s="52">
        <v>30</v>
      </c>
      <c r="J377" s="10">
        <v>60</v>
      </c>
      <c r="K377" s="95" t="s">
        <v>346</v>
      </c>
      <c r="L377" s="57">
        <v>0.66666666666666663</v>
      </c>
      <c r="M377" s="50">
        <v>40</v>
      </c>
      <c r="N377" s="64"/>
      <c r="O377" s="103"/>
      <c r="P377" s="52" t="s">
        <v>20</v>
      </c>
    </row>
    <row r="378" spans="1:16" ht="15" customHeight="1">
      <c r="A378" s="28">
        <v>5</v>
      </c>
      <c r="B378" s="32">
        <v>45787</v>
      </c>
      <c r="C378" s="36" t="s">
        <v>699</v>
      </c>
      <c r="D378" s="43">
        <v>1</v>
      </c>
      <c r="E378" s="48" t="s">
        <v>26</v>
      </c>
      <c r="F378" s="48" t="s">
        <v>555</v>
      </c>
      <c r="G378" s="49">
        <v>57</v>
      </c>
      <c r="H378" s="10">
        <v>57</v>
      </c>
      <c r="I378" s="52">
        <v>90</v>
      </c>
      <c r="J378" s="10">
        <v>90</v>
      </c>
      <c r="K378" s="95" t="s">
        <v>346</v>
      </c>
      <c r="L378" s="57">
        <v>0.36666666666666664</v>
      </c>
      <c r="M378" s="50">
        <v>33</v>
      </c>
      <c r="N378" s="64"/>
      <c r="O378" s="103"/>
      <c r="P378" s="52" t="s">
        <v>20</v>
      </c>
    </row>
    <row r="379" spans="1:16" ht="15" customHeight="1">
      <c r="A379" s="28">
        <v>5</v>
      </c>
      <c r="B379" s="32">
        <v>45787</v>
      </c>
      <c r="C379" s="36" t="s">
        <v>700</v>
      </c>
      <c r="D379" s="43">
        <v>1</v>
      </c>
      <c r="E379" s="48" t="s">
        <v>26</v>
      </c>
      <c r="F379" s="48" t="s">
        <v>555</v>
      </c>
      <c r="G379" s="49">
        <v>2.5</v>
      </c>
      <c r="H379" s="10">
        <v>2.5</v>
      </c>
      <c r="I379" s="52">
        <v>5</v>
      </c>
      <c r="J379" s="10">
        <v>5</v>
      </c>
      <c r="K379" s="95" t="s">
        <v>346</v>
      </c>
      <c r="L379" s="57">
        <v>0.5</v>
      </c>
      <c r="M379" s="50">
        <v>2.5</v>
      </c>
      <c r="N379" s="64"/>
      <c r="O379" s="103"/>
      <c r="P379" s="52" t="s">
        <v>20</v>
      </c>
    </row>
    <row r="380" spans="1:16" ht="15" customHeight="1">
      <c r="A380" s="28">
        <v>5</v>
      </c>
      <c r="B380" s="32">
        <v>45787</v>
      </c>
      <c r="C380" s="36" t="s">
        <v>701</v>
      </c>
      <c r="D380" s="43">
        <v>1</v>
      </c>
      <c r="E380" s="48" t="s">
        <v>26</v>
      </c>
      <c r="F380" s="48" t="s">
        <v>555</v>
      </c>
      <c r="G380" s="49" t="s">
        <v>79</v>
      </c>
      <c r="H380" s="10">
        <v>0</v>
      </c>
      <c r="I380" s="52">
        <v>15</v>
      </c>
      <c r="J380" s="10">
        <v>15</v>
      </c>
      <c r="K380" s="95" t="s">
        <v>346</v>
      </c>
      <c r="L380" s="57">
        <v>1</v>
      </c>
      <c r="M380" s="50">
        <v>15</v>
      </c>
      <c r="N380" s="64"/>
      <c r="O380" s="103"/>
      <c r="P380" s="52" t="s">
        <v>20</v>
      </c>
    </row>
    <row r="381" spans="1:16" ht="15" customHeight="1">
      <c r="A381" s="28">
        <v>5</v>
      </c>
      <c r="B381" s="32">
        <v>45789</v>
      </c>
      <c r="C381" s="36" t="s">
        <v>702</v>
      </c>
      <c r="D381" s="43">
        <v>1</v>
      </c>
      <c r="E381" s="48" t="s">
        <v>26</v>
      </c>
      <c r="F381" s="48" t="s">
        <v>555</v>
      </c>
      <c r="G381" s="49" t="s">
        <v>79</v>
      </c>
      <c r="H381" s="10">
        <v>0</v>
      </c>
      <c r="I381" s="52">
        <v>40</v>
      </c>
      <c r="J381" s="10">
        <v>40</v>
      </c>
      <c r="K381" s="95" t="s">
        <v>346</v>
      </c>
      <c r="L381" s="57">
        <v>1</v>
      </c>
      <c r="M381" s="50">
        <v>40</v>
      </c>
      <c r="N381" s="64"/>
      <c r="O381" s="103"/>
      <c r="P381" s="52" t="s">
        <v>20</v>
      </c>
    </row>
    <row r="382" spans="1:16" ht="15" customHeight="1">
      <c r="A382" s="28">
        <v>5</v>
      </c>
      <c r="B382" s="32">
        <v>45789</v>
      </c>
      <c r="C382" s="36" t="s">
        <v>703</v>
      </c>
      <c r="D382" s="43">
        <v>1</v>
      </c>
      <c r="E382" s="48" t="s">
        <v>26</v>
      </c>
      <c r="F382" s="48" t="s">
        <v>555</v>
      </c>
      <c r="G382" s="49" t="s">
        <v>79</v>
      </c>
      <c r="H382" s="10">
        <v>0</v>
      </c>
      <c r="I382" s="52">
        <v>30</v>
      </c>
      <c r="J382" s="10">
        <v>30</v>
      </c>
      <c r="K382" s="95" t="s">
        <v>346</v>
      </c>
      <c r="L382" s="57">
        <v>1</v>
      </c>
      <c r="M382" s="50">
        <v>30</v>
      </c>
      <c r="N382" s="64"/>
      <c r="O382" s="103"/>
      <c r="P382" s="52" t="s">
        <v>20</v>
      </c>
    </row>
    <row r="383" spans="1:16" ht="15" customHeight="1">
      <c r="A383" s="28">
        <v>6</v>
      </c>
      <c r="B383" s="32">
        <v>45810</v>
      </c>
      <c r="C383" s="36" t="s">
        <v>695</v>
      </c>
      <c r="D383" s="43">
        <v>1</v>
      </c>
      <c r="E383" s="48" t="s">
        <v>26</v>
      </c>
      <c r="F383" s="48" t="s">
        <v>555</v>
      </c>
      <c r="G383" s="49" t="s">
        <v>79</v>
      </c>
      <c r="H383" s="10">
        <v>0</v>
      </c>
      <c r="I383" s="52">
        <v>120</v>
      </c>
      <c r="J383" s="10">
        <v>120</v>
      </c>
      <c r="K383" s="95" t="s">
        <v>346</v>
      </c>
      <c r="L383" s="57">
        <v>1</v>
      </c>
      <c r="M383" s="50">
        <v>120</v>
      </c>
      <c r="N383" s="64"/>
      <c r="O383" s="103"/>
      <c r="P383" s="52" t="s">
        <v>20</v>
      </c>
    </row>
    <row r="384" spans="1:16" ht="15" customHeight="1">
      <c r="A384" s="28">
        <v>6</v>
      </c>
      <c r="B384" s="32">
        <v>45810</v>
      </c>
      <c r="C384" s="36" t="s">
        <v>681</v>
      </c>
      <c r="D384" s="43">
        <v>1</v>
      </c>
      <c r="E384" s="48" t="s">
        <v>26</v>
      </c>
      <c r="F384" s="48" t="s">
        <v>555</v>
      </c>
      <c r="G384" s="49" t="s">
        <v>79</v>
      </c>
      <c r="H384" s="10">
        <v>0</v>
      </c>
      <c r="I384" s="52">
        <v>80</v>
      </c>
      <c r="J384" s="10">
        <v>80</v>
      </c>
      <c r="K384" s="95" t="s">
        <v>346</v>
      </c>
      <c r="L384" s="57">
        <v>1</v>
      </c>
      <c r="M384" s="50">
        <v>80</v>
      </c>
      <c r="N384" s="64"/>
      <c r="O384" s="103"/>
      <c r="P384" s="52" t="s">
        <v>20</v>
      </c>
    </row>
    <row r="385" spans="1:16" ht="15" customHeight="1">
      <c r="A385" s="28">
        <v>6</v>
      </c>
      <c r="B385" s="32">
        <v>45810</v>
      </c>
      <c r="C385" s="36" t="s">
        <v>323</v>
      </c>
      <c r="D385" s="43">
        <v>40</v>
      </c>
      <c r="E385" s="48" t="s">
        <v>26</v>
      </c>
      <c r="F385" s="48" t="s">
        <v>555</v>
      </c>
      <c r="G385" s="49">
        <v>7.0000000000000007E-2</v>
      </c>
      <c r="H385" s="10">
        <v>2.8000000000000003</v>
      </c>
      <c r="I385" s="52">
        <v>1</v>
      </c>
      <c r="J385" s="10">
        <v>40</v>
      </c>
      <c r="K385" s="95" t="s">
        <v>346</v>
      </c>
      <c r="L385" s="57">
        <v>0.93</v>
      </c>
      <c r="M385" s="50">
        <v>37.200000000000003</v>
      </c>
      <c r="N385" s="64"/>
      <c r="O385" s="103"/>
      <c r="P385" s="52" t="s">
        <v>20</v>
      </c>
    </row>
    <row r="386" spans="1:16" ht="15" customHeight="1">
      <c r="A386" s="28">
        <v>6</v>
      </c>
      <c r="B386" s="32">
        <v>45810</v>
      </c>
      <c r="C386" s="36" t="s">
        <v>700</v>
      </c>
      <c r="D386" s="43">
        <v>2</v>
      </c>
      <c r="E386" s="48" t="s">
        <v>26</v>
      </c>
      <c r="F386" s="48" t="s">
        <v>555</v>
      </c>
      <c r="G386" s="49">
        <v>2.5</v>
      </c>
      <c r="H386" s="10">
        <v>5</v>
      </c>
      <c r="I386" s="52">
        <v>5</v>
      </c>
      <c r="J386" s="10">
        <v>10</v>
      </c>
      <c r="K386" s="95" t="s">
        <v>346</v>
      </c>
      <c r="L386" s="57">
        <v>0.5</v>
      </c>
      <c r="M386" s="50">
        <v>5</v>
      </c>
      <c r="N386" s="64"/>
      <c r="O386" s="103"/>
      <c r="P386" s="52" t="s">
        <v>20</v>
      </c>
    </row>
    <row r="387" spans="1:16" ht="15" customHeight="1">
      <c r="A387" s="28">
        <v>6</v>
      </c>
      <c r="B387" s="32">
        <v>45810</v>
      </c>
      <c r="C387" s="36" t="s">
        <v>704</v>
      </c>
      <c r="D387" s="43">
        <v>1</v>
      </c>
      <c r="E387" s="48" t="s">
        <v>26</v>
      </c>
      <c r="F387" s="48" t="s">
        <v>555</v>
      </c>
      <c r="G387" s="49" t="s">
        <v>79</v>
      </c>
      <c r="H387" s="10">
        <v>0</v>
      </c>
      <c r="I387" s="52">
        <v>40</v>
      </c>
      <c r="J387" s="10">
        <v>40</v>
      </c>
      <c r="K387" s="95" t="s">
        <v>346</v>
      </c>
      <c r="L387" s="57">
        <v>1</v>
      </c>
      <c r="M387" s="50">
        <v>40</v>
      </c>
      <c r="N387" s="64"/>
      <c r="O387" s="103"/>
      <c r="P387" s="52" t="s">
        <v>20</v>
      </c>
    </row>
    <row r="388" spans="1:16" ht="15" customHeight="1">
      <c r="A388" s="28">
        <v>6</v>
      </c>
      <c r="B388" s="32">
        <v>45813</v>
      </c>
      <c r="C388" s="36" t="s">
        <v>686</v>
      </c>
      <c r="D388" s="43">
        <v>4</v>
      </c>
      <c r="E388" s="48" t="s">
        <v>26</v>
      </c>
      <c r="F388" s="48" t="s">
        <v>555</v>
      </c>
      <c r="G388" s="49">
        <v>3.5</v>
      </c>
      <c r="H388" s="10">
        <v>14</v>
      </c>
      <c r="I388" s="52">
        <v>5</v>
      </c>
      <c r="J388" s="10">
        <v>20</v>
      </c>
      <c r="K388" s="95" t="s">
        <v>346</v>
      </c>
      <c r="L388" s="57">
        <v>0.3</v>
      </c>
      <c r="M388" s="50">
        <v>6</v>
      </c>
      <c r="N388" s="64"/>
      <c r="O388" s="103"/>
      <c r="P388" s="52" t="s">
        <v>20</v>
      </c>
    </row>
    <row r="389" spans="1:16" ht="15" customHeight="1">
      <c r="A389" s="28">
        <v>6</v>
      </c>
      <c r="B389" s="32">
        <v>45813</v>
      </c>
      <c r="C389" s="36" t="s">
        <v>705</v>
      </c>
      <c r="D389" s="43">
        <v>1</v>
      </c>
      <c r="E389" s="48" t="s">
        <v>26</v>
      </c>
      <c r="F389" s="48" t="s">
        <v>555</v>
      </c>
      <c r="G389" s="49">
        <v>14</v>
      </c>
      <c r="H389" s="10">
        <v>14</v>
      </c>
      <c r="I389" s="52">
        <v>25</v>
      </c>
      <c r="J389" s="10">
        <v>25</v>
      </c>
      <c r="K389" s="95" t="s">
        <v>346</v>
      </c>
      <c r="L389" s="57">
        <v>0.44</v>
      </c>
      <c r="M389" s="50">
        <v>11</v>
      </c>
      <c r="N389" s="64"/>
      <c r="O389" s="103"/>
      <c r="P389" s="52" t="s">
        <v>20</v>
      </c>
    </row>
    <row r="390" spans="1:16" ht="15" customHeight="1">
      <c r="A390" s="28">
        <v>6</v>
      </c>
      <c r="B390" s="32">
        <v>45813</v>
      </c>
      <c r="C390" s="36" t="s">
        <v>441</v>
      </c>
      <c r="D390" s="43">
        <v>1</v>
      </c>
      <c r="E390" s="48" t="s">
        <v>26</v>
      </c>
      <c r="F390" s="48" t="s">
        <v>555</v>
      </c>
      <c r="G390" s="49">
        <v>0</v>
      </c>
      <c r="H390" s="10">
        <v>0</v>
      </c>
      <c r="I390" s="52">
        <v>15</v>
      </c>
      <c r="J390" s="10">
        <v>15</v>
      </c>
      <c r="K390" s="95" t="s">
        <v>346</v>
      </c>
      <c r="L390" s="57">
        <v>1</v>
      </c>
      <c r="M390" s="50">
        <v>15</v>
      </c>
      <c r="N390" s="64"/>
      <c r="O390" s="103"/>
      <c r="P390" s="52" t="s">
        <v>20</v>
      </c>
    </row>
    <row r="391" spans="1:16" ht="15" customHeight="1">
      <c r="A391" s="28">
        <v>6</v>
      </c>
      <c r="B391" s="32">
        <v>45813</v>
      </c>
      <c r="C391" s="36" t="s">
        <v>706</v>
      </c>
      <c r="D391" s="43">
        <v>2</v>
      </c>
      <c r="E391" s="48" t="s">
        <v>26</v>
      </c>
      <c r="F391" s="48" t="s">
        <v>555</v>
      </c>
      <c r="G391" s="49">
        <v>17</v>
      </c>
      <c r="H391" s="10">
        <v>34</v>
      </c>
      <c r="I391" s="52">
        <v>50</v>
      </c>
      <c r="J391" s="10">
        <v>100</v>
      </c>
      <c r="K391" s="95" t="s">
        <v>346</v>
      </c>
      <c r="L391" s="57">
        <v>0.66</v>
      </c>
      <c r="M391" s="50">
        <v>66</v>
      </c>
      <c r="N391" s="64"/>
      <c r="O391" s="103"/>
      <c r="P391" s="52" t="s">
        <v>20</v>
      </c>
    </row>
    <row r="392" spans="1:16" ht="15" customHeight="1">
      <c r="A392" s="28">
        <v>6</v>
      </c>
      <c r="B392" s="32">
        <v>45813</v>
      </c>
      <c r="C392" s="36" t="s">
        <v>707</v>
      </c>
      <c r="D392" s="43">
        <v>2</v>
      </c>
      <c r="E392" s="48" t="s">
        <v>26</v>
      </c>
      <c r="F392" s="48" t="s">
        <v>555</v>
      </c>
      <c r="G392" s="49">
        <v>16</v>
      </c>
      <c r="H392" s="10">
        <v>32</v>
      </c>
      <c r="I392" s="52">
        <v>45</v>
      </c>
      <c r="J392" s="10">
        <v>90</v>
      </c>
      <c r="K392" s="95" t="s">
        <v>346</v>
      </c>
      <c r="L392" s="57">
        <v>0.64444444444444449</v>
      </c>
      <c r="M392" s="50">
        <v>58</v>
      </c>
      <c r="N392" s="64"/>
      <c r="O392" s="103"/>
      <c r="P392" s="52" t="s">
        <v>20</v>
      </c>
    </row>
    <row r="393" spans="1:16" ht="15" customHeight="1">
      <c r="A393" s="28">
        <v>6</v>
      </c>
      <c r="B393" s="32">
        <v>45813</v>
      </c>
      <c r="C393" s="36" t="s">
        <v>458</v>
      </c>
      <c r="D393" s="43">
        <v>1</v>
      </c>
      <c r="E393" s="48" t="s">
        <v>26</v>
      </c>
      <c r="F393" s="48" t="s">
        <v>555</v>
      </c>
      <c r="G393" s="49">
        <v>0.5</v>
      </c>
      <c r="H393" s="10">
        <v>0.5</v>
      </c>
      <c r="I393" s="52">
        <v>2.5</v>
      </c>
      <c r="J393" s="10">
        <v>2.5</v>
      </c>
      <c r="K393" s="95" t="s">
        <v>346</v>
      </c>
      <c r="L393" s="57">
        <v>0.8</v>
      </c>
      <c r="M393" s="50">
        <v>2</v>
      </c>
      <c r="N393" s="64"/>
      <c r="O393" s="103"/>
      <c r="P393" s="52" t="s">
        <v>20</v>
      </c>
    </row>
    <row r="394" spans="1:16" ht="15" customHeight="1">
      <c r="A394" s="28">
        <v>6</v>
      </c>
      <c r="B394" s="32">
        <v>45813</v>
      </c>
      <c r="C394" s="36" t="s">
        <v>708</v>
      </c>
      <c r="D394" s="43">
        <v>1</v>
      </c>
      <c r="E394" s="48" t="s">
        <v>26</v>
      </c>
      <c r="F394" s="48" t="s">
        <v>555</v>
      </c>
      <c r="G394" s="49">
        <v>25</v>
      </c>
      <c r="H394" s="10">
        <v>25</v>
      </c>
      <c r="I394" s="52">
        <v>30</v>
      </c>
      <c r="J394" s="10">
        <v>30</v>
      </c>
      <c r="K394" s="95" t="s">
        <v>346</v>
      </c>
      <c r="L394" s="57">
        <v>0.16666666666666666</v>
      </c>
      <c r="M394" s="50">
        <v>5</v>
      </c>
      <c r="N394" s="64"/>
      <c r="O394" s="103"/>
      <c r="P394" s="52" t="s">
        <v>20</v>
      </c>
    </row>
    <row r="395" spans="1:16" ht="15" customHeight="1">
      <c r="A395" s="28">
        <v>6</v>
      </c>
      <c r="B395" s="32">
        <v>45816</v>
      </c>
      <c r="C395" s="36" t="s">
        <v>709</v>
      </c>
      <c r="D395" s="43">
        <v>1</v>
      </c>
      <c r="E395" s="48" t="s">
        <v>26</v>
      </c>
      <c r="F395" s="48" t="s">
        <v>555</v>
      </c>
      <c r="G395" s="49">
        <v>37</v>
      </c>
      <c r="H395" s="10">
        <v>37</v>
      </c>
      <c r="I395" s="52">
        <v>60</v>
      </c>
      <c r="J395" s="10">
        <v>60</v>
      </c>
      <c r="K395" s="95" t="s">
        <v>346</v>
      </c>
      <c r="L395" s="57">
        <v>0.38333333333333336</v>
      </c>
      <c r="M395" s="50">
        <v>23</v>
      </c>
      <c r="N395" s="64"/>
      <c r="O395" s="103"/>
      <c r="P395" s="52" t="s">
        <v>20</v>
      </c>
    </row>
    <row r="396" spans="1:16" ht="15" customHeight="1">
      <c r="A396" s="28">
        <v>6</v>
      </c>
      <c r="B396" s="32">
        <v>45816</v>
      </c>
      <c r="C396" s="36" t="s">
        <v>710</v>
      </c>
      <c r="D396" s="43">
        <v>2</v>
      </c>
      <c r="E396" s="48" t="s">
        <v>26</v>
      </c>
      <c r="F396" s="48" t="s">
        <v>555</v>
      </c>
      <c r="G396" s="49">
        <v>10</v>
      </c>
      <c r="H396" s="10">
        <v>20</v>
      </c>
      <c r="I396" s="52">
        <v>20</v>
      </c>
      <c r="J396" s="10">
        <v>40</v>
      </c>
      <c r="K396" s="95" t="s">
        <v>346</v>
      </c>
      <c r="L396" s="57">
        <v>0.5</v>
      </c>
      <c r="M396" s="50">
        <v>20</v>
      </c>
      <c r="N396" s="64"/>
      <c r="O396" s="103"/>
      <c r="P396" s="52" t="s">
        <v>20</v>
      </c>
    </row>
    <row r="397" spans="1:16" ht="15" customHeight="1">
      <c r="A397" s="28">
        <v>6</v>
      </c>
      <c r="B397" s="32">
        <v>45816</v>
      </c>
      <c r="C397" s="36" t="s">
        <v>388</v>
      </c>
      <c r="D397" s="43">
        <v>5</v>
      </c>
      <c r="E397" s="48" t="s">
        <v>26</v>
      </c>
      <c r="F397" s="48" t="s">
        <v>555</v>
      </c>
      <c r="G397" s="49">
        <v>2.5</v>
      </c>
      <c r="H397" s="10">
        <v>12.5</v>
      </c>
      <c r="I397" s="52">
        <v>5</v>
      </c>
      <c r="J397" s="10">
        <v>25</v>
      </c>
      <c r="K397" s="95" t="s">
        <v>346</v>
      </c>
      <c r="L397" s="57">
        <v>0.5</v>
      </c>
      <c r="M397" s="50">
        <v>12.5</v>
      </c>
      <c r="N397" s="64"/>
      <c r="O397" s="103"/>
      <c r="P397" s="52" t="s">
        <v>20</v>
      </c>
    </row>
    <row r="398" spans="1:16" ht="15" customHeight="1">
      <c r="A398" s="28">
        <v>6</v>
      </c>
      <c r="B398" s="32">
        <v>45816</v>
      </c>
      <c r="C398" s="36" t="s">
        <v>653</v>
      </c>
      <c r="D398" s="43">
        <v>15</v>
      </c>
      <c r="E398" s="48" t="s">
        <v>26</v>
      </c>
      <c r="F398" s="48" t="s">
        <v>555</v>
      </c>
      <c r="G398" s="49">
        <v>2</v>
      </c>
      <c r="H398" s="10">
        <v>30</v>
      </c>
      <c r="I398" s="52">
        <v>5</v>
      </c>
      <c r="J398" s="10">
        <v>75</v>
      </c>
      <c r="K398" s="95" t="s">
        <v>346</v>
      </c>
      <c r="L398" s="57">
        <v>0.6</v>
      </c>
      <c r="M398" s="50">
        <v>45</v>
      </c>
      <c r="N398" s="64"/>
      <c r="O398" s="103"/>
      <c r="P398" s="52" t="s">
        <v>20</v>
      </c>
    </row>
    <row r="399" spans="1:16" ht="15" customHeight="1">
      <c r="A399" s="28">
        <v>6</v>
      </c>
      <c r="B399" s="32">
        <v>45816</v>
      </c>
      <c r="C399" s="36" t="s">
        <v>321</v>
      </c>
      <c r="D399" s="43">
        <v>4</v>
      </c>
      <c r="E399" s="48" t="s">
        <v>26</v>
      </c>
      <c r="F399" s="48" t="s">
        <v>555</v>
      </c>
      <c r="G399" s="49">
        <v>3</v>
      </c>
      <c r="H399" s="10">
        <v>12</v>
      </c>
      <c r="I399" s="52">
        <v>15</v>
      </c>
      <c r="J399" s="10">
        <v>60</v>
      </c>
      <c r="K399" s="95" t="s">
        <v>346</v>
      </c>
      <c r="L399" s="57">
        <v>0.8</v>
      </c>
      <c r="M399" s="50">
        <v>48</v>
      </c>
      <c r="N399" s="64"/>
      <c r="O399" s="103"/>
      <c r="P399" s="52" t="s">
        <v>20</v>
      </c>
    </row>
    <row r="400" spans="1:16" ht="15" customHeight="1">
      <c r="A400" s="28">
        <v>6</v>
      </c>
      <c r="B400" s="32">
        <v>45816</v>
      </c>
      <c r="C400" s="36" t="s">
        <v>697</v>
      </c>
      <c r="D400" s="43">
        <v>1</v>
      </c>
      <c r="E400" s="48" t="s">
        <v>26</v>
      </c>
      <c r="F400" s="48" t="s">
        <v>555</v>
      </c>
      <c r="G400" s="49" t="s">
        <v>79</v>
      </c>
      <c r="H400" s="10">
        <v>0</v>
      </c>
      <c r="I400" s="52">
        <v>15</v>
      </c>
      <c r="J400" s="10">
        <v>15</v>
      </c>
      <c r="K400" s="95" t="s">
        <v>346</v>
      </c>
      <c r="L400" s="57">
        <v>1</v>
      </c>
      <c r="M400" s="50">
        <v>15</v>
      </c>
      <c r="N400" s="64"/>
      <c r="O400" s="103"/>
      <c r="P400" s="52" t="s">
        <v>20</v>
      </c>
    </row>
    <row r="401" spans="1:16" ht="15" customHeight="1">
      <c r="A401" s="28">
        <v>6</v>
      </c>
      <c r="B401" s="32">
        <v>45816</v>
      </c>
      <c r="C401" s="36" t="s">
        <v>702</v>
      </c>
      <c r="D401" s="43">
        <v>1</v>
      </c>
      <c r="E401" s="48" t="s">
        <v>26</v>
      </c>
      <c r="F401" s="48" t="s">
        <v>555</v>
      </c>
      <c r="G401" s="49" t="s">
        <v>79</v>
      </c>
      <c r="H401" s="10">
        <v>0</v>
      </c>
      <c r="I401" s="52">
        <v>50</v>
      </c>
      <c r="J401" s="10">
        <v>50</v>
      </c>
      <c r="K401" s="95" t="s">
        <v>346</v>
      </c>
      <c r="L401" s="57">
        <v>1</v>
      </c>
      <c r="M401" s="50">
        <v>50</v>
      </c>
      <c r="N401" s="64"/>
      <c r="O401" s="103"/>
      <c r="P401" s="52" t="s">
        <v>20</v>
      </c>
    </row>
    <row r="402" spans="1:16" ht="15" customHeight="1">
      <c r="A402" s="28">
        <v>6</v>
      </c>
      <c r="B402" s="32">
        <v>45816</v>
      </c>
      <c r="C402" s="36" t="s">
        <v>711</v>
      </c>
      <c r="D402" s="43">
        <v>1</v>
      </c>
      <c r="E402" s="48" t="s">
        <v>26</v>
      </c>
      <c r="F402" s="48" t="s">
        <v>555</v>
      </c>
      <c r="G402" s="49" t="s">
        <v>79</v>
      </c>
      <c r="H402" s="10">
        <v>0</v>
      </c>
      <c r="I402" s="52">
        <v>15</v>
      </c>
      <c r="J402" s="10">
        <v>15</v>
      </c>
      <c r="K402" s="95" t="s">
        <v>346</v>
      </c>
      <c r="L402" s="57">
        <v>1</v>
      </c>
      <c r="M402" s="50">
        <v>15</v>
      </c>
      <c r="N402" s="64"/>
      <c r="O402" s="103"/>
      <c r="P402" s="52" t="s">
        <v>20</v>
      </c>
    </row>
    <row r="403" spans="1:16" ht="15" customHeight="1">
      <c r="A403" s="28">
        <v>6</v>
      </c>
      <c r="B403" s="32">
        <v>45816</v>
      </c>
      <c r="C403" s="36" t="s">
        <v>712</v>
      </c>
      <c r="D403" s="43">
        <v>1</v>
      </c>
      <c r="E403" s="48" t="s">
        <v>26</v>
      </c>
      <c r="F403" s="48" t="s">
        <v>555</v>
      </c>
      <c r="G403" s="49" t="s">
        <v>79</v>
      </c>
      <c r="H403" s="10">
        <v>0</v>
      </c>
      <c r="I403" s="52">
        <v>1100</v>
      </c>
      <c r="J403" s="10">
        <v>1100</v>
      </c>
      <c r="K403" s="95" t="s">
        <v>346</v>
      </c>
      <c r="L403" s="57">
        <v>1</v>
      </c>
      <c r="M403" s="50">
        <v>1100</v>
      </c>
      <c r="N403" s="64"/>
      <c r="O403" s="103"/>
      <c r="P403" s="52" t="s">
        <v>20</v>
      </c>
    </row>
    <row r="404" spans="1:16" ht="15" customHeight="1">
      <c r="A404" s="28">
        <v>6</v>
      </c>
      <c r="B404" s="32">
        <v>45816</v>
      </c>
      <c r="C404" s="36" t="s">
        <v>713</v>
      </c>
      <c r="D404" s="43">
        <v>1</v>
      </c>
      <c r="E404" s="48" t="s">
        <v>26</v>
      </c>
      <c r="F404" s="48" t="s">
        <v>555</v>
      </c>
      <c r="G404" s="49" t="s">
        <v>79</v>
      </c>
      <c r="H404" s="10">
        <v>0</v>
      </c>
      <c r="I404" s="52">
        <v>70</v>
      </c>
      <c r="J404" s="10">
        <v>70</v>
      </c>
      <c r="K404" s="95" t="s">
        <v>346</v>
      </c>
      <c r="L404" s="57">
        <v>1</v>
      </c>
      <c r="M404" s="50">
        <v>70</v>
      </c>
      <c r="N404" s="64"/>
      <c r="O404" s="103"/>
      <c r="P404" s="52" t="s">
        <v>20</v>
      </c>
    </row>
    <row r="405" spans="1:16" ht="15" customHeight="1">
      <c r="A405" s="28">
        <v>6</v>
      </c>
      <c r="B405" s="32">
        <v>45820</v>
      </c>
      <c r="C405" s="36" t="s">
        <v>714</v>
      </c>
      <c r="D405" s="43">
        <v>2</v>
      </c>
      <c r="E405" s="48" t="s">
        <v>26</v>
      </c>
      <c r="F405" s="48" t="s">
        <v>555</v>
      </c>
      <c r="G405" s="49" t="s">
        <v>79</v>
      </c>
      <c r="H405" s="10">
        <v>0</v>
      </c>
      <c r="I405" s="52">
        <v>45</v>
      </c>
      <c r="J405" s="10">
        <v>90</v>
      </c>
      <c r="K405" s="95" t="s">
        <v>346</v>
      </c>
      <c r="L405" s="57">
        <v>1</v>
      </c>
      <c r="M405" s="50">
        <v>90</v>
      </c>
      <c r="N405" s="64"/>
      <c r="O405" s="103"/>
      <c r="P405" s="52" t="s">
        <v>20</v>
      </c>
    </row>
    <row r="406" spans="1:16" ht="15" customHeight="1">
      <c r="A406" s="28">
        <v>6</v>
      </c>
      <c r="B406" s="32">
        <v>45820</v>
      </c>
      <c r="C406" s="36" t="s">
        <v>55</v>
      </c>
      <c r="D406" s="43">
        <v>1</v>
      </c>
      <c r="E406" s="48" t="s">
        <v>26</v>
      </c>
      <c r="F406" s="48" t="s">
        <v>555</v>
      </c>
      <c r="G406" s="49">
        <v>3</v>
      </c>
      <c r="H406" s="10">
        <v>3</v>
      </c>
      <c r="I406" s="52">
        <v>20</v>
      </c>
      <c r="J406" s="10">
        <v>20</v>
      </c>
      <c r="K406" s="95" t="s">
        <v>346</v>
      </c>
      <c r="L406" s="57">
        <v>0.85</v>
      </c>
      <c r="M406" s="50">
        <v>17</v>
      </c>
      <c r="N406" s="64"/>
      <c r="O406" s="103"/>
      <c r="P406" s="52" t="s">
        <v>20</v>
      </c>
    </row>
    <row r="407" spans="1:16" ht="15" customHeight="1">
      <c r="A407" s="28">
        <v>6</v>
      </c>
      <c r="B407" s="32">
        <v>45820</v>
      </c>
      <c r="C407" s="36" t="s">
        <v>358</v>
      </c>
      <c r="D407" s="43">
        <v>1</v>
      </c>
      <c r="E407" s="48" t="s">
        <v>26</v>
      </c>
      <c r="F407" s="48" t="s">
        <v>555</v>
      </c>
      <c r="G407" s="49">
        <v>10</v>
      </c>
      <c r="H407" s="10">
        <v>10</v>
      </c>
      <c r="I407" s="52">
        <v>30</v>
      </c>
      <c r="J407" s="10">
        <v>30</v>
      </c>
      <c r="K407" s="95" t="s">
        <v>346</v>
      </c>
      <c r="L407" s="57">
        <v>0.66666666666666663</v>
      </c>
      <c r="M407" s="50">
        <v>20</v>
      </c>
      <c r="N407" s="64"/>
      <c r="O407" s="103"/>
      <c r="P407" s="52" t="s">
        <v>20</v>
      </c>
    </row>
    <row r="408" spans="1:16" ht="15" customHeight="1">
      <c r="A408" s="28">
        <v>6</v>
      </c>
      <c r="B408" s="32">
        <v>45820</v>
      </c>
      <c r="C408" s="36" t="s">
        <v>715</v>
      </c>
      <c r="D408" s="43">
        <v>1</v>
      </c>
      <c r="E408" s="48" t="s">
        <v>26</v>
      </c>
      <c r="F408" s="48" t="s">
        <v>555</v>
      </c>
      <c r="G408" s="49" t="s">
        <v>79</v>
      </c>
      <c r="H408" s="10">
        <v>0</v>
      </c>
      <c r="I408" s="52">
        <v>10</v>
      </c>
      <c r="J408" s="10">
        <v>10</v>
      </c>
      <c r="K408" s="95" t="s">
        <v>346</v>
      </c>
      <c r="L408" s="57">
        <v>1</v>
      </c>
      <c r="M408" s="50">
        <v>10</v>
      </c>
      <c r="N408" s="64"/>
      <c r="O408" s="103"/>
      <c r="P408" s="52" t="s">
        <v>20</v>
      </c>
    </row>
    <row r="409" spans="1:16" ht="15" customHeight="1">
      <c r="A409" s="28">
        <v>6</v>
      </c>
      <c r="B409" s="32">
        <v>45820</v>
      </c>
      <c r="C409" s="36" t="s">
        <v>274</v>
      </c>
      <c r="D409" s="43">
        <v>1</v>
      </c>
      <c r="E409" s="48" t="s">
        <v>26</v>
      </c>
      <c r="F409" s="48" t="s">
        <v>555</v>
      </c>
      <c r="G409" s="49">
        <v>0</v>
      </c>
      <c r="H409" s="10">
        <v>0</v>
      </c>
      <c r="I409" s="52">
        <v>70</v>
      </c>
      <c r="J409" s="10">
        <v>70</v>
      </c>
      <c r="K409" s="95" t="s">
        <v>346</v>
      </c>
      <c r="L409" s="57">
        <v>1</v>
      </c>
      <c r="M409" s="50">
        <v>70</v>
      </c>
      <c r="N409" s="64"/>
      <c r="O409" s="103"/>
      <c r="P409" s="52" t="s">
        <v>20</v>
      </c>
    </row>
    <row r="410" spans="1:16" ht="15" customHeight="1">
      <c r="A410" s="28">
        <v>6</v>
      </c>
      <c r="B410" s="32">
        <v>45820</v>
      </c>
      <c r="C410" s="36" t="s">
        <v>716</v>
      </c>
      <c r="D410" s="43">
        <v>2</v>
      </c>
      <c r="E410" s="48" t="s">
        <v>26</v>
      </c>
      <c r="F410" s="48" t="s">
        <v>555</v>
      </c>
      <c r="G410" s="49" t="s">
        <v>79</v>
      </c>
      <c r="H410" s="10">
        <v>0</v>
      </c>
      <c r="I410" s="52">
        <v>30</v>
      </c>
      <c r="J410" s="10">
        <v>60</v>
      </c>
      <c r="K410" s="95" t="s">
        <v>346</v>
      </c>
      <c r="L410" s="57">
        <v>1</v>
      </c>
      <c r="M410" s="50">
        <v>60</v>
      </c>
      <c r="N410" s="64"/>
      <c r="O410" s="103"/>
      <c r="P410" s="52" t="s">
        <v>20</v>
      </c>
    </row>
    <row r="411" spans="1:16" ht="15" customHeight="1">
      <c r="A411" s="28">
        <v>6</v>
      </c>
      <c r="B411" s="32">
        <v>45820</v>
      </c>
      <c r="C411" s="36" t="s">
        <v>717</v>
      </c>
      <c r="D411" s="43">
        <v>1</v>
      </c>
      <c r="E411" s="48" t="s">
        <v>26</v>
      </c>
      <c r="F411" s="48" t="s">
        <v>555</v>
      </c>
      <c r="G411" s="49" t="s">
        <v>79</v>
      </c>
      <c r="H411" s="10">
        <v>0</v>
      </c>
      <c r="I411" s="52">
        <v>5</v>
      </c>
      <c r="J411" s="10">
        <v>5</v>
      </c>
      <c r="K411" s="95" t="s">
        <v>346</v>
      </c>
      <c r="L411" s="57">
        <v>1</v>
      </c>
      <c r="M411" s="50">
        <v>5</v>
      </c>
      <c r="N411" s="64"/>
      <c r="O411" s="103"/>
      <c r="P411" s="52" t="s">
        <v>20</v>
      </c>
    </row>
    <row r="412" spans="1:16" ht="15" customHeight="1">
      <c r="A412" s="28">
        <v>7</v>
      </c>
      <c r="B412" s="32">
        <v>45839</v>
      </c>
      <c r="C412" s="36" t="s">
        <v>718</v>
      </c>
      <c r="D412" s="43">
        <v>1</v>
      </c>
      <c r="E412" s="48" t="s">
        <v>26</v>
      </c>
      <c r="F412" s="48" t="s">
        <v>555</v>
      </c>
      <c r="G412" s="49" t="s">
        <v>79</v>
      </c>
      <c r="H412" s="10">
        <v>0</v>
      </c>
      <c r="I412" s="52">
        <v>30</v>
      </c>
      <c r="J412" s="10">
        <v>30</v>
      </c>
      <c r="K412" s="95" t="s">
        <v>346</v>
      </c>
      <c r="L412" s="57">
        <v>1</v>
      </c>
      <c r="M412" s="50">
        <v>30</v>
      </c>
      <c r="N412" s="64"/>
      <c r="O412" s="103"/>
      <c r="P412" s="52" t="s">
        <v>20</v>
      </c>
    </row>
    <row r="413" spans="1:16" ht="15" customHeight="1">
      <c r="A413" s="28">
        <v>7</v>
      </c>
      <c r="B413" s="32">
        <v>45839</v>
      </c>
      <c r="C413" s="36" t="s">
        <v>719</v>
      </c>
      <c r="D413" s="43">
        <v>1</v>
      </c>
      <c r="E413" s="48" t="s">
        <v>720</v>
      </c>
      <c r="F413" s="48" t="s">
        <v>555</v>
      </c>
      <c r="G413" s="49" t="s">
        <v>79</v>
      </c>
      <c r="H413" s="10">
        <v>0</v>
      </c>
      <c r="I413" s="52">
        <v>85</v>
      </c>
      <c r="J413" s="10">
        <v>85</v>
      </c>
      <c r="K413" s="95" t="s">
        <v>346</v>
      </c>
      <c r="L413" s="57">
        <v>1</v>
      </c>
      <c r="M413" s="50">
        <v>85</v>
      </c>
      <c r="N413" s="64"/>
      <c r="O413" s="103"/>
      <c r="P413" s="52" t="s">
        <v>20</v>
      </c>
    </row>
    <row r="414" spans="1:16" ht="15" customHeight="1">
      <c r="A414" s="28">
        <v>7</v>
      </c>
      <c r="B414" s="32">
        <v>45839</v>
      </c>
      <c r="C414" s="36" t="s">
        <v>659</v>
      </c>
      <c r="D414" s="43">
        <v>1</v>
      </c>
      <c r="E414" s="48" t="s">
        <v>348</v>
      </c>
      <c r="F414" s="48" t="s">
        <v>555</v>
      </c>
      <c r="G414" s="49">
        <v>8</v>
      </c>
      <c r="H414" s="10">
        <v>8</v>
      </c>
      <c r="I414" s="52">
        <v>25</v>
      </c>
      <c r="J414" s="10">
        <v>25</v>
      </c>
      <c r="K414" s="95" t="s">
        <v>346</v>
      </c>
      <c r="L414" s="57">
        <v>0.68</v>
      </c>
      <c r="M414" s="50">
        <v>17</v>
      </c>
      <c r="N414" s="64"/>
      <c r="O414" s="103"/>
      <c r="P414" s="52" t="s">
        <v>20</v>
      </c>
    </row>
    <row r="415" spans="1:16" ht="15" customHeight="1">
      <c r="A415" s="28">
        <v>7</v>
      </c>
      <c r="B415" s="32">
        <v>45840</v>
      </c>
      <c r="C415" s="36" t="s">
        <v>323</v>
      </c>
      <c r="D415" s="43">
        <v>2</v>
      </c>
      <c r="E415" s="48" t="s">
        <v>721</v>
      </c>
      <c r="F415" s="48" t="s">
        <v>555</v>
      </c>
      <c r="G415" s="49">
        <v>7.0000000000000007E-2</v>
      </c>
      <c r="H415" s="10">
        <v>0.14000000000000001</v>
      </c>
      <c r="I415" s="52">
        <v>1</v>
      </c>
      <c r="J415" s="10">
        <v>2</v>
      </c>
      <c r="K415" s="95" t="s">
        <v>346</v>
      </c>
      <c r="L415" s="57">
        <v>0.92999999999999994</v>
      </c>
      <c r="M415" s="50">
        <v>1.8599999999999999</v>
      </c>
      <c r="N415" s="64"/>
      <c r="O415" s="103"/>
      <c r="P415" s="52" t="s">
        <v>20</v>
      </c>
    </row>
    <row r="416" spans="1:16" ht="15" customHeight="1">
      <c r="A416" s="28">
        <v>7</v>
      </c>
      <c r="B416" s="32">
        <v>45840</v>
      </c>
      <c r="C416" s="36" t="s">
        <v>702</v>
      </c>
      <c r="D416" s="43">
        <v>1</v>
      </c>
      <c r="E416" s="48" t="s">
        <v>722</v>
      </c>
      <c r="F416" s="48" t="s">
        <v>555</v>
      </c>
      <c r="G416" s="49" t="s">
        <v>79</v>
      </c>
      <c r="H416" s="10">
        <v>0</v>
      </c>
      <c r="I416" s="52">
        <v>45</v>
      </c>
      <c r="J416" s="10">
        <v>45</v>
      </c>
      <c r="K416" s="95" t="s">
        <v>346</v>
      </c>
      <c r="L416" s="57">
        <v>1</v>
      </c>
      <c r="M416" s="50">
        <v>45</v>
      </c>
      <c r="N416" s="64"/>
      <c r="O416" s="103"/>
      <c r="P416" s="52" t="s">
        <v>20</v>
      </c>
    </row>
    <row r="417" spans="1:16" ht="15" customHeight="1">
      <c r="A417" s="28">
        <v>7</v>
      </c>
      <c r="B417" s="32">
        <v>45842</v>
      </c>
      <c r="C417" s="36" t="s">
        <v>323</v>
      </c>
      <c r="D417" s="43">
        <v>1</v>
      </c>
      <c r="E417" s="48" t="s">
        <v>26</v>
      </c>
      <c r="F417" s="48" t="s">
        <v>555</v>
      </c>
      <c r="G417" s="49">
        <v>7.0000000000000007E-2</v>
      </c>
      <c r="H417" s="10">
        <v>7.0000000000000007E-2</v>
      </c>
      <c r="I417" s="52">
        <v>1</v>
      </c>
      <c r="J417" s="10">
        <v>1</v>
      </c>
      <c r="K417" s="95" t="s">
        <v>346</v>
      </c>
      <c r="L417" s="57">
        <v>0.92999999999999994</v>
      </c>
      <c r="M417" s="50">
        <v>0.92999999999999994</v>
      </c>
      <c r="N417" s="64"/>
      <c r="O417" s="103"/>
      <c r="P417" s="52" t="s">
        <v>20</v>
      </c>
    </row>
    <row r="418" spans="1:16" ht="15" customHeight="1">
      <c r="A418" s="28">
        <v>7</v>
      </c>
      <c r="B418" s="32">
        <v>45842</v>
      </c>
      <c r="C418" s="36" t="s">
        <v>723</v>
      </c>
      <c r="D418" s="43">
        <v>1</v>
      </c>
      <c r="E418" s="48" t="s">
        <v>26</v>
      </c>
      <c r="F418" s="48" t="s">
        <v>555</v>
      </c>
      <c r="G418" s="49">
        <v>12</v>
      </c>
      <c r="H418" s="10">
        <v>12</v>
      </c>
      <c r="I418" s="52">
        <v>25</v>
      </c>
      <c r="J418" s="10">
        <v>25</v>
      </c>
      <c r="K418" s="95" t="s">
        <v>346</v>
      </c>
      <c r="L418" s="57">
        <v>0.52</v>
      </c>
      <c r="M418" s="50">
        <v>13</v>
      </c>
      <c r="N418" s="64"/>
      <c r="O418" s="103"/>
      <c r="P418" s="52" t="s">
        <v>20</v>
      </c>
    </row>
    <row r="419" spans="1:16" ht="15" customHeight="1">
      <c r="A419" s="28">
        <v>7</v>
      </c>
      <c r="B419" s="32">
        <v>45843</v>
      </c>
      <c r="C419" s="36" t="s">
        <v>724</v>
      </c>
      <c r="D419" s="43">
        <v>8</v>
      </c>
      <c r="E419" s="48" t="s">
        <v>26</v>
      </c>
      <c r="F419" s="48" t="s">
        <v>555</v>
      </c>
      <c r="G419" s="49">
        <v>1</v>
      </c>
      <c r="H419" s="10">
        <v>8</v>
      </c>
      <c r="I419" s="52">
        <v>2</v>
      </c>
      <c r="J419" s="10">
        <v>16</v>
      </c>
      <c r="K419" s="95" t="s">
        <v>346</v>
      </c>
      <c r="L419" s="57">
        <v>0.5</v>
      </c>
      <c r="M419" s="50">
        <v>8</v>
      </c>
      <c r="N419" s="64"/>
      <c r="O419" s="103"/>
      <c r="P419" s="52" t="s">
        <v>20</v>
      </c>
    </row>
    <row r="420" spans="1:16" ht="15" customHeight="1">
      <c r="A420" s="28">
        <v>7</v>
      </c>
      <c r="B420" s="32">
        <v>45843</v>
      </c>
      <c r="C420" s="36" t="s">
        <v>321</v>
      </c>
      <c r="D420" s="43">
        <v>2</v>
      </c>
      <c r="E420" s="48" t="s">
        <v>26</v>
      </c>
      <c r="F420" s="48" t="s">
        <v>555</v>
      </c>
      <c r="G420" s="49">
        <v>3</v>
      </c>
      <c r="H420" s="10">
        <v>6</v>
      </c>
      <c r="I420" s="52">
        <v>15</v>
      </c>
      <c r="J420" s="10">
        <v>30</v>
      </c>
      <c r="K420" s="95" t="s">
        <v>346</v>
      </c>
      <c r="L420" s="57">
        <v>0.8</v>
      </c>
      <c r="M420" s="50">
        <v>24</v>
      </c>
      <c r="N420" s="64"/>
      <c r="O420" s="103"/>
      <c r="P420" s="52" t="s">
        <v>20</v>
      </c>
    </row>
    <row r="421" spans="1:16" ht="15" customHeight="1">
      <c r="A421" s="28">
        <v>7</v>
      </c>
      <c r="B421" s="32">
        <v>45843</v>
      </c>
      <c r="C421" s="36" t="s">
        <v>489</v>
      </c>
      <c r="D421" s="43">
        <v>1</v>
      </c>
      <c r="E421" s="48" t="s">
        <v>26</v>
      </c>
      <c r="F421" s="48" t="s">
        <v>555</v>
      </c>
      <c r="G421" s="49">
        <v>3</v>
      </c>
      <c r="H421" s="10">
        <v>3</v>
      </c>
      <c r="I421" s="52">
        <v>15</v>
      </c>
      <c r="J421" s="10">
        <v>15</v>
      </c>
      <c r="K421" s="95" t="s">
        <v>346</v>
      </c>
      <c r="L421" s="57">
        <v>0.8</v>
      </c>
      <c r="M421" s="50">
        <v>12</v>
      </c>
      <c r="N421" s="64"/>
      <c r="O421" s="103"/>
      <c r="P421" s="52" t="s">
        <v>20</v>
      </c>
    </row>
    <row r="422" spans="1:16" ht="15" customHeight="1">
      <c r="A422" s="28">
        <v>7</v>
      </c>
      <c r="B422" s="32">
        <v>45843</v>
      </c>
      <c r="C422" s="36" t="s">
        <v>323</v>
      </c>
      <c r="D422" s="43">
        <v>1</v>
      </c>
      <c r="E422" s="48" t="s">
        <v>26</v>
      </c>
      <c r="F422" s="48" t="s">
        <v>555</v>
      </c>
      <c r="G422" s="49">
        <v>7.0000000000000007E-2</v>
      </c>
      <c r="H422" s="10">
        <v>7.0000000000000007E-2</v>
      </c>
      <c r="I422" s="52">
        <v>5</v>
      </c>
      <c r="J422" s="10">
        <v>5</v>
      </c>
      <c r="K422" s="95" t="s">
        <v>346</v>
      </c>
      <c r="L422" s="57">
        <v>0.98599999999999999</v>
      </c>
      <c r="M422" s="50">
        <v>4.93</v>
      </c>
      <c r="N422" s="64"/>
      <c r="O422" s="103"/>
      <c r="P422" s="52" t="s">
        <v>20</v>
      </c>
    </row>
    <row r="423" spans="1:16" ht="15" customHeight="1">
      <c r="A423" s="28">
        <v>7</v>
      </c>
      <c r="B423" s="32">
        <v>45845</v>
      </c>
      <c r="C423" s="36" t="s">
        <v>323</v>
      </c>
      <c r="D423" s="43">
        <v>1</v>
      </c>
      <c r="E423" s="48" t="s">
        <v>26</v>
      </c>
      <c r="F423" s="48" t="s">
        <v>555</v>
      </c>
      <c r="G423" s="49">
        <v>7.0000000000000007E-2</v>
      </c>
      <c r="H423" s="10">
        <v>7.0000000000000007E-2</v>
      </c>
      <c r="I423" s="52">
        <v>1</v>
      </c>
      <c r="J423" s="10">
        <v>1</v>
      </c>
      <c r="K423" s="95" t="s">
        <v>346</v>
      </c>
      <c r="L423" s="57">
        <v>0.92999999999999994</v>
      </c>
      <c r="M423" s="50">
        <v>0.92999999999999994</v>
      </c>
      <c r="N423" s="64"/>
      <c r="O423" s="103"/>
      <c r="P423" s="52" t="s">
        <v>20</v>
      </c>
    </row>
    <row r="424" spans="1:16" ht="15" customHeight="1">
      <c r="A424" s="28">
        <v>7</v>
      </c>
      <c r="B424" s="32">
        <v>45845</v>
      </c>
      <c r="C424" s="36" t="s">
        <v>724</v>
      </c>
      <c r="D424" s="43">
        <v>2</v>
      </c>
      <c r="E424" s="48" t="s">
        <v>26</v>
      </c>
      <c r="F424" s="48" t="s">
        <v>555</v>
      </c>
      <c r="G424" s="49">
        <v>1</v>
      </c>
      <c r="H424" s="10">
        <v>2</v>
      </c>
      <c r="I424" s="52">
        <v>2</v>
      </c>
      <c r="J424" s="10">
        <v>4</v>
      </c>
      <c r="K424" s="95" t="s">
        <v>346</v>
      </c>
      <c r="L424" s="57">
        <v>0.5</v>
      </c>
      <c r="M424" s="50">
        <v>2</v>
      </c>
      <c r="N424" s="64"/>
      <c r="O424" s="103"/>
      <c r="P424" s="52" t="s">
        <v>20</v>
      </c>
    </row>
    <row r="425" spans="1:16" ht="15" customHeight="1">
      <c r="A425" s="28">
        <v>7</v>
      </c>
      <c r="B425" s="32">
        <v>45848</v>
      </c>
      <c r="C425" s="36" t="s">
        <v>725</v>
      </c>
      <c r="D425" s="43">
        <v>2</v>
      </c>
      <c r="E425" s="48" t="s">
        <v>26</v>
      </c>
      <c r="F425" s="48" t="s">
        <v>555</v>
      </c>
      <c r="G425" s="49">
        <v>5</v>
      </c>
      <c r="H425" s="10">
        <v>10</v>
      </c>
      <c r="I425" s="52">
        <v>10</v>
      </c>
      <c r="J425" s="10">
        <v>20</v>
      </c>
      <c r="K425" s="95" t="s">
        <v>346</v>
      </c>
      <c r="L425" s="57">
        <v>0.5</v>
      </c>
      <c r="M425" s="50">
        <v>10</v>
      </c>
      <c r="N425" s="64"/>
      <c r="O425" s="103"/>
      <c r="P425" s="52" t="s">
        <v>20</v>
      </c>
    </row>
    <row r="426" spans="1:16" ht="15" customHeight="1">
      <c r="A426" s="28">
        <v>7</v>
      </c>
      <c r="B426" s="32">
        <v>45848</v>
      </c>
      <c r="C426" s="36" t="s">
        <v>323</v>
      </c>
      <c r="D426" s="43">
        <v>1</v>
      </c>
      <c r="E426" s="48" t="s">
        <v>26</v>
      </c>
      <c r="F426" s="48" t="s">
        <v>555</v>
      </c>
      <c r="G426" s="49">
        <v>7.0000000000000007E-2</v>
      </c>
      <c r="H426" s="10">
        <v>7.0000000000000007E-2</v>
      </c>
      <c r="I426" s="52">
        <v>5</v>
      </c>
      <c r="J426" s="10">
        <v>5</v>
      </c>
      <c r="K426" s="95" t="s">
        <v>346</v>
      </c>
      <c r="L426" s="57">
        <v>0.98599999999999999</v>
      </c>
      <c r="M426" s="50">
        <v>4.93</v>
      </c>
      <c r="N426" s="64"/>
      <c r="O426" s="103"/>
      <c r="P426" s="52" t="s">
        <v>20</v>
      </c>
    </row>
    <row r="427" spans="1:16" ht="15" customHeight="1">
      <c r="A427" s="28">
        <v>7</v>
      </c>
      <c r="B427" s="32">
        <v>45848</v>
      </c>
      <c r="C427" s="36" t="s">
        <v>726</v>
      </c>
      <c r="D427" s="43">
        <v>2</v>
      </c>
      <c r="E427" s="48" t="s">
        <v>26</v>
      </c>
      <c r="F427" s="48" t="s">
        <v>555</v>
      </c>
      <c r="G427" s="49" t="s">
        <v>79</v>
      </c>
      <c r="H427" s="10">
        <v>0</v>
      </c>
      <c r="I427" s="52">
        <v>5</v>
      </c>
      <c r="J427" s="10">
        <v>10</v>
      </c>
      <c r="K427" s="95" t="s">
        <v>346</v>
      </c>
      <c r="L427" s="57">
        <v>1</v>
      </c>
      <c r="M427" s="50">
        <v>10</v>
      </c>
      <c r="N427" s="64"/>
      <c r="O427" s="103"/>
      <c r="P427" s="52" t="s">
        <v>20</v>
      </c>
    </row>
    <row r="428" spans="1:16" ht="15" customHeight="1">
      <c r="A428" s="28">
        <v>7</v>
      </c>
      <c r="B428" s="32">
        <v>45848</v>
      </c>
      <c r="C428" s="36" t="s">
        <v>727</v>
      </c>
      <c r="D428" s="43">
        <v>1</v>
      </c>
      <c r="E428" s="48" t="s">
        <v>26</v>
      </c>
      <c r="F428" s="48" t="s">
        <v>555</v>
      </c>
      <c r="G428" s="49" t="s">
        <v>79</v>
      </c>
      <c r="H428" s="10">
        <v>0</v>
      </c>
      <c r="I428" s="52">
        <v>5</v>
      </c>
      <c r="J428" s="10">
        <v>5</v>
      </c>
      <c r="K428" s="95" t="s">
        <v>346</v>
      </c>
      <c r="L428" s="57">
        <v>1</v>
      </c>
      <c r="M428" s="50">
        <v>5</v>
      </c>
      <c r="N428" s="64"/>
      <c r="O428" s="103"/>
      <c r="P428" s="52" t="s">
        <v>20</v>
      </c>
    </row>
    <row r="429" spans="1:16" ht="15" customHeight="1">
      <c r="A429" s="28">
        <v>7</v>
      </c>
      <c r="B429" s="32">
        <v>45848</v>
      </c>
      <c r="C429" s="36" t="s">
        <v>535</v>
      </c>
      <c r="D429" s="43">
        <v>1</v>
      </c>
      <c r="E429" s="48" t="s">
        <v>26</v>
      </c>
      <c r="F429" s="48" t="s">
        <v>555</v>
      </c>
      <c r="G429" s="49">
        <v>6.5</v>
      </c>
      <c r="H429" s="10">
        <v>6.5</v>
      </c>
      <c r="I429" s="52">
        <v>10</v>
      </c>
      <c r="J429" s="10">
        <v>10</v>
      </c>
      <c r="K429" s="95" t="s">
        <v>346</v>
      </c>
      <c r="L429" s="57">
        <v>0.35</v>
      </c>
      <c r="M429" s="50">
        <v>3.5</v>
      </c>
      <c r="N429" s="64"/>
      <c r="O429" s="103"/>
      <c r="P429" s="52" t="s">
        <v>20</v>
      </c>
    </row>
    <row r="430" spans="1:16" ht="15" customHeight="1">
      <c r="A430" s="28">
        <v>7</v>
      </c>
      <c r="B430" s="32">
        <v>45848</v>
      </c>
      <c r="C430" s="36" t="s">
        <v>724</v>
      </c>
      <c r="D430" s="43">
        <v>8</v>
      </c>
      <c r="E430" s="48" t="s">
        <v>26</v>
      </c>
      <c r="F430" s="48" t="s">
        <v>555</v>
      </c>
      <c r="G430" s="49">
        <v>1</v>
      </c>
      <c r="H430" s="10">
        <v>8</v>
      </c>
      <c r="I430" s="52">
        <v>2</v>
      </c>
      <c r="J430" s="10">
        <v>16</v>
      </c>
      <c r="K430" s="95" t="s">
        <v>346</v>
      </c>
      <c r="L430" s="57">
        <v>0.5</v>
      </c>
      <c r="M430" s="50">
        <v>8</v>
      </c>
      <c r="N430" s="64"/>
      <c r="O430" s="103"/>
      <c r="P430" s="52" t="s">
        <v>20</v>
      </c>
    </row>
    <row r="431" spans="1:16" ht="15" customHeight="1">
      <c r="A431" s="28">
        <v>7</v>
      </c>
      <c r="B431" s="32">
        <v>45848</v>
      </c>
      <c r="C431" s="36" t="s">
        <v>702</v>
      </c>
      <c r="D431" s="43">
        <v>1</v>
      </c>
      <c r="E431" s="48" t="s">
        <v>728</v>
      </c>
      <c r="F431" s="48" t="s">
        <v>555</v>
      </c>
      <c r="G431" s="49" t="s">
        <v>79</v>
      </c>
      <c r="H431" s="10">
        <v>0</v>
      </c>
      <c r="I431" s="52">
        <v>40</v>
      </c>
      <c r="J431" s="10">
        <v>40</v>
      </c>
      <c r="K431" s="95" t="s">
        <v>346</v>
      </c>
      <c r="L431" s="57">
        <v>1</v>
      </c>
      <c r="M431" s="50">
        <v>40</v>
      </c>
      <c r="N431" s="64"/>
      <c r="O431" s="103"/>
      <c r="P431" s="52" t="s">
        <v>20</v>
      </c>
    </row>
    <row r="432" spans="1:16" ht="15" customHeight="1">
      <c r="A432" s="28">
        <v>7</v>
      </c>
      <c r="B432" s="32">
        <v>45848</v>
      </c>
      <c r="C432" s="36" t="s">
        <v>283</v>
      </c>
      <c r="D432" s="43">
        <v>1</v>
      </c>
      <c r="E432" s="48" t="s">
        <v>722</v>
      </c>
      <c r="F432" s="48" t="s">
        <v>555</v>
      </c>
      <c r="G432" s="49">
        <v>18</v>
      </c>
      <c r="H432" s="10">
        <v>18</v>
      </c>
      <c r="I432" s="52">
        <v>20</v>
      </c>
      <c r="J432" s="10">
        <v>20</v>
      </c>
      <c r="K432" s="95" t="s">
        <v>346</v>
      </c>
      <c r="L432" s="57">
        <v>0.1</v>
      </c>
      <c r="M432" s="50">
        <v>2</v>
      </c>
      <c r="N432" s="64"/>
      <c r="O432" s="103"/>
      <c r="P432" s="52" t="s">
        <v>20</v>
      </c>
    </row>
    <row r="433" spans="1:16" ht="15" customHeight="1">
      <c r="A433" s="28">
        <v>7</v>
      </c>
      <c r="B433" s="32">
        <v>45848</v>
      </c>
      <c r="C433" s="36" t="s">
        <v>724</v>
      </c>
      <c r="D433" s="43">
        <v>4</v>
      </c>
      <c r="E433" s="48" t="s">
        <v>26</v>
      </c>
      <c r="F433" s="48" t="s">
        <v>555</v>
      </c>
      <c r="G433" s="49">
        <v>1</v>
      </c>
      <c r="H433" s="10">
        <v>4</v>
      </c>
      <c r="I433" s="52">
        <v>2</v>
      </c>
      <c r="J433" s="10">
        <v>8</v>
      </c>
      <c r="K433" s="95" t="s">
        <v>346</v>
      </c>
      <c r="L433" s="57">
        <v>0.5</v>
      </c>
      <c r="M433" s="50">
        <v>4</v>
      </c>
      <c r="N433" s="64"/>
      <c r="O433" s="103"/>
      <c r="P433" s="52" t="s">
        <v>20</v>
      </c>
    </row>
    <row r="434" spans="1:16" ht="15" customHeight="1">
      <c r="A434" s="28">
        <v>7</v>
      </c>
      <c r="B434" s="32">
        <v>45848</v>
      </c>
      <c r="C434" s="36" t="s">
        <v>729</v>
      </c>
      <c r="D434" s="43">
        <v>1</v>
      </c>
      <c r="E434" s="48" t="s">
        <v>26</v>
      </c>
      <c r="F434" s="48" t="s">
        <v>555</v>
      </c>
      <c r="G434" s="49" t="s">
        <v>79</v>
      </c>
      <c r="H434" s="10">
        <v>0</v>
      </c>
      <c r="I434" s="52">
        <v>30</v>
      </c>
      <c r="J434" s="10">
        <v>30</v>
      </c>
      <c r="K434" s="95" t="s">
        <v>346</v>
      </c>
      <c r="L434" s="57">
        <v>1</v>
      </c>
      <c r="M434" s="50">
        <v>30</v>
      </c>
      <c r="N434" s="64"/>
      <c r="O434" s="103"/>
      <c r="P434" s="52" t="s">
        <v>20</v>
      </c>
    </row>
    <row r="435" spans="1:16" ht="15" customHeight="1">
      <c r="A435" s="28">
        <v>7</v>
      </c>
      <c r="B435" s="32">
        <v>45848</v>
      </c>
      <c r="C435" s="36" t="s">
        <v>323</v>
      </c>
      <c r="D435" s="43">
        <v>5</v>
      </c>
      <c r="E435" s="48" t="s">
        <v>26</v>
      </c>
      <c r="F435" s="48" t="s">
        <v>555</v>
      </c>
      <c r="G435" s="49">
        <v>7.0000000000000007E-2</v>
      </c>
      <c r="H435" s="10">
        <v>0.35000000000000003</v>
      </c>
      <c r="I435" s="52">
        <v>1</v>
      </c>
      <c r="J435" s="10">
        <v>5</v>
      </c>
      <c r="K435" s="95" t="s">
        <v>346</v>
      </c>
      <c r="L435" s="57">
        <v>0.93</v>
      </c>
      <c r="M435" s="50">
        <v>4.6500000000000004</v>
      </c>
      <c r="N435" s="64"/>
      <c r="O435" s="103"/>
      <c r="P435" s="52" t="s">
        <v>20</v>
      </c>
    </row>
    <row r="436" spans="1:16" ht="15" customHeight="1">
      <c r="A436" s="28">
        <v>7</v>
      </c>
      <c r="B436" s="32">
        <v>45850</v>
      </c>
      <c r="C436" s="36" t="s">
        <v>730</v>
      </c>
      <c r="D436" s="43">
        <v>1</v>
      </c>
      <c r="E436" s="48" t="s">
        <v>26</v>
      </c>
      <c r="F436" s="48" t="s">
        <v>555</v>
      </c>
      <c r="G436" s="49" t="s">
        <v>79</v>
      </c>
      <c r="H436" s="10">
        <v>0</v>
      </c>
      <c r="I436" s="52">
        <v>15</v>
      </c>
      <c r="J436" s="10">
        <v>15</v>
      </c>
      <c r="K436" s="95" t="s">
        <v>346</v>
      </c>
      <c r="L436" s="57">
        <v>1</v>
      </c>
      <c r="M436" s="50">
        <v>15</v>
      </c>
      <c r="N436" s="64"/>
      <c r="O436" s="103"/>
      <c r="P436" s="52" t="s">
        <v>20</v>
      </c>
    </row>
    <row r="437" spans="1:16" ht="15" customHeight="1">
      <c r="A437" s="28">
        <v>7</v>
      </c>
      <c r="B437" s="32">
        <v>45850</v>
      </c>
      <c r="C437" s="36" t="s">
        <v>725</v>
      </c>
      <c r="D437" s="43">
        <v>3</v>
      </c>
      <c r="E437" s="48" t="s">
        <v>26</v>
      </c>
      <c r="F437" s="48" t="s">
        <v>555</v>
      </c>
      <c r="G437" s="49">
        <v>5</v>
      </c>
      <c r="H437" s="10">
        <v>15</v>
      </c>
      <c r="I437" s="52">
        <v>10</v>
      </c>
      <c r="J437" s="10">
        <v>30</v>
      </c>
      <c r="K437" s="95" t="s">
        <v>346</v>
      </c>
      <c r="L437" s="57">
        <v>0.5</v>
      </c>
      <c r="M437" s="50">
        <v>15</v>
      </c>
      <c r="N437" s="64"/>
      <c r="O437" s="103"/>
      <c r="P437" s="52" t="s">
        <v>20</v>
      </c>
    </row>
    <row r="438" spans="1:16" ht="15" customHeight="1">
      <c r="A438" s="28">
        <v>7</v>
      </c>
      <c r="B438" s="32">
        <v>45850</v>
      </c>
      <c r="C438" s="36" t="s">
        <v>731</v>
      </c>
      <c r="D438" s="43">
        <v>1</v>
      </c>
      <c r="E438" s="48" t="s">
        <v>26</v>
      </c>
      <c r="F438" s="48" t="s">
        <v>555</v>
      </c>
      <c r="G438" s="49" t="s">
        <v>79</v>
      </c>
      <c r="H438" s="10">
        <v>0</v>
      </c>
      <c r="I438" s="52">
        <v>10</v>
      </c>
      <c r="J438" s="10">
        <v>10</v>
      </c>
      <c r="K438" s="95" t="s">
        <v>346</v>
      </c>
      <c r="L438" s="57">
        <v>1</v>
      </c>
      <c r="M438" s="50">
        <v>10</v>
      </c>
      <c r="N438" s="64"/>
      <c r="O438" s="103"/>
      <c r="P438" s="52" t="s">
        <v>20</v>
      </c>
    </row>
    <row r="439" spans="1:16" ht="15" customHeight="1">
      <c r="A439" s="28">
        <v>7</v>
      </c>
      <c r="B439" s="32">
        <v>45850</v>
      </c>
      <c r="C439" s="36" t="s">
        <v>732</v>
      </c>
      <c r="D439" s="43">
        <v>1</v>
      </c>
      <c r="E439" s="48" t="s">
        <v>26</v>
      </c>
      <c r="F439" s="48" t="s">
        <v>555</v>
      </c>
      <c r="G439" s="49">
        <v>28</v>
      </c>
      <c r="H439" s="10">
        <v>28</v>
      </c>
      <c r="I439" s="52">
        <v>40</v>
      </c>
      <c r="J439" s="10">
        <v>40</v>
      </c>
      <c r="K439" s="95" t="s">
        <v>346</v>
      </c>
      <c r="L439" s="57">
        <v>0.3</v>
      </c>
      <c r="M439" s="50">
        <v>12</v>
      </c>
      <c r="N439" s="64"/>
      <c r="O439" s="103"/>
      <c r="P439" s="52" t="s">
        <v>20</v>
      </c>
    </row>
    <row r="440" spans="1:16" ht="15" customHeight="1">
      <c r="A440" s="28">
        <v>7</v>
      </c>
      <c r="B440" s="32">
        <v>45850</v>
      </c>
      <c r="C440" s="36" t="s">
        <v>258</v>
      </c>
      <c r="D440" s="43">
        <v>1</v>
      </c>
      <c r="E440" s="48" t="s">
        <v>26</v>
      </c>
      <c r="F440" s="48" t="s">
        <v>555</v>
      </c>
      <c r="G440" s="49">
        <v>11</v>
      </c>
      <c r="H440" s="10">
        <v>11</v>
      </c>
      <c r="I440" s="52">
        <v>20</v>
      </c>
      <c r="J440" s="10">
        <v>20</v>
      </c>
      <c r="K440" s="95" t="s">
        <v>346</v>
      </c>
      <c r="L440" s="57">
        <v>0.45</v>
      </c>
      <c r="M440" s="50">
        <v>9</v>
      </c>
      <c r="N440" s="64"/>
      <c r="O440" s="103"/>
      <c r="P440" s="52" t="s">
        <v>20</v>
      </c>
    </row>
    <row r="441" spans="1:16" ht="15" customHeight="1">
      <c r="A441" s="28">
        <v>7</v>
      </c>
      <c r="B441" s="32">
        <v>45850</v>
      </c>
      <c r="C441" s="36" t="s">
        <v>441</v>
      </c>
      <c r="D441" s="43">
        <v>1</v>
      </c>
      <c r="E441" s="48" t="s">
        <v>26</v>
      </c>
      <c r="F441" s="48" t="s">
        <v>555</v>
      </c>
      <c r="G441" s="49">
        <v>0</v>
      </c>
      <c r="H441" s="10">
        <v>0</v>
      </c>
      <c r="I441" s="52">
        <v>20</v>
      </c>
      <c r="J441" s="10">
        <v>20</v>
      </c>
      <c r="K441" s="95" t="s">
        <v>346</v>
      </c>
      <c r="L441" s="57">
        <v>1</v>
      </c>
      <c r="M441" s="50">
        <v>20</v>
      </c>
      <c r="N441" s="64"/>
      <c r="O441" s="103"/>
      <c r="P441" s="52" t="s">
        <v>20</v>
      </c>
    </row>
    <row r="442" spans="1:16" ht="15" customHeight="1">
      <c r="A442" s="28">
        <v>7</v>
      </c>
      <c r="B442" s="32">
        <v>45850</v>
      </c>
      <c r="C442" s="36" t="s">
        <v>733</v>
      </c>
      <c r="D442" s="43">
        <v>1</v>
      </c>
      <c r="E442" s="48" t="s">
        <v>26</v>
      </c>
      <c r="F442" s="48" t="s">
        <v>555</v>
      </c>
      <c r="G442" s="49" t="s">
        <v>79</v>
      </c>
      <c r="H442" s="10">
        <v>0</v>
      </c>
      <c r="I442" s="52">
        <v>80</v>
      </c>
      <c r="J442" s="10">
        <v>80</v>
      </c>
      <c r="K442" s="95" t="s">
        <v>346</v>
      </c>
      <c r="L442" s="57">
        <v>1</v>
      </c>
      <c r="M442" s="50">
        <v>80</v>
      </c>
      <c r="N442" s="64"/>
      <c r="O442" s="103"/>
      <c r="P442" s="52" t="s">
        <v>20</v>
      </c>
    </row>
    <row r="443" spans="1:16" ht="15" customHeight="1">
      <c r="A443" s="28">
        <v>7</v>
      </c>
      <c r="B443" s="32">
        <v>45852</v>
      </c>
      <c r="C443" s="36" t="s">
        <v>323</v>
      </c>
      <c r="D443" s="43">
        <v>1</v>
      </c>
      <c r="E443" s="48" t="s">
        <v>58</v>
      </c>
      <c r="F443" s="48" t="s">
        <v>555</v>
      </c>
      <c r="G443" s="49">
        <v>7.0000000000000007E-2</v>
      </c>
      <c r="H443" s="10">
        <v>7.0000000000000007E-2</v>
      </c>
      <c r="I443" s="52">
        <v>1</v>
      </c>
      <c r="J443" s="10">
        <v>1</v>
      </c>
      <c r="K443" s="95" t="s">
        <v>346</v>
      </c>
      <c r="L443" s="57">
        <v>0.92999999999999994</v>
      </c>
      <c r="M443" s="50">
        <v>0.92999999999999994</v>
      </c>
      <c r="N443" s="64"/>
      <c r="O443" s="103"/>
      <c r="P443" s="52" t="s">
        <v>20</v>
      </c>
    </row>
    <row r="444" spans="1:16" ht="15" customHeight="1">
      <c r="A444" s="28">
        <v>7</v>
      </c>
      <c r="B444" s="32">
        <v>45852</v>
      </c>
      <c r="C444" s="36" t="s">
        <v>223</v>
      </c>
      <c r="D444" s="43">
        <v>1</v>
      </c>
      <c r="E444" s="48" t="s">
        <v>734</v>
      </c>
      <c r="F444" s="48" t="s">
        <v>555</v>
      </c>
      <c r="G444" s="49">
        <v>0</v>
      </c>
      <c r="H444" s="10">
        <v>0</v>
      </c>
      <c r="I444" s="52">
        <v>60</v>
      </c>
      <c r="J444" s="10">
        <v>60</v>
      </c>
      <c r="K444" s="95" t="s">
        <v>346</v>
      </c>
      <c r="L444" s="57">
        <v>1</v>
      </c>
      <c r="M444" s="50">
        <v>60</v>
      </c>
      <c r="N444" s="64"/>
      <c r="O444" s="103"/>
      <c r="P444" s="52" t="s">
        <v>20</v>
      </c>
    </row>
    <row r="445" spans="1:16" ht="15" customHeight="1">
      <c r="A445" s="28">
        <v>7</v>
      </c>
      <c r="B445" s="32">
        <v>45852</v>
      </c>
      <c r="C445" s="36" t="s">
        <v>570</v>
      </c>
      <c r="D445" s="43">
        <v>1</v>
      </c>
      <c r="E445" s="48" t="s">
        <v>734</v>
      </c>
      <c r="F445" s="48" t="s">
        <v>555</v>
      </c>
      <c r="G445" s="49">
        <v>32</v>
      </c>
      <c r="H445" s="10">
        <v>32</v>
      </c>
      <c r="I445" s="52">
        <v>80</v>
      </c>
      <c r="J445" s="10">
        <v>80</v>
      </c>
      <c r="K445" s="95" t="s">
        <v>346</v>
      </c>
      <c r="L445" s="57">
        <v>0.6</v>
      </c>
      <c r="M445" s="50">
        <v>48</v>
      </c>
      <c r="N445" s="64"/>
      <c r="O445" s="103"/>
      <c r="P445" s="52" t="s">
        <v>20</v>
      </c>
    </row>
    <row r="446" spans="1:16" ht="15" customHeight="1">
      <c r="A446" s="28">
        <v>7</v>
      </c>
      <c r="B446" s="32">
        <v>45852</v>
      </c>
      <c r="C446" s="36" t="s">
        <v>653</v>
      </c>
      <c r="D446" s="43">
        <v>2</v>
      </c>
      <c r="E446" s="48" t="s">
        <v>26</v>
      </c>
      <c r="F446" s="48" t="s">
        <v>555</v>
      </c>
      <c r="G446" s="49">
        <v>2</v>
      </c>
      <c r="H446" s="10">
        <v>4</v>
      </c>
      <c r="I446" s="52">
        <v>5</v>
      </c>
      <c r="J446" s="10">
        <v>10</v>
      </c>
      <c r="K446" s="95" t="s">
        <v>346</v>
      </c>
      <c r="L446" s="57">
        <v>0.6</v>
      </c>
      <c r="M446" s="50">
        <v>6</v>
      </c>
      <c r="N446" s="64"/>
      <c r="O446" s="103"/>
      <c r="P446" s="52" t="s">
        <v>20</v>
      </c>
    </row>
    <row r="447" spans="1:16" ht="15" customHeight="1">
      <c r="A447" s="28">
        <v>7</v>
      </c>
      <c r="B447" s="32">
        <v>45852</v>
      </c>
      <c r="C447" s="36" t="s">
        <v>735</v>
      </c>
      <c r="D447" s="43">
        <v>2</v>
      </c>
      <c r="E447" s="48" t="s">
        <v>26</v>
      </c>
      <c r="F447" s="48" t="s">
        <v>555</v>
      </c>
      <c r="G447" s="49" t="s">
        <v>79</v>
      </c>
      <c r="H447" s="10">
        <v>0</v>
      </c>
      <c r="I447" s="52">
        <v>5</v>
      </c>
      <c r="J447" s="10">
        <v>10</v>
      </c>
      <c r="K447" s="95" t="s">
        <v>346</v>
      </c>
      <c r="L447" s="57">
        <v>1</v>
      </c>
      <c r="M447" s="50">
        <v>10</v>
      </c>
      <c r="N447" s="64"/>
      <c r="O447" s="103"/>
      <c r="P447" s="52" t="s">
        <v>20</v>
      </c>
    </row>
    <row r="448" spans="1:16" ht="15" customHeight="1">
      <c r="A448" s="28">
        <v>7</v>
      </c>
      <c r="B448" s="32">
        <v>45852</v>
      </c>
      <c r="C448" s="36" t="s">
        <v>323</v>
      </c>
      <c r="D448" s="43">
        <v>45</v>
      </c>
      <c r="E448" s="48" t="s">
        <v>26</v>
      </c>
      <c r="F448" s="48" t="s">
        <v>555</v>
      </c>
      <c r="G448" s="49">
        <v>7.0000000000000007E-2</v>
      </c>
      <c r="H448" s="10">
        <v>3.1500000000000004</v>
      </c>
      <c r="I448" s="52">
        <v>0.9</v>
      </c>
      <c r="J448" s="10">
        <v>40.5</v>
      </c>
      <c r="K448" s="95" t="s">
        <v>346</v>
      </c>
      <c r="L448" s="57">
        <v>0.92222222222222228</v>
      </c>
      <c r="M448" s="50">
        <v>37.35</v>
      </c>
      <c r="N448" s="64"/>
      <c r="O448" s="103"/>
      <c r="P448" s="52" t="s">
        <v>20</v>
      </c>
    </row>
    <row r="449" spans="1:16" ht="15" customHeight="1">
      <c r="A449" s="28">
        <v>7</v>
      </c>
      <c r="B449" s="32">
        <v>45854</v>
      </c>
      <c r="C449" s="36" t="s">
        <v>736</v>
      </c>
      <c r="D449" s="43">
        <v>1</v>
      </c>
      <c r="E449" s="48" t="s">
        <v>26</v>
      </c>
      <c r="F449" s="48" t="s">
        <v>555</v>
      </c>
      <c r="G449" s="49" t="s">
        <v>79</v>
      </c>
      <c r="H449" s="10">
        <v>0</v>
      </c>
      <c r="I449" s="52">
        <v>30</v>
      </c>
      <c r="J449" s="10">
        <v>30</v>
      </c>
      <c r="K449" s="95" t="s">
        <v>346</v>
      </c>
      <c r="L449" s="57">
        <v>1</v>
      </c>
      <c r="M449" s="50">
        <v>30</v>
      </c>
      <c r="N449" s="64"/>
      <c r="O449" s="103"/>
      <c r="P449" s="52" t="s">
        <v>20</v>
      </c>
    </row>
    <row r="450" spans="1:16" ht="15" customHeight="1">
      <c r="A450" s="28">
        <v>7</v>
      </c>
      <c r="B450" s="32">
        <v>45854</v>
      </c>
      <c r="C450" s="36" t="s">
        <v>323</v>
      </c>
      <c r="D450" s="43">
        <v>4</v>
      </c>
      <c r="E450" s="48" t="s">
        <v>26</v>
      </c>
      <c r="F450" s="48" t="s">
        <v>555</v>
      </c>
      <c r="G450" s="49">
        <v>7.0000000000000007E-2</v>
      </c>
      <c r="H450" s="10">
        <v>0.28000000000000003</v>
      </c>
      <c r="I450" s="52">
        <v>1</v>
      </c>
      <c r="J450" s="10">
        <v>4</v>
      </c>
      <c r="K450" s="95" t="s">
        <v>346</v>
      </c>
      <c r="L450" s="57">
        <v>0.92999999999999994</v>
      </c>
      <c r="M450" s="50">
        <v>3.7199999999999998</v>
      </c>
      <c r="N450" s="64"/>
      <c r="O450" s="103"/>
      <c r="P450" s="52" t="s">
        <v>20</v>
      </c>
    </row>
    <row r="451" spans="1:16" ht="15" customHeight="1">
      <c r="A451" s="28">
        <v>7</v>
      </c>
      <c r="B451" s="32">
        <v>45854</v>
      </c>
      <c r="C451" s="36" t="s">
        <v>334</v>
      </c>
      <c r="D451" s="43">
        <v>1</v>
      </c>
      <c r="E451" s="48" t="s">
        <v>26</v>
      </c>
      <c r="F451" s="48" t="s">
        <v>555</v>
      </c>
      <c r="G451" s="49">
        <v>0.05</v>
      </c>
      <c r="H451" s="10">
        <v>0.05</v>
      </c>
      <c r="I451" s="52">
        <v>1</v>
      </c>
      <c r="J451" s="10">
        <v>1</v>
      </c>
      <c r="K451" s="95" t="s">
        <v>346</v>
      </c>
      <c r="L451" s="57">
        <v>0.95</v>
      </c>
      <c r="M451" s="50">
        <v>0.95</v>
      </c>
      <c r="N451" s="64"/>
      <c r="O451" s="103"/>
      <c r="P451" s="52" t="s">
        <v>20</v>
      </c>
    </row>
    <row r="452" spans="1:16" ht="15" customHeight="1">
      <c r="A452" s="28">
        <v>7</v>
      </c>
      <c r="B452" s="32">
        <v>45854</v>
      </c>
      <c r="C452" s="36" t="s">
        <v>737</v>
      </c>
      <c r="D452" s="43">
        <v>1</v>
      </c>
      <c r="E452" s="48" t="s">
        <v>239</v>
      </c>
      <c r="F452" s="48" t="s">
        <v>555</v>
      </c>
      <c r="G452" s="49" t="s">
        <v>79</v>
      </c>
      <c r="H452" s="10">
        <v>0</v>
      </c>
      <c r="I452" s="52">
        <v>30</v>
      </c>
      <c r="J452" s="10">
        <v>30</v>
      </c>
      <c r="K452" s="95" t="s">
        <v>346</v>
      </c>
      <c r="L452" s="57">
        <v>1</v>
      </c>
      <c r="M452" s="50">
        <v>30</v>
      </c>
      <c r="N452" s="64"/>
      <c r="O452" s="103"/>
      <c r="P452" s="52" t="s">
        <v>20</v>
      </c>
    </row>
    <row r="453" spans="1:16" ht="15" customHeight="1">
      <c r="A453" s="28">
        <v>7</v>
      </c>
      <c r="B453" s="32">
        <v>45855</v>
      </c>
      <c r="C453" s="36" t="s">
        <v>334</v>
      </c>
      <c r="D453" s="43">
        <v>1</v>
      </c>
      <c r="E453" s="48" t="s">
        <v>26</v>
      </c>
      <c r="F453" s="48" t="s">
        <v>555</v>
      </c>
      <c r="G453" s="49">
        <v>0.05</v>
      </c>
      <c r="H453" s="10">
        <v>0.05</v>
      </c>
      <c r="I453" s="52">
        <v>10</v>
      </c>
      <c r="J453" s="10">
        <v>10</v>
      </c>
      <c r="K453" s="95" t="s">
        <v>346</v>
      </c>
      <c r="L453" s="57">
        <v>0.99499999999999988</v>
      </c>
      <c r="M453" s="50">
        <v>9.9499999999999993</v>
      </c>
      <c r="N453" s="64"/>
      <c r="O453" s="103"/>
      <c r="P453" s="52" t="s">
        <v>20</v>
      </c>
    </row>
    <row r="454" spans="1:16" ht="15" customHeight="1">
      <c r="A454" s="28">
        <v>7</v>
      </c>
      <c r="B454" s="32">
        <v>45855</v>
      </c>
      <c r="C454" s="36" t="s">
        <v>738</v>
      </c>
      <c r="D454" s="43">
        <v>6</v>
      </c>
      <c r="E454" s="48" t="s">
        <v>26</v>
      </c>
      <c r="F454" s="48" t="s">
        <v>555</v>
      </c>
      <c r="G454" s="49">
        <v>0.4</v>
      </c>
      <c r="H454" s="10">
        <v>2.4000000000000004</v>
      </c>
      <c r="I454" s="52">
        <v>6</v>
      </c>
      <c r="J454" s="10">
        <v>36</v>
      </c>
      <c r="K454" s="95" t="s">
        <v>346</v>
      </c>
      <c r="L454" s="57">
        <v>0.93333333333333335</v>
      </c>
      <c r="M454" s="50">
        <v>33.6</v>
      </c>
      <c r="N454" s="64"/>
      <c r="O454" s="103"/>
      <c r="P454" s="52" t="s">
        <v>20</v>
      </c>
    </row>
    <row r="455" spans="1:16" ht="15" customHeight="1">
      <c r="A455" s="28">
        <v>7</v>
      </c>
      <c r="B455" s="32">
        <v>45855</v>
      </c>
      <c r="C455" s="36" t="s">
        <v>739</v>
      </c>
      <c r="D455" s="43">
        <v>1</v>
      </c>
      <c r="E455" s="48" t="s">
        <v>26</v>
      </c>
      <c r="F455" s="48" t="s">
        <v>555</v>
      </c>
      <c r="G455" s="49">
        <v>2.5</v>
      </c>
      <c r="H455" s="10">
        <v>2.5</v>
      </c>
      <c r="I455" s="52">
        <v>5</v>
      </c>
      <c r="J455" s="10">
        <v>5</v>
      </c>
      <c r="K455" s="95" t="s">
        <v>346</v>
      </c>
      <c r="L455" s="57">
        <v>0.5</v>
      </c>
      <c r="M455" s="50">
        <v>2.5</v>
      </c>
      <c r="N455" s="64"/>
      <c r="O455" s="103"/>
      <c r="P455" s="52" t="s">
        <v>20</v>
      </c>
    </row>
    <row r="456" spans="1:16" ht="15" customHeight="1">
      <c r="A456" s="28">
        <v>7</v>
      </c>
      <c r="B456" s="32">
        <v>45855</v>
      </c>
      <c r="C456" s="36" t="s">
        <v>740</v>
      </c>
      <c r="D456" s="43">
        <v>1</v>
      </c>
      <c r="E456" s="48" t="s">
        <v>26</v>
      </c>
      <c r="F456" s="48" t="s">
        <v>555</v>
      </c>
      <c r="G456" s="49" t="s">
        <v>79</v>
      </c>
      <c r="H456" s="10">
        <v>0</v>
      </c>
      <c r="I456" s="52">
        <v>30</v>
      </c>
      <c r="J456" s="10">
        <v>30</v>
      </c>
      <c r="K456" s="95" t="s">
        <v>346</v>
      </c>
      <c r="L456" s="57">
        <v>1</v>
      </c>
      <c r="M456" s="50">
        <v>30</v>
      </c>
      <c r="N456" s="64"/>
      <c r="O456" s="103"/>
      <c r="P456" s="52" t="s">
        <v>20</v>
      </c>
    </row>
    <row r="457" spans="1:16" ht="15" customHeight="1">
      <c r="A457" s="28">
        <v>7</v>
      </c>
      <c r="B457" s="32">
        <v>45855</v>
      </c>
      <c r="C457" s="36" t="s">
        <v>323</v>
      </c>
      <c r="D457" s="43">
        <v>1</v>
      </c>
      <c r="E457" s="48" t="s">
        <v>26</v>
      </c>
      <c r="F457" s="48" t="s">
        <v>555</v>
      </c>
      <c r="G457" s="49">
        <v>7.0000000000000007E-2</v>
      </c>
      <c r="H457" s="10">
        <v>7.0000000000000007E-2</v>
      </c>
      <c r="I457" s="52">
        <v>1</v>
      </c>
      <c r="J457" s="10">
        <v>1</v>
      </c>
      <c r="K457" s="95" t="s">
        <v>346</v>
      </c>
      <c r="L457" s="57">
        <v>0.92999999999999994</v>
      </c>
      <c r="M457" s="50">
        <v>0.92999999999999994</v>
      </c>
      <c r="N457" s="64"/>
      <c r="O457" s="103"/>
      <c r="P457" s="52" t="s">
        <v>20</v>
      </c>
    </row>
    <row r="458" spans="1:16" ht="15" customHeight="1">
      <c r="A458" s="28">
        <v>7</v>
      </c>
      <c r="B458" s="32">
        <v>45855</v>
      </c>
      <c r="C458" s="36" t="s">
        <v>321</v>
      </c>
      <c r="D458" s="43">
        <v>1</v>
      </c>
      <c r="E458" s="48" t="s">
        <v>26</v>
      </c>
      <c r="F458" s="48" t="s">
        <v>555</v>
      </c>
      <c r="G458" s="49">
        <v>3</v>
      </c>
      <c r="H458" s="10">
        <v>3</v>
      </c>
      <c r="I458" s="52">
        <v>15</v>
      </c>
      <c r="J458" s="10">
        <v>15</v>
      </c>
      <c r="K458" s="95" t="s">
        <v>346</v>
      </c>
      <c r="L458" s="57">
        <v>0.8</v>
      </c>
      <c r="M458" s="50">
        <v>12</v>
      </c>
      <c r="N458" s="64"/>
      <c r="O458" s="103"/>
      <c r="P458" s="52" t="s">
        <v>20</v>
      </c>
    </row>
    <row r="459" spans="1:16" ht="15" customHeight="1">
      <c r="A459" s="28">
        <v>7</v>
      </c>
      <c r="B459" s="32">
        <v>45855</v>
      </c>
      <c r="C459" s="36" t="s">
        <v>738</v>
      </c>
      <c r="D459" s="43">
        <v>1</v>
      </c>
      <c r="E459" s="48" t="s">
        <v>26</v>
      </c>
      <c r="F459" s="48" t="s">
        <v>555</v>
      </c>
      <c r="G459" s="49">
        <v>0.4</v>
      </c>
      <c r="H459" s="10">
        <v>0.4</v>
      </c>
      <c r="I459" s="52">
        <v>2</v>
      </c>
      <c r="J459" s="10">
        <v>2</v>
      </c>
      <c r="K459" s="95" t="s">
        <v>346</v>
      </c>
      <c r="L459" s="57">
        <v>0.8</v>
      </c>
      <c r="M459" s="50">
        <v>1.6</v>
      </c>
      <c r="N459" s="64"/>
      <c r="O459" s="103"/>
      <c r="P459" s="52" t="s">
        <v>20</v>
      </c>
    </row>
    <row r="460" spans="1:16" ht="15" customHeight="1">
      <c r="A460" s="28">
        <v>7</v>
      </c>
      <c r="B460" s="32">
        <v>45856</v>
      </c>
      <c r="C460" s="36" t="s">
        <v>177</v>
      </c>
      <c r="D460" s="43">
        <v>1</v>
      </c>
      <c r="E460" s="48" t="s">
        <v>26</v>
      </c>
      <c r="F460" s="48" t="s">
        <v>555</v>
      </c>
      <c r="G460" s="49">
        <v>8</v>
      </c>
      <c r="H460" s="10">
        <v>8</v>
      </c>
      <c r="I460" s="52">
        <v>25</v>
      </c>
      <c r="J460" s="10">
        <v>25</v>
      </c>
      <c r="K460" s="95" t="s">
        <v>346</v>
      </c>
      <c r="L460" s="57">
        <v>0.68</v>
      </c>
      <c r="M460" s="50">
        <v>17</v>
      </c>
      <c r="N460" s="64"/>
      <c r="O460" s="103"/>
      <c r="P460" s="52" t="s">
        <v>20</v>
      </c>
    </row>
    <row r="461" spans="1:16" ht="15" customHeight="1">
      <c r="A461" s="28">
        <v>7</v>
      </c>
      <c r="B461" s="32">
        <v>45856</v>
      </c>
      <c r="C461" s="36" t="s">
        <v>739</v>
      </c>
      <c r="D461" s="43">
        <v>1</v>
      </c>
      <c r="E461" s="48" t="s">
        <v>26</v>
      </c>
      <c r="F461" s="48" t="s">
        <v>555</v>
      </c>
      <c r="G461" s="49">
        <v>2.5</v>
      </c>
      <c r="H461" s="10">
        <v>2.5</v>
      </c>
      <c r="I461" s="52">
        <v>5</v>
      </c>
      <c r="J461" s="10">
        <v>5</v>
      </c>
      <c r="K461" s="95" t="s">
        <v>346</v>
      </c>
      <c r="L461" s="57">
        <v>0.5</v>
      </c>
      <c r="M461" s="50">
        <v>2.5</v>
      </c>
      <c r="N461" s="64"/>
      <c r="O461" s="103"/>
      <c r="P461" s="52" t="s">
        <v>20</v>
      </c>
    </row>
    <row r="462" spans="1:16" ht="15" customHeight="1">
      <c r="A462" s="28">
        <v>7</v>
      </c>
      <c r="B462" s="32">
        <v>45856</v>
      </c>
      <c r="C462" s="36" t="s">
        <v>741</v>
      </c>
      <c r="D462" s="43">
        <v>1</v>
      </c>
      <c r="E462" s="48" t="s">
        <v>26</v>
      </c>
      <c r="F462" s="48" t="s">
        <v>555</v>
      </c>
      <c r="G462" s="49">
        <v>13</v>
      </c>
      <c r="H462" s="10">
        <v>13</v>
      </c>
      <c r="I462" s="52">
        <v>25</v>
      </c>
      <c r="J462" s="10">
        <v>25</v>
      </c>
      <c r="K462" s="95" t="s">
        <v>346</v>
      </c>
      <c r="L462" s="57">
        <v>0.48</v>
      </c>
      <c r="M462" s="50">
        <v>12</v>
      </c>
      <c r="N462" s="64"/>
      <c r="O462" s="103"/>
      <c r="P462" s="52" t="s">
        <v>20</v>
      </c>
    </row>
    <row r="463" spans="1:16" ht="15" customHeight="1">
      <c r="A463" s="28">
        <v>7</v>
      </c>
      <c r="B463" s="32">
        <v>45859</v>
      </c>
      <c r="C463" s="36" t="s">
        <v>738</v>
      </c>
      <c r="D463" s="43">
        <v>1</v>
      </c>
      <c r="E463" s="48" t="s">
        <v>26</v>
      </c>
      <c r="F463" s="48" t="s">
        <v>555</v>
      </c>
      <c r="G463" s="49">
        <v>0.4</v>
      </c>
      <c r="H463" s="10">
        <v>0.4</v>
      </c>
      <c r="I463" s="52">
        <v>2</v>
      </c>
      <c r="J463" s="10">
        <v>2</v>
      </c>
      <c r="K463" s="95" t="s">
        <v>346</v>
      </c>
      <c r="L463" s="57">
        <v>0.8</v>
      </c>
      <c r="M463" s="50">
        <v>1.6</v>
      </c>
      <c r="N463" s="64"/>
      <c r="O463" s="103"/>
      <c r="P463" s="52" t="s">
        <v>20</v>
      </c>
    </row>
    <row r="464" spans="1:16" ht="15" customHeight="1">
      <c r="A464" s="28">
        <v>7</v>
      </c>
      <c r="B464" s="32">
        <v>45859</v>
      </c>
      <c r="C464" s="36" t="s">
        <v>738</v>
      </c>
      <c r="D464" s="43">
        <v>1</v>
      </c>
      <c r="E464" s="48" t="s">
        <v>26</v>
      </c>
      <c r="F464" s="48" t="s">
        <v>555</v>
      </c>
      <c r="G464" s="49">
        <v>0.4</v>
      </c>
      <c r="H464" s="10">
        <v>0.4</v>
      </c>
      <c r="I464" s="52">
        <v>2</v>
      </c>
      <c r="J464" s="10">
        <v>2</v>
      </c>
      <c r="K464" s="95" t="s">
        <v>346</v>
      </c>
      <c r="L464" s="57">
        <v>0.8</v>
      </c>
      <c r="M464" s="50">
        <v>1.6</v>
      </c>
      <c r="N464" s="64"/>
      <c r="O464" s="103"/>
      <c r="P464" s="52" t="s">
        <v>20</v>
      </c>
    </row>
    <row r="465" spans="1:16" ht="15" customHeight="1">
      <c r="A465" s="28">
        <v>7</v>
      </c>
      <c r="B465" s="32">
        <v>45859</v>
      </c>
      <c r="C465" s="36" t="s">
        <v>441</v>
      </c>
      <c r="D465" s="43">
        <v>1</v>
      </c>
      <c r="E465" s="48" t="s">
        <v>26</v>
      </c>
      <c r="F465" s="48" t="s">
        <v>555</v>
      </c>
      <c r="G465" s="49">
        <v>0</v>
      </c>
      <c r="H465" s="10">
        <v>0</v>
      </c>
      <c r="I465" s="52">
        <v>15</v>
      </c>
      <c r="J465" s="10">
        <v>15</v>
      </c>
      <c r="K465" s="95" t="s">
        <v>346</v>
      </c>
      <c r="L465" s="57">
        <v>1</v>
      </c>
      <c r="M465" s="50">
        <v>15</v>
      </c>
      <c r="N465" s="64"/>
      <c r="O465" s="103"/>
      <c r="P465" s="52" t="s">
        <v>20</v>
      </c>
    </row>
    <row r="466" spans="1:16" ht="15" customHeight="1">
      <c r="A466" s="28">
        <v>7</v>
      </c>
      <c r="B466" s="32">
        <v>45859</v>
      </c>
      <c r="C466" s="36" t="s">
        <v>739</v>
      </c>
      <c r="D466" s="43">
        <v>1</v>
      </c>
      <c r="E466" s="48" t="s">
        <v>26</v>
      </c>
      <c r="F466" s="48" t="s">
        <v>555</v>
      </c>
      <c r="G466" s="49">
        <v>2.5</v>
      </c>
      <c r="H466" s="10">
        <v>2.5</v>
      </c>
      <c r="I466" s="52">
        <v>5</v>
      </c>
      <c r="J466" s="10">
        <v>5</v>
      </c>
      <c r="K466" s="95" t="s">
        <v>346</v>
      </c>
      <c r="L466" s="57">
        <v>0.5</v>
      </c>
      <c r="M466" s="50">
        <v>2.5</v>
      </c>
      <c r="N466" s="64"/>
      <c r="O466" s="103"/>
      <c r="P466" s="52" t="s">
        <v>20</v>
      </c>
    </row>
    <row r="467" spans="1:16" ht="15" customHeight="1">
      <c r="A467" s="28">
        <v>7</v>
      </c>
      <c r="B467" s="32">
        <v>45859</v>
      </c>
      <c r="C467" s="36" t="s">
        <v>321</v>
      </c>
      <c r="D467" s="43">
        <v>1</v>
      </c>
      <c r="E467" s="48" t="s">
        <v>728</v>
      </c>
      <c r="F467" s="48" t="s">
        <v>555</v>
      </c>
      <c r="G467" s="49">
        <v>3</v>
      </c>
      <c r="H467" s="10">
        <v>3</v>
      </c>
      <c r="I467" s="52">
        <v>15</v>
      </c>
      <c r="J467" s="10">
        <v>15</v>
      </c>
      <c r="K467" s="95" t="s">
        <v>346</v>
      </c>
      <c r="L467" s="57">
        <v>0.8</v>
      </c>
      <c r="M467" s="50">
        <v>12</v>
      </c>
      <c r="N467" s="64"/>
      <c r="O467" s="103"/>
      <c r="P467" s="52" t="s">
        <v>20</v>
      </c>
    </row>
    <row r="468" spans="1:16" ht="15" customHeight="1">
      <c r="A468" s="28">
        <v>7</v>
      </c>
      <c r="B468" s="32">
        <v>45859</v>
      </c>
      <c r="C468" s="36" t="s">
        <v>323</v>
      </c>
      <c r="D468" s="43">
        <v>2</v>
      </c>
      <c r="E468" s="48" t="s">
        <v>26</v>
      </c>
      <c r="F468" s="48" t="s">
        <v>555</v>
      </c>
      <c r="G468" s="49">
        <v>7.0000000000000007E-2</v>
      </c>
      <c r="H468" s="10">
        <v>0.14000000000000001</v>
      </c>
      <c r="I468" s="52">
        <v>1</v>
      </c>
      <c r="J468" s="10">
        <v>2</v>
      </c>
      <c r="K468" s="95" t="s">
        <v>346</v>
      </c>
      <c r="L468" s="57">
        <v>0.92999999999999994</v>
      </c>
      <c r="M468" s="50">
        <v>1.8599999999999999</v>
      </c>
      <c r="N468" s="64"/>
      <c r="O468" s="103"/>
      <c r="P468" s="52" t="s">
        <v>20</v>
      </c>
    </row>
    <row r="469" spans="1:16" ht="15" customHeight="1">
      <c r="A469" s="28">
        <v>7</v>
      </c>
      <c r="B469" s="32">
        <v>45860</v>
      </c>
      <c r="C469" s="36" t="s">
        <v>742</v>
      </c>
      <c r="D469" s="43">
        <v>1</v>
      </c>
      <c r="E469" s="48" t="s">
        <v>26</v>
      </c>
      <c r="F469" s="48" t="s">
        <v>555</v>
      </c>
      <c r="G469" s="49">
        <v>5</v>
      </c>
      <c r="H469" s="10">
        <v>5</v>
      </c>
      <c r="I469" s="52">
        <v>20</v>
      </c>
      <c r="J469" s="10">
        <v>20</v>
      </c>
      <c r="K469" s="95" t="s">
        <v>346</v>
      </c>
      <c r="L469" s="57">
        <v>0.75</v>
      </c>
      <c r="M469" s="50">
        <v>15</v>
      </c>
      <c r="N469" s="64"/>
      <c r="O469" s="103"/>
      <c r="P469" s="52" t="s">
        <v>20</v>
      </c>
    </row>
    <row r="470" spans="1:16" ht="15" customHeight="1">
      <c r="A470" s="28">
        <v>7</v>
      </c>
      <c r="B470" s="32">
        <v>45860</v>
      </c>
      <c r="C470" s="36" t="s">
        <v>739</v>
      </c>
      <c r="D470" s="43">
        <v>1</v>
      </c>
      <c r="E470" s="48" t="s">
        <v>26</v>
      </c>
      <c r="F470" s="48" t="s">
        <v>555</v>
      </c>
      <c r="G470" s="49">
        <v>2.5</v>
      </c>
      <c r="H470" s="10">
        <v>2.5</v>
      </c>
      <c r="I470" s="52">
        <v>5</v>
      </c>
      <c r="J470" s="10">
        <v>5</v>
      </c>
      <c r="K470" s="95" t="s">
        <v>346</v>
      </c>
      <c r="L470" s="57">
        <v>0.5</v>
      </c>
      <c r="M470" s="50">
        <v>2.5</v>
      </c>
      <c r="N470" s="64"/>
      <c r="O470" s="103"/>
      <c r="P470" s="52" t="s">
        <v>20</v>
      </c>
    </row>
    <row r="471" spans="1:16" ht="15" customHeight="1">
      <c r="A471" s="28">
        <v>7</v>
      </c>
      <c r="B471" s="32">
        <v>45860</v>
      </c>
      <c r="C471" s="36" t="s">
        <v>700</v>
      </c>
      <c r="D471" s="43">
        <v>1</v>
      </c>
      <c r="E471" s="48" t="s">
        <v>400</v>
      </c>
      <c r="F471" s="48" t="s">
        <v>555</v>
      </c>
      <c r="G471" s="49">
        <v>2.5</v>
      </c>
      <c r="H471" s="10">
        <v>2.5</v>
      </c>
      <c r="I471" s="52">
        <v>5</v>
      </c>
      <c r="J471" s="10">
        <v>5</v>
      </c>
      <c r="K471" s="95" t="s">
        <v>346</v>
      </c>
      <c r="L471" s="57">
        <v>0.5</v>
      </c>
      <c r="M471" s="50">
        <v>2.5</v>
      </c>
      <c r="N471" s="64"/>
      <c r="O471" s="103"/>
      <c r="P471" s="52" t="s">
        <v>20</v>
      </c>
    </row>
    <row r="472" spans="1:16" ht="15" customHeight="1">
      <c r="A472" s="28">
        <v>7</v>
      </c>
      <c r="B472" s="32">
        <v>45861</v>
      </c>
      <c r="C472" s="36" t="s">
        <v>323</v>
      </c>
      <c r="D472" s="43">
        <v>1</v>
      </c>
      <c r="E472" s="48" t="s">
        <v>58</v>
      </c>
      <c r="F472" s="48" t="s">
        <v>555</v>
      </c>
      <c r="G472" s="49">
        <v>7.0000000000000007E-2</v>
      </c>
      <c r="H472" s="10">
        <v>7.0000000000000007E-2</v>
      </c>
      <c r="I472" s="52">
        <v>1</v>
      </c>
      <c r="J472" s="10">
        <v>1</v>
      </c>
      <c r="K472" s="95" t="s">
        <v>346</v>
      </c>
      <c r="L472" s="57">
        <v>0.92999999999999994</v>
      </c>
      <c r="M472" s="50">
        <v>0.92999999999999994</v>
      </c>
      <c r="N472" s="64"/>
      <c r="O472" s="103"/>
      <c r="P472" s="52" t="s">
        <v>20</v>
      </c>
    </row>
    <row r="473" spans="1:16" ht="15" customHeight="1">
      <c r="A473" s="28">
        <v>7</v>
      </c>
      <c r="B473" s="32">
        <v>45861</v>
      </c>
      <c r="C473" s="36" t="s">
        <v>739</v>
      </c>
      <c r="D473" s="43">
        <v>1</v>
      </c>
      <c r="E473" s="48" t="s">
        <v>635</v>
      </c>
      <c r="F473" s="48" t="s">
        <v>555</v>
      </c>
      <c r="G473" s="49">
        <v>2.5</v>
      </c>
      <c r="H473" s="10">
        <v>2.5</v>
      </c>
      <c r="I473" s="52">
        <v>5</v>
      </c>
      <c r="J473" s="10">
        <v>5</v>
      </c>
      <c r="K473" s="95" t="s">
        <v>346</v>
      </c>
      <c r="L473" s="57">
        <v>0.5</v>
      </c>
      <c r="M473" s="50">
        <v>2.5</v>
      </c>
      <c r="N473" s="64"/>
      <c r="O473" s="103"/>
      <c r="P473" s="52" t="s">
        <v>20</v>
      </c>
    </row>
    <row r="474" spans="1:16" ht="15" customHeight="1">
      <c r="A474" s="28">
        <v>7</v>
      </c>
      <c r="B474" s="32">
        <v>45861</v>
      </c>
      <c r="C474" s="36" t="s">
        <v>743</v>
      </c>
      <c r="D474" s="43">
        <v>1</v>
      </c>
      <c r="E474" s="48" t="s">
        <v>635</v>
      </c>
      <c r="F474" s="48" t="s">
        <v>555</v>
      </c>
      <c r="G474" s="49">
        <v>2</v>
      </c>
      <c r="H474" s="10">
        <v>2</v>
      </c>
      <c r="I474" s="52">
        <v>5</v>
      </c>
      <c r="J474" s="10">
        <v>5</v>
      </c>
      <c r="K474" s="95" t="s">
        <v>346</v>
      </c>
      <c r="L474" s="57">
        <v>0.6</v>
      </c>
      <c r="M474" s="50">
        <v>3</v>
      </c>
      <c r="N474" s="64"/>
      <c r="O474" s="103"/>
      <c r="P474" s="52" t="s">
        <v>20</v>
      </c>
    </row>
    <row r="475" spans="1:16" ht="15" customHeight="1">
      <c r="A475" s="28">
        <v>7</v>
      </c>
      <c r="B475" s="32">
        <v>45861</v>
      </c>
      <c r="C475" s="36" t="s">
        <v>738</v>
      </c>
      <c r="D475" s="43">
        <v>1</v>
      </c>
      <c r="E475" s="48" t="s">
        <v>26</v>
      </c>
      <c r="F475" s="48" t="s">
        <v>555</v>
      </c>
      <c r="G475" s="49">
        <v>0.4</v>
      </c>
      <c r="H475" s="10">
        <v>0.4</v>
      </c>
      <c r="I475" s="52">
        <v>2</v>
      </c>
      <c r="J475" s="10">
        <v>2</v>
      </c>
      <c r="K475" s="95" t="s">
        <v>346</v>
      </c>
      <c r="L475" s="57">
        <v>0.8</v>
      </c>
      <c r="M475" s="50">
        <v>1.6</v>
      </c>
      <c r="N475" s="64"/>
      <c r="O475" s="103"/>
      <c r="P475" s="52" t="s">
        <v>20</v>
      </c>
    </row>
    <row r="476" spans="1:16" ht="15" customHeight="1">
      <c r="A476" s="28">
        <v>7</v>
      </c>
      <c r="B476" s="32">
        <v>45861</v>
      </c>
      <c r="C476" s="36" t="s">
        <v>744</v>
      </c>
      <c r="D476" s="43">
        <v>1</v>
      </c>
      <c r="E476" s="48" t="s">
        <v>745</v>
      </c>
      <c r="F476" s="48" t="s">
        <v>555</v>
      </c>
      <c r="G476" s="49">
        <v>100</v>
      </c>
      <c r="H476" s="10">
        <v>100</v>
      </c>
      <c r="I476" s="52">
        <v>255</v>
      </c>
      <c r="J476" s="10">
        <v>255</v>
      </c>
      <c r="K476" s="95" t="s">
        <v>346</v>
      </c>
      <c r="L476" s="57">
        <v>0.8</v>
      </c>
      <c r="M476" s="50">
        <v>155</v>
      </c>
      <c r="N476" s="64"/>
      <c r="O476" s="103"/>
      <c r="P476" s="52" t="s">
        <v>20</v>
      </c>
    </row>
    <row r="477" spans="1:16" ht="15" customHeight="1">
      <c r="A477" s="28">
        <v>7</v>
      </c>
      <c r="B477" s="32">
        <v>45861</v>
      </c>
      <c r="C477" s="36" t="s">
        <v>746</v>
      </c>
      <c r="D477" s="43">
        <v>1</v>
      </c>
      <c r="E477" s="48" t="s">
        <v>747</v>
      </c>
      <c r="F477" s="48" t="s">
        <v>555</v>
      </c>
      <c r="G477" s="49">
        <v>140</v>
      </c>
      <c r="H477" s="10">
        <v>140</v>
      </c>
      <c r="I477" s="52">
        <v>220</v>
      </c>
      <c r="J477" s="10">
        <v>220</v>
      </c>
      <c r="K477" s="95" t="s">
        <v>346</v>
      </c>
      <c r="L477" s="57">
        <v>0.4</v>
      </c>
      <c r="M477" s="50">
        <v>80</v>
      </c>
      <c r="N477" s="64"/>
      <c r="O477" s="103"/>
      <c r="P477" s="52" t="s">
        <v>20</v>
      </c>
    </row>
    <row r="478" spans="1:16" ht="15" customHeight="1">
      <c r="A478" s="28">
        <v>7</v>
      </c>
      <c r="B478" s="32">
        <v>45862</v>
      </c>
      <c r="C478" s="36" t="s">
        <v>739</v>
      </c>
      <c r="D478" s="43">
        <v>3</v>
      </c>
      <c r="E478" s="48" t="s">
        <v>26</v>
      </c>
      <c r="F478" s="48" t="s">
        <v>555</v>
      </c>
      <c r="G478" s="49">
        <v>2.5</v>
      </c>
      <c r="H478" s="10">
        <v>7.5</v>
      </c>
      <c r="I478" s="52">
        <v>5</v>
      </c>
      <c r="J478" s="10">
        <v>15</v>
      </c>
      <c r="K478" s="95" t="s">
        <v>346</v>
      </c>
      <c r="L478" s="57">
        <v>0.60784313725490191</v>
      </c>
      <c r="M478" s="50">
        <v>7.5</v>
      </c>
      <c r="N478" s="64"/>
      <c r="O478" s="103"/>
      <c r="P478" s="52" t="s">
        <v>20</v>
      </c>
    </row>
    <row r="479" spans="1:16" ht="15" customHeight="1">
      <c r="A479" s="28">
        <v>7</v>
      </c>
      <c r="B479" s="32">
        <v>45862</v>
      </c>
      <c r="C479" s="36" t="s">
        <v>738</v>
      </c>
      <c r="D479" s="43">
        <v>1</v>
      </c>
      <c r="E479" s="48" t="s">
        <v>26</v>
      </c>
      <c r="F479" s="48" t="s">
        <v>555</v>
      </c>
      <c r="G479" s="49">
        <v>0.4</v>
      </c>
      <c r="H479" s="10">
        <v>0.4</v>
      </c>
      <c r="I479" s="52">
        <v>2</v>
      </c>
      <c r="J479" s="10">
        <v>2</v>
      </c>
      <c r="K479" s="95" t="s">
        <v>346</v>
      </c>
      <c r="L479" s="57">
        <v>0.36363636363636365</v>
      </c>
      <c r="M479" s="50">
        <v>1.6</v>
      </c>
      <c r="N479" s="64"/>
      <c r="O479" s="103"/>
      <c r="P479" s="52" t="s">
        <v>20</v>
      </c>
    </row>
    <row r="480" spans="1:16" ht="15" customHeight="1">
      <c r="A480" s="28">
        <v>7</v>
      </c>
      <c r="B480" s="32">
        <v>45862</v>
      </c>
      <c r="C480" s="36" t="s">
        <v>269</v>
      </c>
      <c r="D480" s="43">
        <v>1</v>
      </c>
      <c r="E480" s="48" t="s">
        <v>748</v>
      </c>
      <c r="F480" s="48" t="s">
        <v>555</v>
      </c>
      <c r="G480" s="49">
        <v>18</v>
      </c>
      <c r="H480" s="10">
        <v>18</v>
      </c>
      <c r="I480" s="52">
        <v>30</v>
      </c>
      <c r="J480" s="10">
        <v>30</v>
      </c>
      <c r="K480" s="95" t="s">
        <v>346</v>
      </c>
      <c r="L480" s="57">
        <v>0.5</v>
      </c>
      <c r="M480" s="50">
        <v>12</v>
      </c>
      <c r="N480" s="64"/>
      <c r="O480" s="103"/>
      <c r="P480" s="52" t="s">
        <v>20</v>
      </c>
    </row>
    <row r="481" spans="1:16" ht="15" customHeight="1">
      <c r="A481" s="28">
        <v>7</v>
      </c>
      <c r="B481" s="32">
        <v>45862</v>
      </c>
      <c r="C481" s="36" t="s">
        <v>323</v>
      </c>
      <c r="D481" s="43">
        <v>1</v>
      </c>
      <c r="E481" s="48" t="s">
        <v>749</v>
      </c>
      <c r="F481" s="48" t="s">
        <v>555</v>
      </c>
      <c r="G481" s="49">
        <v>7.0000000000000007E-2</v>
      </c>
      <c r="H481" s="10">
        <v>7.0000000000000007E-2</v>
      </c>
      <c r="I481" s="52">
        <v>5</v>
      </c>
      <c r="J481" s="10">
        <v>5</v>
      </c>
      <c r="K481" s="95" t="s">
        <v>346</v>
      </c>
      <c r="L481" s="57">
        <v>0.43333333333333335</v>
      </c>
      <c r="M481" s="50">
        <v>4.93</v>
      </c>
      <c r="N481" s="64"/>
      <c r="O481" s="103"/>
      <c r="P481" s="52" t="s">
        <v>20</v>
      </c>
    </row>
    <row r="482" spans="1:16" ht="15" customHeight="1">
      <c r="A482" s="28">
        <v>7</v>
      </c>
      <c r="B482" s="32">
        <v>45862</v>
      </c>
      <c r="C482" s="36" t="s">
        <v>706</v>
      </c>
      <c r="D482" s="43">
        <v>1</v>
      </c>
      <c r="E482" s="48" t="s">
        <v>747</v>
      </c>
      <c r="F482" s="48" t="s">
        <v>555</v>
      </c>
      <c r="G482" s="49">
        <v>17</v>
      </c>
      <c r="H482" s="10">
        <v>17</v>
      </c>
      <c r="I482" s="52">
        <v>30</v>
      </c>
      <c r="J482" s="10">
        <v>30</v>
      </c>
      <c r="K482" s="95" t="s">
        <v>346</v>
      </c>
      <c r="L482" s="57">
        <v>0.92999999999999994</v>
      </c>
      <c r="M482" s="50">
        <v>13</v>
      </c>
      <c r="N482" s="64"/>
      <c r="O482" s="103"/>
      <c r="P482" s="52" t="s">
        <v>20</v>
      </c>
    </row>
    <row r="483" spans="1:16" ht="15" customHeight="1">
      <c r="A483" s="28">
        <v>7</v>
      </c>
      <c r="B483" s="32">
        <v>45863</v>
      </c>
      <c r="C483" s="36" t="s">
        <v>323</v>
      </c>
      <c r="D483" s="43">
        <v>4</v>
      </c>
      <c r="E483" s="48" t="s">
        <v>26</v>
      </c>
      <c r="F483" s="48" t="s">
        <v>555</v>
      </c>
      <c r="G483" s="49">
        <v>7.0000000000000007E-2</v>
      </c>
      <c r="H483" s="10">
        <v>0.28000000000000003</v>
      </c>
      <c r="I483" s="52">
        <v>1</v>
      </c>
      <c r="J483" s="10">
        <v>4</v>
      </c>
      <c r="K483" s="95" t="s">
        <v>346</v>
      </c>
      <c r="L483" s="57">
        <v>0.98599999999999999</v>
      </c>
      <c r="M483" s="50">
        <v>3.7199999999999998</v>
      </c>
      <c r="N483" s="64"/>
      <c r="O483" s="103"/>
      <c r="P483" s="52" t="s">
        <v>20</v>
      </c>
    </row>
    <row r="484" spans="1:16" ht="15" customHeight="1">
      <c r="A484" s="28">
        <v>7</v>
      </c>
      <c r="B484" s="32">
        <v>45866</v>
      </c>
      <c r="C484" s="36" t="s">
        <v>739</v>
      </c>
      <c r="D484" s="43">
        <v>1</v>
      </c>
      <c r="E484" s="48" t="s">
        <v>26</v>
      </c>
      <c r="F484" s="48" t="s">
        <v>555</v>
      </c>
      <c r="G484" s="49">
        <v>2.5</v>
      </c>
      <c r="H484" s="10">
        <v>2.5</v>
      </c>
      <c r="I484" s="52">
        <v>5</v>
      </c>
      <c r="J484" s="10">
        <v>5</v>
      </c>
      <c r="K484" s="95" t="s">
        <v>346</v>
      </c>
      <c r="L484" s="57">
        <v>0.5</v>
      </c>
      <c r="M484" s="50">
        <v>2.5</v>
      </c>
      <c r="N484" s="64"/>
      <c r="O484" s="103"/>
      <c r="P484" s="52" t="s">
        <v>20</v>
      </c>
    </row>
    <row r="485" spans="1:16" ht="15" customHeight="1">
      <c r="A485" s="28">
        <v>7</v>
      </c>
      <c r="B485" s="32">
        <v>45866</v>
      </c>
      <c r="C485" s="36" t="s">
        <v>725</v>
      </c>
      <c r="D485" s="43">
        <v>5</v>
      </c>
      <c r="E485" s="48" t="s">
        <v>26</v>
      </c>
      <c r="F485" s="48" t="s">
        <v>555</v>
      </c>
      <c r="G485" s="49">
        <v>5</v>
      </c>
      <c r="H485" s="10">
        <v>25</v>
      </c>
      <c r="I485" s="52">
        <v>10</v>
      </c>
      <c r="J485" s="10">
        <v>50</v>
      </c>
      <c r="K485" s="95" t="s">
        <v>346</v>
      </c>
      <c r="L485" s="57">
        <v>0.5</v>
      </c>
      <c r="M485" s="50">
        <v>25</v>
      </c>
      <c r="N485" s="64"/>
      <c r="O485" s="103"/>
      <c r="P485" s="52" t="s">
        <v>20</v>
      </c>
    </row>
    <row r="486" spans="1:16" ht="15" customHeight="1">
      <c r="A486" s="28">
        <v>7</v>
      </c>
      <c r="B486" s="32">
        <v>45866</v>
      </c>
      <c r="C486" s="36" t="s">
        <v>274</v>
      </c>
      <c r="D486" s="43">
        <v>1</v>
      </c>
      <c r="E486" s="48" t="s">
        <v>26</v>
      </c>
      <c r="F486" s="48" t="s">
        <v>555</v>
      </c>
      <c r="G486" s="49">
        <v>0</v>
      </c>
      <c r="H486" s="10">
        <v>0</v>
      </c>
      <c r="I486" s="52">
        <v>5</v>
      </c>
      <c r="J486" s="10">
        <v>5</v>
      </c>
      <c r="K486" s="95" t="s">
        <v>346</v>
      </c>
      <c r="L486" s="57">
        <v>1</v>
      </c>
      <c r="M486" s="50">
        <v>5</v>
      </c>
      <c r="N486" s="64"/>
      <c r="O486" s="103"/>
      <c r="P486" s="52" t="s">
        <v>20</v>
      </c>
    </row>
    <row r="487" spans="1:16" ht="15" customHeight="1">
      <c r="A487" s="28">
        <v>7</v>
      </c>
      <c r="B487" s="32">
        <v>45866</v>
      </c>
      <c r="C487" s="36" t="s">
        <v>323</v>
      </c>
      <c r="D487" s="43">
        <v>1</v>
      </c>
      <c r="E487" s="48" t="s">
        <v>26</v>
      </c>
      <c r="F487" s="48" t="s">
        <v>555</v>
      </c>
      <c r="G487" s="49">
        <v>7.0000000000000007E-2</v>
      </c>
      <c r="H487" s="10">
        <v>7.0000000000000007E-2</v>
      </c>
      <c r="I487" s="52">
        <v>1</v>
      </c>
      <c r="J487" s="10">
        <v>1</v>
      </c>
      <c r="K487" s="95" t="s">
        <v>346</v>
      </c>
      <c r="L487" s="57">
        <v>0.92999999999999994</v>
      </c>
      <c r="M487" s="50">
        <v>0.92999999999999994</v>
      </c>
      <c r="N487" s="64"/>
      <c r="O487" s="103"/>
      <c r="P487" s="52" t="s">
        <v>20</v>
      </c>
    </row>
    <row r="488" spans="1:16" ht="15" customHeight="1">
      <c r="A488" s="28">
        <v>7</v>
      </c>
      <c r="B488" s="32">
        <v>45866</v>
      </c>
      <c r="C488" s="36" t="s">
        <v>269</v>
      </c>
      <c r="D488" s="43">
        <v>1</v>
      </c>
      <c r="E488" s="48" t="s">
        <v>748</v>
      </c>
      <c r="F488" s="48" t="s">
        <v>555</v>
      </c>
      <c r="G488" s="49">
        <v>18</v>
      </c>
      <c r="H488" s="10">
        <v>18</v>
      </c>
      <c r="I488" s="52">
        <v>30</v>
      </c>
      <c r="J488" s="10">
        <v>30</v>
      </c>
      <c r="K488" s="95" t="s">
        <v>346</v>
      </c>
      <c r="L488" s="57">
        <v>0.4</v>
      </c>
      <c r="M488" s="50">
        <v>12</v>
      </c>
      <c r="N488" s="64"/>
      <c r="O488" s="103"/>
      <c r="P488" s="52" t="s">
        <v>20</v>
      </c>
    </row>
    <row r="489" spans="1:16" ht="15" customHeight="1">
      <c r="A489" s="28">
        <v>7</v>
      </c>
      <c r="B489" s="32">
        <v>45867</v>
      </c>
      <c r="C489" s="36" t="s">
        <v>323</v>
      </c>
      <c r="D489" s="43">
        <v>1</v>
      </c>
      <c r="E489" s="48" t="s">
        <v>26</v>
      </c>
      <c r="F489" s="48" t="s">
        <v>555</v>
      </c>
      <c r="G489" s="49">
        <v>7.0000000000000007E-2</v>
      </c>
      <c r="H489" s="10">
        <v>7.0000000000000007E-2</v>
      </c>
      <c r="I489" s="52">
        <v>1</v>
      </c>
      <c r="J489" s="10">
        <v>1</v>
      </c>
      <c r="K489" s="95" t="s">
        <v>346</v>
      </c>
      <c r="L489" s="57">
        <v>0.92999999999999994</v>
      </c>
      <c r="M489" s="50">
        <v>0.92999999999999994</v>
      </c>
      <c r="N489" s="64"/>
      <c r="O489" s="103"/>
      <c r="P489" s="52" t="s">
        <v>20</v>
      </c>
    </row>
    <row r="490" spans="1:16" ht="15" customHeight="1">
      <c r="A490" s="28">
        <v>7</v>
      </c>
      <c r="B490" s="32">
        <v>45867</v>
      </c>
      <c r="C490" s="36" t="s">
        <v>223</v>
      </c>
      <c r="D490" s="43">
        <v>1</v>
      </c>
      <c r="E490" s="48" t="s">
        <v>750</v>
      </c>
      <c r="F490" s="48" t="s">
        <v>555</v>
      </c>
      <c r="G490" s="49">
        <v>0</v>
      </c>
      <c r="H490" s="10">
        <v>0</v>
      </c>
      <c r="I490" s="52">
        <v>50</v>
      </c>
      <c r="J490" s="10">
        <v>50</v>
      </c>
      <c r="K490" s="95" t="s">
        <v>346</v>
      </c>
      <c r="L490" s="57">
        <v>1</v>
      </c>
      <c r="M490" s="50">
        <v>50</v>
      </c>
      <c r="N490" s="64"/>
      <c r="O490" s="103"/>
      <c r="P490" s="52" t="s">
        <v>20</v>
      </c>
    </row>
    <row r="491" spans="1:16" ht="15" customHeight="1">
      <c r="A491" s="28">
        <v>7</v>
      </c>
      <c r="B491" s="32">
        <v>45867</v>
      </c>
      <c r="C491" s="36" t="s">
        <v>751</v>
      </c>
      <c r="D491" s="43">
        <v>1</v>
      </c>
      <c r="E491" s="48" t="s">
        <v>750</v>
      </c>
      <c r="F491" s="48" t="s">
        <v>555</v>
      </c>
      <c r="G491" s="49">
        <v>10</v>
      </c>
      <c r="H491" s="10">
        <v>10</v>
      </c>
      <c r="I491" s="52">
        <v>35</v>
      </c>
      <c r="J491" s="10">
        <v>35</v>
      </c>
      <c r="K491" s="95" t="s">
        <v>346</v>
      </c>
      <c r="L491" s="57">
        <v>0.7142857142857143</v>
      </c>
      <c r="M491" s="50">
        <v>25</v>
      </c>
      <c r="N491" s="64"/>
      <c r="O491" s="103"/>
      <c r="P491" s="52" t="s">
        <v>20</v>
      </c>
    </row>
    <row r="492" spans="1:16" ht="15" customHeight="1">
      <c r="A492" s="28">
        <v>7</v>
      </c>
      <c r="B492" s="32">
        <v>45868</v>
      </c>
      <c r="C492" s="36" t="s">
        <v>731</v>
      </c>
      <c r="D492" s="43">
        <v>1</v>
      </c>
      <c r="E492" s="48" t="s">
        <v>26</v>
      </c>
      <c r="F492" s="48" t="s">
        <v>555</v>
      </c>
      <c r="G492" s="49">
        <v>5</v>
      </c>
      <c r="H492" s="10">
        <v>5</v>
      </c>
      <c r="I492" s="52">
        <v>10</v>
      </c>
      <c r="J492" s="10">
        <v>10</v>
      </c>
      <c r="K492" s="95" t="s">
        <v>346</v>
      </c>
      <c r="L492" s="57">
        <v>0.5</v>
      </c>
      <c r="M492" s="50">
        <v>5</v>
      </c>
      <c r="N492" s="64"/>
      <c r="O492" s="103"/>
      <c r="P492" s="52" t="s">
        <v>20</v>
      </c>
    </row>
    <row r="493" spans="1:16" ht="15" customHeight="1">
      <c r="A493" s="28">
        <v>7</v>
      </c>
      <c r="B493" s="32">
        <v>45868</v>
      </c>
      <c r="C493" s="36" t="s">
        <v>388</v>
      </c>
      <c r="D493" s="43">
        <v>3</v>
      </c>
      <c r="E493" s="48" t="s">
        <v>26</v>
      </c>
      <c r="F493" s="48" t="s">
        <v>555</v>
      </c>
      <c r="G493" s="49">
        <v>2.5</v>
      </c>
      <c r="H493" s="10">
        <v>7.5</v>
      </c>
      <c r="I493" s="52">
        <v>5</v>
      </c>
      <c r="J493" s="10">
        <v>15</v>
      </c>
      <c r="K493" s="95" t="s">
        <v>346</v>
      </c>
      <c r="L493" s="57">
        <v>0.5</v>
      </c>
      <c r="M493" s="50">
        <v>7.5</v>
      </c>
      <c r="N493" s="64"/>
      <c r="O493" s="103"/>
      <c r="P493" s="52" t="s">
        <v>20</v>
      </c>
    </row>
    <row r="494" spans="1:16" ht="15" customHeight="1">
      <c r="A494" s="28">
        <v>7</v>
      </c>
      <c r="B494" s="32">
        <v>45868</v>
      </c>
      <c r="C494" s="36" t="s">
        <v>752</v>
      </c>
      <c r="D494" s="43">
        <v>1</v>
      </c>
      <c r="E494" s="48" t="s">
        <v>26</v>
      </c>
      <c r="F494" s="48" t="s">
        <v>555</v>
      </c>
      <c r="G494" s="49">
        <v>5</v>
      </c>
      <c r="H494" s="10">
        <v>5</v>
      </c>
      <c r="I494" s="52">
        <v>20</v>
      </c>
      <c r="J494" s="10">
        <v>20</v>
      </c>
      <c r="K494" s="95" t="s">
        <v>346</v>
      </c>
      <c r="L494" s="57">
        <v>0.75</v>
      </c>
      <c r="M494" s="50">
        <v>15</v>
      </c>
      <c r="N494" s="64"/>
      <c r="O494" s="103"/>
      <c r="P494" s="52" t="s">
        <v>20</v>
      </c>
    </row>
    <row r="495" spans="1:16" ht="15" customHeight="1">
      <c r="A495" s="72">
        <v>7</v>
      </c>
      <c r="B495" s="75">
        <v>45868</v>
      </c>
      <c r="C495" s="78" t="s">
        <v>323</v>
      </c>
      <c r="D495" s="83">
        <v>2</v>
      </c>
      <c r="E495" s="86" t="s">
        <v>26</v>
      </c>
      <c r="F495" s="86" t="s">
        <v>555</v>
      </c>
      <c r="G495" s="89">
        <v>7.0000000000000007E-2</v>
      </c>
      <c r="H495" s="10">
        <v>0.14000000000000001</v>
      </c>
      <c r="I495" s="91">
        <v>1</v>
      </c>
      <c r="J495" s="68">
        <v>2</v>
      </c>
      <c r="K495" s="55" t="s">
        <v>346</v>
      </c>
      <c r="L495" s="57">
        <v>0.5</v>
      </c>
      <c r="M495" s="50">
        <v>1.8599999999999999</v>
      </c>
      <c r="N495" s="64"/>
      <c r="O495" s="50"/>
      <c r="P495" s="91" t="s">
        <v>20</v>
      </c>
    </row>
    <row r="496" spans="1:16" ht="15" customHeight="1">
      <c r="A496" s="28">
        <v>7</v>
      </c>
      <c r="B496" s="32">
        <v>45869</v>
      </c>
      <c r="C496" s="79" t="s">
        <v>753</v>
      </c>
      <c r="D496" s="84">
        <v>2</v>
      </c>
      <c r="E496" s="87" t="s">
        <v>26</v>
      </c>
      <c r="F496" s="87" t="s">
        <v>555</v>
      </c>
      <c r="G496" s="90">
        <v>5</v>
      </c>
      <c r="H496" s="10">
        <v>10</v>
      </c>
      <c r="I496" s="92">
        <v>10</v>
      </c>
      <c r="J496" s="69">
        <v>20</v>
      </c>
      <c r="K496" s="55" t="s">
        <v>346</v>
      </c>
      <c r="L496" s="99">
        <v>0.5</v>
      </c>
      <c r="M496" s="50">
        <v>10</v>
      </c>
      <c r="N496" s="102"/>
      <c r="O496" s="105"/>
      <c r="P496" s="92" t="s">
        <v>20</v>
      </c>
    </row>
    <row r="497" spans="1:16" ht="15" customHeight="1">
      <c r="A497" s="28">
        <v>7</v>
      </c>
      <c r="B497" s="32">
        <v>45869</v>
      </c>
      <c r="C497" s="36" t="s">
        <v>323</v>
      </c>
      <c r="D497" s="43">
        <v>2</v>
      </c>
      <c r="E497" s="48" t="s">
        <v>26</v>
      </c>
      <c r="F497" s="48" t="s">
        <v>555</v>
      </c>
      <c r="G497" s="49">
        <v>7.0000000000000007E-2</v>
      </c>
      <c r="H497" s="10">
        <v>0.14000000000000001</v>
      </c>
      <c r="I497" s="52">
        <v>1</v>
      </c>
      <c r="J497" s="10">
        <v>2</v>
      </c>
      <c r="K497" s="55" t="s">
        <v>346</v>
      </c>
      <c r="L497" s="57">
        <v>0.92999999999999994</v>
      </c>
      <c r="M497" s="50">
        <v>1.8599999999999999</v>
      </c>
      <c r="N497" s="64"/>
      <c r="O497" s="50"/>
      <c r="P497" s="52" t="s">
        <v>20</v>
      </c>
    </row>
    <row r="498" spans="1:16" ht="15" customHeight="1">
      <c r="A498" s="28">
        <v>7</v>
      </c>
      <c r="B498" s="32">
        <v>45869</v>
      </c>
      <c r="C498" s="36" t="s">
        <v>754</v>
      </c>
      <c r="D498" s="43">
        <v>2</v>
      </c>
      <c r="E498" s="48" t="s">
        <v>26</v>
      </c>
      <c r="F498" s="48" t="s">
        <v>555</v>
      </c>
      <c r="G498" s="49">
        <v>28</v>
      </c>
      <c r="H498" s="10">
        <v>56</v>
      </c>
      <c r="I498" s="52">
        <v>50</v>
      </c>
      <c r="J498" s="10">
        <v>100</v>
      </c>
      <c r="K498" s="55" t="s">
        <v>346</v>
      </c>
      <c r="L498" s="57">
        <v>0.5</v>
      </c>
      <c r="M498" s="50">
        <v>44</v>
      </c>
      <c r="N498" s="64"/>
      <c r="O498" s="50"/>
      <c r="P498" s="52" t="s">
        <v>20</v>
      </c>
    </row>
    <row r="499" spans="1:16" ht="15" customHeight="1">
      <c r="A499" s="28">
        <v>7</v>
      </c>
      <c r="B499" s="32">
        <v>45869</v>
      </c>
      <c r="C499" s="36" t="s">
        <v>755</v>
      </c>
      <c r="D499" s="43">
        <v>1</v>
      </c>
      <c r="E499" s="48" t="s">
        <v>756</v>
      </c>
      <c r="F499" s="48" t="s">
        <v>555</v>
      </c>
      <c r="G499" s="49">
        <v>23</v>
      </c>
      <c r="H499" s="10">
        <v>23</v>
      </c>
      <c r="I499" s="52">
        <v>35</v>
      </c>
      <c r="J499" s="10">
        <v>35</v>
      </c>
      <c r="K499" s="55" t="s">
        <v>346</v>
      </c>
      <c r="L499" s="57">
        <v>0.92999999999999994</v>
      </c>
      <c r="M499" s="50">
        <v>12</v>
      </c>
      <c r="N499" s="64"/>
      <c r="O499" s="50"/>
      <c r="P499" s="52" t="s">
        <v>20</v>
      </c>
    </row>
    <row r="500" spans="1:16" ht="15" customHeight="1">
      <c r="A500" s="28">
        <v>7</v>
      </c>
      <c r="B500" s="32">
        <v>45869</v>
      </c>
      <c r="C500" s="36" t="s">
        <v>757</v>
      </c>
      <c r="D500" s="43">
        <v>1</v>
      </c>
      <c r="E500" s="48" t="s">
        <v>756</v>
      </c>
      <c r="F500" s="48" t="s">
        <v>555</v>
      </c>
      <c r="G500" s="49">
        <v>2.5</v>
      </c>
      <c r="H500" s="10">
        <v>2.5</v>
      </c>
      <c r="I500" s="52">
        <v>10</v>
      </c>
      <c r="J500" s="10">
        <v>10</v>
      </c>
      <c r="K500" s="55" t="s">
        <v>346</v>
      </c>
      <c r="L500" s="57">
        <v>0.5</v>
      </c>
      <c r="M500" s="50">
        <v>7.5</v>
      </c>
      <c r="N500" s="64"/>
      <c r="O500" s="50"/>
      <c r="P500" s="52" t="s">
        <v>20</v>
      </c>
    </row>
    <row r="501" spans="1:16" ht="15" customHeight="1">
      <c r="A501" s="28">
        <v>8</v>
      </c>
      <c r="B501" s="32">
        <v>45871</v>
      </c>
      <c r="C501" s="36" t="s">
        <v>758</v>
      </c>
      <c r="D501" s="43">
        <v>5</v>
      </c>
      <c r="E501" s="48" t="s">
        <v>26</v>
      </c>
      <c r="F501" s="48" t="s">
        <v>555</v>
      </c>
      <c r="G501" s="49">
        <v>2.5</v>
      </c>
      <c r="H501" s="10">
        <v>12.5</v>
      </c>
      <c r="I501" s="52">
        <v>5</v>
      </c>
      <c r="J501" s="10">
        <v>25</v>
      </c>
      <c r="K501" s="55" t="s">
        <v>346</v>
      </c>
      <c r="L501" s="57">
        <v>0.55000000000000004</v>
      </c>
      <c r="M501" s="50">
        <v>12.5</v>
      </c>
      <c r="N501" s="64"/>
      <c r="O501" s="50"/>
      <c r="P501" s="52" t="s">
        <v>20</v>
      </c>
    </row>
    <row r="502" spans="1:16" ht="15" customHeight="1">
      <c r="A502" s="28">
        <v>8</v>
      </c>
      <c r="B502" s="32">
        <v>45871</v>
      </c>
      <c r="C502" s="36" t="s">
        <v>741</v>
      </c>
      <c r="D502" s="43">
        <v>1</v>
      </c>
      <c r="E502" s="48" t="s">
        <v>26</v>
      </c>
      <c r="F502" s="48" t="s">
        <v>555</v>
      </c>
      <c r="G502" s="49">
        <v>13</v>
      </c>
      <c r="H502" s="10">
        <v>13</v>
      </c>
      <c r="I502" s="52">
        <v>20</v>
      </c>
      <c r="J502" s="10">
        <v>20</v>
      </c>
      <c r="K502" s="55" t="s">
        <v>346</v>
      </c>
      <c r="L502" s="57">
        <v>0.33333333333333331</v>
      </c>
      <c r="M502" s="50">
        <v>7</v>
      </c>
      <c r="N502" s="64"/>
      <c r="O502" s="50"/>
      <c r="P502" s="52" t="s">
        <v>20</v>
      </c>
    </row>
    <row r="503" spans="1:16" ht="15" customHeight="1">
      <c r="A503" s="73">
        <v>8</v>
      </c>
      <c r="B503" s="76">
        <v>45871</v>
      </c>
      <c r="C503" s="79" t="s">
        <v>759</v>
      </c>
      <c r="D503" s="84">
        <v>1</v>
      </c>
      <c r="E503" s="87" t="s">
        <v>26</v>
      </c>
      <c r="F503" s="87" t="s">
        <v>555</v>
      </c>
      <c r="G503" s="90">
        <v>5</v>
      </c>
      <c r="H503" s="10">
        <v>5</v>
      </c>
      <c r="I503" s="92">
        <v>10</v>
      </c>
      <c r="J503" s="69">
        <v>10</v>
      </c>
      <c r="K503" s="55" t="s">
        <v>346</v>
      </c>
      <c r="L503" s="99">
        <v>0.92999999999999994</v>
      </c>
      <c r="M503" s="50">
        <v>5</v>
      </c>
      <c r="N503" s="102"/>
      <c r="O503" s="105"/>
      <c r="P503" s="92" t="s">
        <v>20</v>
      </c>
    </row>
    <row r="504" spans="1:16" ht="15" customHeight="1">
      <c r="A504" s="28">
        <v>8</v>
      </c>
      <c r="B504" s="32">
        <v>45871</v>
      </c>
      <c r="C504" s="36" t="s">
        <v>321</v>
      </c>
      <c r="D504" s="43">
        <v>1</v>
      </c>
      <c r="E504" s="48" t="s">
        <v>26</v>
      </c>
      <c r="F504" s="48" t="s">
        <v>555</v>
      </c>
      <c r="G504" s="49">
        <v>3</v>
      </c>
      <c r="H504" s="10">
        <v>3</v>
      </c>
      <c r="I504" s="52">
        <v>10</v>
      </c>
      <c r="J504" s="10">
        <v>10</v>
      </c>
      <c r="K504" s="55" t="s">
        <v>346</v>
      </c>
      <c r="L504" s="57">
        <v>0.8</v>
      </c>
      <c r="M504" s="50">
        <v>7</v>
      </c>
      <c r="N504" s="64"/>
      <c r="O504" s="50"/>
      <c r="P504" s="52" t="s">
        <v>20</v>
      </c>
    </row>
    <row r="505" spans="1:16" ht="15" customHeight="1">
      <c r="A505" s="28">
        <v>8</v>
      </c>
      <c r="B505" s="32">
        <v>45871</v>
      </c>
      <c r="C505" s="36" t="s">
        <v>760</v>
      </c>
      <c r="D505" s="43">
        <v>1</v>
      </c>
      <c r="E505" s="48" t="s">
        <v>26</v>
      </c>
      <c r="F505" s="48" t="s">
        <v>555</v>
      </c>
      <c r="G505" s="49">
        <v>4</v>
      </c>
      <c r="H505" s="10">
        <v>4</v>
      </c>
      <c r="I505" s="52">
        <v>10</v>
      </c>
      <c r="J505" s="10">
        <v>10</v>
      </c>
      <c r="K505" s="55" t="s">
        <v>346</v>
      </c>
      <c r="L505" s="57">
        <v>1</v>
      </c>
      <c r="M505" s="50">
        <v>6</v>
      </c>
      <c r="N505" s="64"/>
      <c r="O505" s="50"/>
      <c r="P505" s="52" t="s">
        <v>20</v>
      </c>
    </row>
    <row r="506" spans="1:16" ht="15" customHeight="1">
      <c r="A506" s="28">
        <v>8</v>
      </c>
      <c r="B506" s="32">
        <v>45871</v>
      </c>
      <c r="C506" s="36" t="s">
        <v>725</v>
      </c>
      <c r="D506" s="43">
        <v>1</v>
      </c>
      <c r="E506" s="48" t="s">
        <v>26</v>
      </c>
      <c r="F506" s="48" t="s">
        <v>555</v>
      </c>
      <c r="G506" s="49">
        <v>5</v>
      </c>
      <c r="H506" s="10">
        <v>5</v>
      </c>
      <c r="I506" s="52">
        <v>10</v>
      </c>
      <c r="J506" s="10">
        <v>10</v>
      </c>
      <c r="K506" s="55" t="s">
        <v>346</v>
      </c>
      <c r="L506" s="57">
        <v>0.33333333333333331</v>
      </c>
      <c r="M506" s="50">
        <v>5</v>
      </c>
      <c r="N506" s="64"/>
      <c r="O506" s="50"/>
      <c r="P506" s="52" t="s">
        <v>20</v>
      </c>
    </row>
    <row r="507" spans="1:16" ht="15" customHeight="1">
      <c r="A507" s="28">
        <v>8</v>
      </c>
      <c r="B507" s="32">
        <v>45871</v>
      </c>
      <c r="C507" s="36" t="s">
        <v>323</v>
      </c>
      <c r="D507" s="43">
        <v>1</v>
      </c>
      <c r="E507" s="48" t="s">
        <v>26</v>
      </c>
      <c r="F507" s="48" t="s">
        <v>555</v>
      </c>
      <c r="G507" s="49">
        <v>7.0000000000000007E-2</v>
      </c>
      <c r="H507" s="10">
        <v>7.0000000000000007E-2</v>
      </c>
      <c r="I507" s="52">
        <v>1</v>
      </c>
      <c r="J507" s="10">
        <v>1</v>
      </c>
      <c r="K507" s="55" t="s">
        <v>346</v>
      </c>
      <c r="L507" s="57">
        <v>0.66666666666666663</v>
      </c>
      <c r="M507" s="50">
        <v>0.92999999999999994</v>
      </c>
      <c r="N507" s="64"/>
      <c r="O507" s="50"/>
      <c r="P507" s="52" t="s">
        <v>20</v>
      </c>
    </row>
    <row r="508" spans="1:16" ht="15" customHeight="1">
      <c r="A508" s="28">
        <v>8</v>
      </c>
      <c r="B508" s="32">
        <v>45873</v>
      </c>
      <c r="C508" s="36" t="s">
        <v>738</v>
      </c>
      <c r="D508" s="43">
        <v>1</v>
      </c>
      <c r="E508" s="48" t="s">
        <v>26</v>
      </c>
      <c r="F508" s="48" t="s">
        <v>555</v>
      </c>
      <c r="G508" s="49">
        <v>0.4</v>
      </c>
      <c r="H508" s="10">
        <v>0.4</v>
      </c>
      <c r="I508" s="52">
        <v>2</v>
      </c>
      <c r="J508" s="10">
        <v>2</v>
      </c>
      <c r="K508" s="55" t="s">
        <v>346</v>
      </c>
      <c r="L508" s="57">
        <v>0.5</v>
      </c>
      <c r="M508" s="50">
        <v>1.6</v>
      </c>
      <c r="N508" s="64"/>
      <c r="O508" s="50"/>
      <c r="P508" s="52" t="s">
        <v>20</v>
      </c>
    </row>
    <row r="509" spans="1:16" ht="15" customHeight="1">
      <c r="A509" s="28">
        <v>8</v>
      </c>
      <c r="B509" s="32">
        <v>45873</v>
      </c>
      <c r="C509" s="36" t="s">
        <v>323</v>
      </c>
      <c r="D509" s="43">
        <v>2</v>
      </c>
      <c r="E509" s="48" t="s">
        <v>26</v>
      </c>
      <c r="F509" s="48" t="s">
        <v>555</v>
      </c>
      <c r="G509" s="49">
        <v>7.0000000000000007E-2</v>
      </c>
      <c r="H509" s="10">
        <v>0.14000000000000001</v>
      </c>
      <c r="I509" s="52">
        <v>1</v>
      </c>
      <c r="J509" s="10">
        <v>2</v>
      </c>
      <c r="K509" s="55" t="s">
        <v>346</v>
      </c>
      <c r="L509" s="57">
        <v>0.66666666666666663</v>
      </c>
      <c r="M509" s="50">
        <v>1.8599999999999999</v>
      </c>
      <c r="N509" s="64"/>
      <c r="O509" s="50"/>
      <c r="P509" s="52" t="s">
        <v>20</v>
      </c>
    </row>
    <row r="510" spans="1:16" ht="15" customHeight="1">
      <c r="A510" s="73">
        <v>8</v>
      </c>
      <c r="B510" s="76">
        <v>45874</v>
      </c>
      <c r="C510" s="79" t="s">
        <v>321</v>
      </c>
      <c r="D510" s="84">
        <v>2</v>
      </c>
      <c r="E510" s="87" t="s">
        <v>42</v>
      </c>
      <c r="F510" s="87" t="s">
        <v>555</v>
      </c>
      <c r="G510" s="90">
        <v>3</v>
      </c>
      <c r="H510" s="10">
        <v>6</v>
      </c>
      <c r="I510" s="92">
        <v>10</v>
      </c>
      <c r="J510" s="69">
        <v>20</v>
      </c>
      <c r="K510" s="55" t="s">
        <v>346</v>
      </c>
      <c r="L510" s="99">
        <v>0.5</v>
      </c>
      <c r="M510" s="50">
        <v>14</v>
      </c>
      <c r="N510" s="102"/>
      <c r="O510" s="105"/>
      <c r="P510" s="92" t="s">
        <v>20</v>
      </c>
    </row>
    <row r="511" spans="1:16" ht="15" customHeight="1">
      <c r="A511" s="28">
        <v>8</v>
      </c>
      <c r="B511" s="32">
        <v>45876</v>
      </c>
      <c r="C511" s="36" t="s">
        <v>725</v>
      </c>
      <c r="D511" s="43">
        <v>1</v>
      </c>
      <c r="E511" s="48" t="s">
        <v>26</v>
      </c>
      <c r="F511" s="48" t="s">
        <v>555</v>
      </c>
      <c r="G511" s="49">
        <v>10</v>
      </c>
      <c r="H511" s="10">
        <v>10</v>
      </c>
      <c r="I511" s="52">
        <v>20</v>
      </c>
      <c r="J511" s="10">
        <v>20</v>
      </c>
      <c r="K511" s="55" t="s">
        <v>346</v>
      </c>
      <c r="L511" s="57">
        <v>0.5</v>
      </c>
      <c r="M511" s="50">
        <v>10</v>
      </c>
      <c r="N511" s="64"/>
      <c r="O511" s="50"/>
      <c r="P511" s="52" t="s">
        <v>588</v>
      </c>
    </row>
    <row r="512" spans="1:16" ht="15" customHeight="1">
      <c r="A512" s="28">
        <v>8</v>
      </c>
      <c r="B512" s="32">
        <v>45876</v>
      </c>
      <c r="C512" s="36" t="s">
        <v>441</v>
      </c>
      <c r="D512" s="43">
        <v>1</v>
      </c>
      <c r="E512" s="48" t="s">
        <v>26</v>
      </c>
      <c r="F512" s="48" t="s">
        <v>555</v>
      </c>
      <c r="G512" s="49">
        <v>0</v>
      </c>
      <c r="H512" s="10">
        <v>0</v>
      </c>
      <c r="I512" s="52">
        <v>15</v>
      </c>
      <c r="J512" s="10">
        <v>15</v>
      </c>
      <c r="K512" s="55" t="s">
        <v>346</v>
      </c>
      <c r="L512" s="57">
        <v>0.66666666666666663</v>
      </c>
      <c r="M512" s="50">
        <v>15</v>
      </c>
      <c r="N512" s="64"/>
      <c r="O512" s="50"/>
      <c r="P512" s="52" t="s">
        <v>20</v>
      </c>
    </row>
    <row r="513" spans="1:16" ht="15" customHeight="1">
      <c r="A513" s="28">
        <v>8</v>
      </c>
      <c r="B513" s="32">
        <v>45878</v>
      </c>
      <c r="C513" s="36" t="s">
        <v>761</v>
      </c>
      <c r="D513" s="43">
        <v>1</v>
      </c>
      <c r="E513" s="48" t="s">
        <v>273</v>
      </c>
      <c r="F513" s="48" t="s">
        <v>555</v>
      </c>
      <c r="G513" s="49" t="s">
        <v>79</v>
      </c>
      <c r="H513" s="10">
        <v>0</v>
      </c>
      <c r="I513" s="52">
        <v>70</v>
      </c>
      <c r="J513" s="10">
        <v>70</v>
      </c>
      <c r="K513" s="55" t="s">
        <v>346</v>
      </c>
      <c r="L513" s="57">
        <v>0.92999999999999994</v>
      </c>
      <c r="M513" s="50">
        <v>70</v>
      </c>
      <c r="N513" s="64"/>
      <c r="O513" s="50"/>
      <c r="P513" s="52" t="s">
        <v>20</v>
      </c>
    </row>
    <row r="514" spans="1:16" ht="15" customHeight="1">
      <c r="A514" s="73">
        <v>8</v>
      </c>
      <c r="B514" s="76">
        <v>45878</v>
      </c>
      <c r="C514" s="79" t="s">
        <v>761</v>
      </c>
      <c r="D514" s="84">
        <v>1</v>
      </c>
      <c r="E514" s="87" t="s">
        <v>273</v>
      </c>
      <c r="F514" s="87" t="s">
        <v>555</v>
      </c>
      <c r="G514" s="49" t="s">
        <v>79</v>
      </c>
      <c r="H514" s="10">
        <v>0</v>
      </c>
      <c r="I514" s="92">
        <v>70</v>
      </c>
      <c r="J514" s="69">
        <v>70</v>
      </c>
      <c r="K514" s="55" t="s">
        <v>346</v>
      </c>
      <c r="L514" s="99">
        <v>0.38333333333333336</v>
      </c>
      <c r="M514" s="50">
        <v>70</v>
      </c>
      <c r="N514" s="102"/>
      <c r="O514" s="105"/>
      <c r="P514" s="92" t="s">
        <v>20</v>
      </c>
    </row>
    <row r="515" spans="1:16" ht="15" customHeight="1">
      <c r="A515" s="28">
        <v>8</v>
      </c>
      <c r="B515" s="32">
        <v>45880</v>
      </c>
      <c r="C515" s="36" t="s">
        <v>725</v>
      </c>
      <c r="D515" s="43">
        <v>1</v>
      </c>
      <c r="E515" s="48" t="s">
        <v>26</v>
      </c>
      <c r="F515" s="48" t="s">
        <v>555</v>
      </c>
      <c r="G515" s="49">
        <v>10</v>
      </c>
      <c r="H515" s="10">
        <v>10</v>
      </c>
      <c r="I515" s="52">
        <v>20</v>
      </c>
      <c r="J515" s="10">
        <v>20</v>
      </c>
      <c r="K515" s="55" t="s">
        <v>346</v>
      </c>
      <c r="L515" s="57">
        <v>0.8</v>
      </c>
      <c r="M515" s="50">
        <v>10</v>
      </c>
      <c r="N515" s="64"/>
      <c r="O515" s="50"/>
      <c r="P515" s="52" t="s">
        <v>20</v>
      </c>
    </row>
    <row r="516" spans="1:16" ht="15" customHeight="1">
      <c r="A516" s="28">
        <v>8</v>
      </c>
      <c r="B516" s="32">
        <v>45881</v>
      </c>
      <c r="C516" s="36" t="s">
        <v>762</v>
      </c>
      <c r="D516" s="43">
        <v>1</v>
      </c>
      <c r="E516" s="48" t="s">
        <v>26</v>
      </c>
      <c r="F516" s="48" t="s">
        <v>555</v>
      </c>
      <c r="G516" s="49">
        <v>3.5</v>
      </c>
      <c r="H516" s="10">
        <v>3.5</v>
      </c>
      <c r="I516" s="52">
        <v>8</v>
      </c>
      <c r="J516" s="10">
        <v>8</v>
      </c>
      <c r="K516" s="55" t="s">
        <v>346</v>
      </c>
      <c r="L516" s="57">
        <v>0.5</v>
      </c>
      <c r="M516" s="50">
        <v>4.5</v>
      </c>
      <c r="N516" s="64"/>
      <c r="O516" s="50"/>
      <c r="P516" s="52" t="s">
        <v>20</v>
      </c>
    </row>
    <row r="517" spans="1:16" ht="15" customHeight="1">
      <c r="A517" s="28">
        <v>8</v>
      </c>
      <c r="B517" s="32">
        <v>45881</v>
      </c>
      <c r="C517" s="36" t="s">
        <v>763</v>
      </c>
      <c r="D517" s="43">
        <v>1</v>
      </c>
      <c r="E517" s="48" t="s">
        <v>26</v>
      </c>
      <c r="F517" s="48" t="s">
        <v>555</v>
      </c>
      <c r="G517" s="49">
        <v>5</v>
      </c>
      <c r="H517" s="10">
        <v>5</v>
      </c>
      <c r="I517" s="52">
        <v>10</v>
      </c>
      <c r="J517" s="10">
        <v>10</v>
      </c>
      <c r="K517" s="55" t="s">
        <v>346</v>
      </c>
      <c r="L517" s="57">
        <v>0.66666666666666663</v>
      </c>
      <c r="M517" s="50">
        <v>5</v>
      </c>
      <c r="N517" s="64"/>
      <c r="O517" s="50"/>
      <c r="P517" s="52" t="s">
        <v>20</v>
      </c>
    </row>
    <row r="518" spans="1:16" ht="15" customHeight="1">
      <c r="A518" s="28">
        <v>8</v>
      </c>
      <c r="B518" s="32">
        <v>45882</v>
      </c>
      <c r="C518" s="36" t="s">
        <v>725</v>
      </c>
      <c r="D518" s="43">
        <v>7</v>
      </c>
      <c r="E518" s="48" t="s">
        <v>26</v>
      </c>
      <c r="F518" s="48" t="s">
        <v>555</v>
      </c>
      <c r="G518" s="49">
        <v>10</v>
      </c>
      <c r="H518" s="10">
        <v>70</v>
      </c>
      <c r="I518" s="52">
        <v>20</v>
      </c>
      <c r="J518" s="10">
        <v>140</v>
      </c>
      <c r="K518" s="55" t="s">
        <v>346</v>
      </c>
      <c r="L518" s="57">
        <v>0.92999999999999994</v>
      </c>
      <c r="M518" s="50">
        <v>70</v>
      </c>
      <c r="N518" s="64"/>
      <c r="O518" s="50"/>
      <c r="P518" s="52" t="s">
        <v>20</v>
      </c>
    </row>
    <row r="519" spans="1:16" ht="15" customHeight="1">
      <c r="A519" s="28">
        <v>8</v>
      </c>
      <c r="B519" s="32">
        <v>45882</v>
      </c>
      <c r="C519" s="36" t="s">
        <v>764</v>
      </c>
      <c r="D519" s="43">
        <v>2</v>
      </c>
      <c r="E519" s="48" t="s">
        <v>26</v>
      </c>
      <c r="F519" s="48" t="s">
        <v>555</v>
      </c>
      <c r="G519" s="49">
        <v>2.4166666666666665</v>
      </c>
      <c r="H519" s="10">
        <v>4.833333333333333</v>
      </c>
      <c r="I519" s="52">
        <v>5</v>
      </c>
      <c r="J519" s="10">
        <v>10</v>
      </c>
      <c r="K519" s="55" t="s">
        <v>346</v>
      </c>
      <c r="L519" s="57">
        <v>0.25</v>
      </c>
      <c r="M519" s="50">
        <v>5.166666666666667</v>
      </c>
      <c r="N519" s="64"/>
      <c r="O519" s="50"/>
      <c r="P519" s="52" t="s">
        <v>20</v>
      </c>
    </row>
    <row r="520" spans="1:16" ht="15" customHeight="1">
      <c r="A520" s="28">
        <v>8</v>
      </c>
      <c r="B520" s="32">
        <v>45882</v>
      </c>
      <c r="C520" s="36" t="s">
        <v>334</v>
      </c>
      <c r="D520" s="43">
        <v>5</v>
      </c>
      <c r="E520" s="48" t="s">
        <v>747</v>
      </c>
      <c r="F520" s="48" t="s">
        <v>555</v>
      </c>
      <c r="G520" s="49">
        <v>0.05</v>
      </c>
      <c r="H520" s="10">
        <v>0.25</v>
      </c>
      <c r="I520" s="52">
        <v>1</v>
      </c>
      <c r="J520" s="10">
        <v>5</v>
      </c>
      <c r="K520" s="55" t="s">
        <v>346</v>
      </c>
      <c r="L520" s="57">
        <v>0.92999999999999994</v>
      </c>
      <c r="M520" s="50">
        <v>4.75</v>
      </c>
      <c r="N520" s="64"/>
      <c r="O520" s="50"/>
      <c r="P520" s="52" t="s">
        <v>20</v>
      </c>
    </row>
    <row r="521" spans="1:16" ht="15" customHeight="1">
      <c r="A521" s="73">
        <v>8</v>
      </c>
      <c r="B521" s="76">
        <v>45883</v>
      </c>
      <c r="C521" s="79" t="s">
        <v>700</v>
      </c>
      <c r="D521" s="84">
        <v>1</v>
      </c>
      <c r="E521" s="87" t="s">
        <v>400</v>
      </c>
      <c r="F521" s="87" t="s">
        <v>555</v>
      </c>
      <c r="G521" s="90">
        <v>2.5</v>
      </c>
      <c r="H521" s="10">
        <v>2.5</v>
      </c>
      <c r="I521" s="92">
        <v>5</v>
      </c>
      <c r="J521" s="69">
        <v>5</v>
      </c>
      <c r="K521" s="55" t="s">
        <v>346</v>
      </c>
      <c r="L521" s="99">
        <v>0.7</v>
      </c>
      <c r="M521" s="50">
        <v>2.5</v>
      </c>
      <c r="N521" s="102"/>
      <c r="O521" s="105"/>
      <c r="P521" s="92" t="s">
        <v>20</v>
      </c>
    </row>
    <row r="522" spans="1:16" ht="15" customHeight="1">
      <c r="A522" s="28">
        <v>8</v>
      </c>
      <c r="B522" s="32">
        <v>45883</v>
      </c>
      <c r="C522" s="36" t="s">
        <v>697</v>
      </c>
      <c r="D522" s="43">
        <v>1</v>
      </c>
      <c r="E522" s="48" t="s">
        <v>765</v>
      </c>
      <c r="F522" s="48" t="s">
        <v>555</v>
      </c>
      <c r="G522" s="49" t="s">
        <v>79</v>
      </c>
      <c r="H522" s="10">
        <v>0</v>
      </c>
      <c r="I522" s="52">
        <v>20</v>
      </c>
      <c r="J522" s="10">
        <v>20</v>
      </c>
      <c r="K522" s="55" t="s">
        <v>346</v>
      </c>
      <c r="L522" s="57">
        <v>0.6</v>
      </c>
      <c r="M522" s="50">
        <v>20</v>
      </c>
      <c r="N522" s="64"/>
      <c r="O522" s="50"/>
      <c r="P522" s="52" t="s">
        <v>20</v>
      </c>
    </row>
    <row r="523" spans="1:16" ht="15" customHeight="1">
      <c r="A523" s="28">
        <v>8</v>
      </c>
      <c r="B523" s="32">
        <v>45883</v>
      </c>
      <c r="C523" s="36" t="s">
        <v>323</v>
      </c>
      <c r="D523" s="43">
        <v>2</v>
      </c>
      <c r="E523" s="48" t="s">
        <v>765</v>
      </c>
      <c r="F523" s="48" t="s">
        <v>555</v>
      </c>
      <c r="G523" s="49">
        <v>7.0000000000000007E-2</v>
      </c>
      <c r="H523" s="10">
        <v>0.14000000000000001</v>
      </c>
      <c r="I523" s="52">
        <v>1</v>
      </c>
      <c r="J523" s="10">
        <v>2</v>
      </c>
      <c r="K523" s="55" t="s">
        <v>346</v>
      </c>
      <c r="L523" s="57">
        <v>0.7</v>
      </c>
      <c r="M523" s="50">
        <v>1.8599999999999999</v>
      </c>
      <c r="N523" s="64"/>
      <c r="O523" s="50"/>
      <c r="P523" s="52" t="s">
        <v>20</v>
      </c>
    </row>
    <row r="524" spans="1:16" ht="15" customHeight="1">
      <c r="A524" s="28">
        <v>8</v>
      </c>
      <c r="B524" s="32">
        <v>45883</v>
      </c>
      <c r="C524" s="36" t="s">
        <v>764</v>
      </c>
      <c r="D524" s="43">
        <v>2</v>
      </c>
      <c r="E524" s="48" t="s">
        <v>662</v>
      </c>
      <c r="F524" s="48" t="s">
        <v>555</v>
      </c>
      <c r="G524" s="49">
        <v>2.4166666666666665</v>
      </c>
      <c r="H524" s="10">
        <v>4.833333333333333</v>
      </c>
      <c r="I524" s="52">
        <v>5</v>
      </c>
      <c r="J524" s="10">
        <v>10</v>
      </c>
      <c r="K524" s="55" t="s">
        <v>346</v>
      </c>
      <c r="L524" s="57">
        <v>0.33333333333333331</v>
      </c>
      <c r="M524" s="50">
        <v>5.166666666666667</v>
      </c>
      <c r="N524" s="64"/>
      <c r="O524" s="50"/>
      <c r="P524" s="52" t="s">
        <v>20</v>
      </c>
    </row>
    <row r="525" spans="1:16" ht="15" customHeight="1">
      <c r="A525" s="28">
        <v>8</v>
      </c>
      <c r="B525" s="32">
        <v>45883</v>
      </c>
      <c r="C525" s="36" t="s">
        <v>764</v>
      </c>
      <c r="D525" s="43">
        <v>1</v>
      </c>
      <c r="E525" s="48"/>
      <c r="F525" s="48" t="s">
        <v>555</v>
      </c>
      <c r="G525" s="49">
        <v>2.4166666666666665</v>
      </c>
      <c r="H525" s="10">
        <v>2.4166666666666665</v>
      </c>
      <c r="I525" s="52">
        <v>5</v>
      </c>
      <c r="J525" s="10">
        <v>5</v>
      </c>
      <c r="K525" s="55" t="s">
        <v>346</v>
      </c>
      <c r="L525" s="57">
        <v>0.92999999999999994</v>
      </c>
      <c r="M525" s="50">
        <v>2.5833333333333335</v>
      </c>
      <c r="N525" s="64"/>
      <c r="O525" s="50"/>
      <c r="P525" s="52" t="s">
        <v>20</v>
      </c>
    </row>
    <row r="526" spans="1:16" ht="15" customHeight="1">
      <c r="A526" s="28">
        <v>8</v>
      </c>
      <c r="B526" s="32">
        <v>45883</v>
      </c>
      <c r="C526" s="36" t="s">
        <v>323</v>
      </c>
      <c r="D526" s="43">
        <v>10</v>
      </c>
      <c r="E526" s="48" t="s">
        <v>26</v>
      </c>
      <c r="F526" s="48" t="s">
        <v>555</v>
      </c>
      <c r="G526" s="49">
        <v>7.0000000000000007E-2</v>
      </c>
      <c r="H526" s="10">
        <v>0.70000000000000007</v>
      </c>
      <c r="I526" s="52">
        <v>1</v>
      </c>
      <c r="J526" s="10">
        <v>10</v>
      </c>
      <c r="K526" s="55" t="s">
        <v>346</v>
      </c>
      <c r="L526" s="57">
        <v>0.46666666666666667</v>
      </c>
      <c r="M526" s="50">
        <v>9.3000000000000007</v>
      </c>
      <c r="N526" s="64"/>
      <c r="O526" s="50"/>
      <c r="P526" s="52" t="s">
        <v>20</v>
      </c>
    </row>
    <row r="527" spans="1:16" ht="15" customHeight="1">
      <c r="A527" s="28">
        <v>8</v>
      </c>
      <c r="B527" s="32">
        <v>45884</v>
      </c>
      <c r="C527" s="36" t="s">
        <v>764</v>
      </c>
      <c r="D527" s="43">
        <v>1</v>
      </c>
      <c r="E527" s="48" t="s">
        <v>650</v>
      </c>
      <c r="F527" s="48" t="s">
        <v>555</v>
      </c>
      <c r="G527" s="49">
        <v>2.4166666666666665</v>
      </c>
      <c r="H527" s="10">
        <v>2.4166666666666665</v>
      </c>
      <c r="I527" s="52">
        <v>5</v>
      </c>
      <c r="J527" s="10">
        <v>5</v>
      </c>
      <c r="K527" s="55" t="s">
        <v>346</v>
      </c>
      <c r="L527" s="57">
        <v>0.3</v>
      </c>
      <c r="M527" s="50">
        <v>2.5833333333333335</v>
      </c>
      <c r="N527" s="64"/>
      <c r="O527" s="50"/>
      <c r="P527" s="52" t="s">
        <v>20</v>
      </c>
    </row>
    <row r="528" spans="1:16" ht="15" customHeight="1">
      <c r="A528" s="73">
        <v>8</v>
      </c>
      <c r="B528" s="76">
        <v>45884</v>
      </c>
      <c r="C528" s="79" t="s">
        <v>766</v>
      </c>
      <c r="D528" s="84">
        <v>3</v>
      </c>
      <c r="E528" s="87" t="s">
        <v>767</v>
      </c>
      <c r="F528" s="87" t="s">
        <v>555</v>
      </c>
      <c r="G528" s="90">
        <v>2.5</v>
      </c>
      <c r="H528" s="10">
        <v>7.5</v>
      </c>
      <c r="I528" s="92">
        <v>5</v>
      </c>
      <c r="J528" s="69">
        <v>15</v>
      </c>
      <c r="K528" s="55" t="s">
        <v>346</v>
      </c>
      <c r="L528" s="99">
        <v>0.9</v>
      </c>
      <c r="M528" s="50">
        <v>7.5</v>
      </c>
      <c r="N528" s="102"/>
      <c r="O528" s="105"/>
      <c r="P528" s="92" t="s">
        <v>20</v>
      </c>
    </row>
    <row r="529" spans="1:16" ht="15" customHeight="1">
      <c r="A529" s="28">
        <v>8</v>
      </c>
      <c r="B529" s="32">
        <v>45884</v>
      </c>
      <c r="C529" s="36" t="s">
        <v>764</v>
      </c>
      <c r="D529" s="43">
        <v>1</v>
      </c>
      <c r="E529" s="48" t="s">
        <v>650</v>
      </c>
      <c r="F529" s="48" t="s">
        <v>555</v>
      </c>
      <c r="G529" s="49">
        <v>2.4166666666666665</v>
      </c>
      <c r="H529" s="10">
        <v>2.4166666666666665</v>
      </c>
      <c r="I529" s="52">
        <v>5</v>
      </c>
      <c r="J529" s="10">
        <v>5</v>
      </c>
      <c r="K529" s="55" t="s">
        <v>346</v>
      </c>
      <c r="L529" s="57">
        <v>0.66666666666666663</v>
      </c>
      <c r="M529" s="50">
        <v>2.5833333333333335</v>
      </c>
      <c r="N529" s="64"/>
      <c r="O529" s="50"/>
      <c r="P529" s="52" t="s">
        <v>20</v>
      </c>
    </row>
    <row r="530" spans="1:16" ht="15" customHeight="1">
      <c r="A530" s="28">
        <v>8</v>
      </c>
      <c r="B530" s="32">
        <v>45884</v>
      </c>
      <c r="C530" s="36" t="s">
        <v>321</v>
      </c>
      <c r="D530" s="43">
        <v>1</v>
      </c>
      <c r="E530" s="48" t="s">
        <v>26</v>
      </c>
      <c r="F530" s="48" t="s">
        <v>555</v>
      </c>
      <c r="G530" s="49">
        <v>3</v>
      </c>
      <c r="H530" s="10">
        <v>3</v>
      </c>
      <c r="I530" s="52">
        <v>15</v>
      </c>
      <c r="J530" s="10">
        <v>15</v>
      </c>
      <c r="K530" s="55" t="s">
        <v>346</v>
      </c>
      <c r="L530" s="57">
        <v>0.66666666666666663</v>
      </c>
      <c r="M530" s="50">
        <v>12</v>
      </c>
      <c r="N530" s="64"/>
      <c r="O530" s="50"/>
      <c r="P530" s="52" t="s">
        <v>20</v>
      </c>
    </row>
    <row r="531" spans="1:16" ht="15" customHeight="1">
      <c r="A531" s="28">
        <v>8</v>
      </c>
      <c r="B531" s="32">
        <v>45884</v>
      </c>
      <c r="C531" s="36" t="s">
        <v>321</v>
      </c>
      <c r="D531" s="43">
        <v>1</v>
      </c>
      <c r="E531" s="48" t="s">
        <v>747</v>
      </c>
      <c r="F531" s="48" t="s">
        <v>555</v>
      </c>
      <c r="G531" s="49">
        <v>3</v>
      </c>
      <c r="H531" s="10">
        <v>3</v>
      </c>
      <c r="I531" s="52">
        <v>15</v>
      </c>
      <c r="J531" s="10">
        <v>15</v>
      </c>
      <c r="K531" s="55" t="s">
        <v>346</v>
      </c>
      <c r="L531" s="57">
        <v>0.5</v>
      </c>
      <c r="M531" s="50">
        <v>12</v>
      </c>
      <c r="N531" s="64"/>
      <c r="O531" s="50"/>
      <c r="P531" s="52" t="s">
        <v>20</v>
      </c>
    </row>
    <row r="532" spans="1:16" ht="15" customHeight="1">
      <c r="A532" s="28">
        <v>8</v>
      </c>
      <c r="B532" s="32">
        <v>45884</v>
      </c>
      <c r="C532" s="36" t="s">
        <v>768</v>
      </c>
      <c r="D532" s="43">
        <v>1</v>
      </c>
      <c r="E532" s="48" t="s">
        <v>239</v>
      </c>
      <c r="F532" s="48" t="s">
        <v>555</v>
      </c>
      <c r="G532" s="49">
        <v>10</v>
      </c>
      <c r="H532" s="10">
        <v>10</v>
      </c>
      <c r="I532" s="52">
        <v>15</v>
      </c>
      <c r="J532" s="10">
        <v>15</v>
      </c>
      <c r="K532" s="55" t="s">
        <v>346</v>
      </c>
      <c r="L532" s="57">
        <v>0.93526670119109268</v>
      </c>
      <c r="M532" s="50">
        <v>5</v>
      </c>
      <c r="N532" s="64"/>
      <c r="O532" s="50"/>
      <c r="P532" s="52" t="s">
        <v>20</v>
      </c>
    </row>
    <row r="533" spans="1:16" ht="15" customHeight="1">
      <c r="A533" s="28">
        <v>8</v>
      </c>
      <c r="B533" s="32">
        <v>45885</v>
      </c>
      <c r="C533" s="36" t="s">
        <v>388</v>
      </c>
      <c r="D533" s="43">
        <v>4</v>
      </c>
      <c r="E533" s="48" t="s">
        <v>26</v>
      </c>
      <c r="F533" s="48" t="s">
        <v>555</v>
      </c>
      <c r="G533" s="49">
        <v>2.5</v>
      </c>
      <c r="H533" s="10">
        <v>10</v>
      </c>
      <c r="I533" s="52">
        <v>5</v>
      </c>
      <c r="J533" s="10">
        <v>20</v>
      </c>
      <c r="K533" s="55" t="s">
        <v>346</v>
      </c>
      <c r="L533" s="57">
        <v>0.74545454545454548</v>
      </c>
      <c r="M533" s="50">
        <v>10</v>
      </c>
      <c r="N533" s="64"/>
      <c r="O533" s="50"/>
      <c r="P533" s="52" t="s">
        <v>20</v>
      </c>
    </row>
    <row r="534" spans="1:16" ht="15" customHeight="1">
      <c r="A534" s="28">
        <v>8</v>
      </c>
      <c r="B534" s="32">
        <v>45885</v>
      </c>
      <c r="C534" s="36" t="s">
        <v>764</v>
      </c>
      <c r="D534" s="43">
        <v>1</v>
      </c>
      <c r="E534" s="48" t="s">
        <v>769</v>
      </c>
      <c r="F534" s="48" t="s">
        <v>555</v>
      </c>
      <c r="G534" s="49">
        <v>2.4166666666666665</v>
      </c>
      <c r="H534" s="10">
        <v>2.4166666666666665</v>
      </c>
      <c r="I534" s="52">
        <v>4</v>
      </c>
      <c r="J534" s="10">
        <v>4</v>
      </c>
      <c r="K534" s="55" t="s">
        <v>346</v>
      </c>
      <c r="L534" s="57">
        <v>0.57983193277310918</v>
      </c>
      <c r="M534" s="50">
        <v>1.5833333333333335</v>
      </c>
      <c r="N534" s="64"/>
      <c r="O534" s="50"/>
      <c r="P534" s="52" t="s">
        <v>20</v>
      </c>
    </row>
    <row r="535" spans="1:16" ht="15" customHeight="1">
      <c r="A535" s="73">
        <v>8</v>
      </c>
      <c r="B535" s="76">
        <v>45885</v>
      </c>
      <c r="C535" s="79" t="s">
        <v>764</v>
      </c>
      <c r="D535" s="84">
        <v>2</v>
      </c>
      <c r="E535" s="87" t="s">
        <v>650</v>
      </c>
      <c r="F535" s="87" t="s">
        <v>555</v>
      </c>
      <c r="G535" s="90">
        <v>2.4166666666666665</v>
      </c>
      <c r="H535" s="10">
        <v>4.833333333333333</v>
      </c>
      <c r="I535" s="92">
        <v>5</v>
      </c>
      <c r="J535" s="69">
        <v>10</v>
      </c>
      <c r="K535" s="55" t="s">
        <v>346</v>
      </c>
      <c r="L535" s="99">
        <v>0.23575129533678757</v>
      </c>
      <c r="M535" s="50">
        <v>5.166666666666667</v>
      </c>
      <c r="N535" s="102"/>
      <c r="O535" s="105"/>
      <c r="P535" s="92" t="s">
        <v>20</v>
      </c>
    </row>
    <row r="536" spans="1:16" ht="15" customHeight="1">
      <c r="A536" s="28">
        <v>8</v>
      </c>
      <c r="B536" s="32">
        <v>45885</v>
      </c>
      <c r="C536" s="36" t="s">
        <v>764</v>
      </c>
      <c r="D536" s="43">
        <v>1</v>
      </c>
      <c r="E536" s="48" t="s">
        <v>26</v>
      </c>
      <c r="F536" s="48" t="s">
        <v>555</v>
      </c>
      <c r="G536" s="49">
        <v>2.4166666666666665</v>
      </c>
      <c r="H536" s="10">
        <v>2.4166666666666665</v>
      </c>
      <c r="I536" s="52">
        <v>7</v>
      </c>
      <c r="J536" s="10">
        <v>7</v>
      </c>
      <c r="K536" s="55" t="s">
        <v>346</v>
      </c>
      <c r="L536" s="57">
        <v>0.24406047516198703</v>
      </c>
      <c r="M536" s="50">
        <v>4.5833333333333339</v>
      </c>
      <c r="N536" s="64"/>
      <c r="O536" s="50"/>
      <c r="P536" s="52" t="s">
        <v>20</v>
      </c>
    </row>
    <row r="537" spans="1:16" ht="15" customHeight="1">
      <c r="A537" s="28">
        <v>8</v>
      </c>
      <c r="B537" s="32">
        <v>45885</v>
      </c>
      <c r="C537" s="36" t="s">
        <v>321</v>
      </c>
      <c r="D537" s="43">
        <v>1</v>
      </c>
      <c r="E537" s="48" t="s">
        <v>770</v>
      </c>
      <c r="F537" s="48" t="s">
        <v>555</v>
      </c>
      <c r="G537" s="49">
        <v>3</v>
      </c>
      <c r="H537" s="10">
        <v>3</v>
      </c>
      <c r="I537" s="52">
        <v>10</v>
      </c>
      <c r="J537" s="10">
        <v>10</v>
      </c>
      <c r="K537" s="55" t="s">
        <v>346</v>
      </c>
      <c r="L537" s="57">
        <v>0.42105263157894735</v>
      </c>
      <c r="M537" s="50">
        <v>7</v>
      </c>
      <c r="N537" s="64"/>
      <c r="O537" s="50"/>
      <c r="P537" s="52" t="s">
        <v>20</v>
      </c>
    </row>
    <row r="538" spans="1:16" ht="15" customHeight="1">
      <c r="A538" s="28">
        <v>8</v>
      </c>
      <c r="B538" s="32">
        <v>45888</v>
      </c>
      <c r="C538" s="36" t="s">
        <v>269</v>
      </c>
      <c r="D538" s="43">
        <v>1</v>
      </c>
      <c r="E538" s="48" t="s">
        <v>26</v>
      </c>
      <c r="F538" s="48" t="s">
        <v>555</v>
      </c>
      <c r="G538" s="49">
        <v>18</v>
      </c>
      <c r="H538" s="10">
        <v>18</v>
      </c>
      <c r="I538" s="52">
        <v>35</v>
      </c>
      <c r="J538" s="10">
        <v>35</v>
      </c>
      <c r="K538" s="55" t="s">
        <v>346</v>
      </c>
      <c r="L538" s="57">
        <v>0.25239234449760761</v>
      </c>
      <c r="M538" s="50">
        <v>17</v>
      </c>
      <c r="N538" s="64"/>
      <c r="O538" s="50"/>
      <c r="P538" s="52" t="s">
        <v>20</v>
      </c>
    </row>
    <row r="539" spans="1:16" ht="15" customHeight="1">
      <c r="A539" s="28">
        <v>8</v>
      </c>
      <c r="B539" s="32">
        <v>45888</v>
      </c>
      <c r="C539" s="36" t="s">
        <v>738</v>
      </c>
      <c r="D539" s="43">
        <v>1</v>
      </c>
      <c r="E539" s="48" t="s">
        <v>26</v>
      </c>
      <c r="F539" s="48" t="s">
        <v>555</v>
      </c>
      <c r="G539" s="49">
        <v>0.4</v>
      </c>
      <c r="H539" s="10">
        <v>0.4</v>
      </c>
      <c r="I539" s="52">
        <v>2</v>
      </c>
      <c r="J539" s="10">
        <v>2</v>
      </c>
      <c r="K539" s="55" t="s">
        <v>346</v>
      </c>
      <c r="L539" s="57">
        <v>0.28078250863060994</v>
      </c>
      <c r="M539" s="50">
        <v>1.6</v>
      </c>
      <c r="N539" s="64"/>
      <c r="O539" s="50"/>
      <c r="P539" s="52" t="s">
        <v>20</v>
      </c>
    </row>
    <row r="540" spans="1:16" ht="15" customHeight="1">
      <c r="A540" s="28">
        <v>8</v>
      </c>
      <c r="B540" s="32">
        <v>45888</v>
      </c>
      <c r="C540" s="36" t="s">
        <v>323</v>
      </c>
      <c r="D540" s="43">
        <v>10</v>
      </c>
      <c r="E540" s="48" t="s">
        <v>26</v>
      </c>
      <c r="F540" s="48" t="s">
        <v>555</v>
      </c>
      <c r="G540" s="49">
        <v>7.0000000000000007E-2</v>
      </c>
      <c r="H540" s="10">
        <v>0.70000000000000007</v>
      </c>
      <c r="I540" s="52">
        <v>1</v>
      </c>
      <c r="J540" s="10">
        <v>10</v>
      </c>
      <c r="K540" s="55" t="s">
        <v>346</v>
      </c>
      <c r="L540" s="57">
        <v>0.17763157894736842</v>
      </c>
      <c r="M540" s="50">
        <v>9.3000000000000007</v>
      </c>
      <c r="N540" s="64"/>
      <c r="O540" s="50"/>
      <c r="P540" s="52" t="s">
        <v>20</v>
      </c>
    </row>
    <row r="541" spans="1:16" ht="15" customHeight="1">
      <c r="A541" s="28">
        <v>8</v>
      </c>
      <c r="B541" s="32">
        <v>45889</v>
      </c>
      <c r="C541" s="36" t="s">
        <v>323</v>
      </c>
      <c r="D541" s="43">
        <v>2</v>
      </c>
      <c r="E541" s="48" t="s">
        <v>26</v>
      </c>
      <c r="F541" s="48" t="s">
        <v>555</v>
      </c>
      <c r="G541" s="49">
        <v>7.0000000000000007E-2</v>
      </c>
      <c r="H541" s="10">
        <v>0.14000000000000001</v>
      </c>
      <c r="I541" s="52">
        <v>1</v>
      </c>
      <c r="J541" s="10">
        <v>2</v>
      </c>
      <c r="K541" s="55" t="s">
        <v>346</v>
      </c>
      <c r="L541" s="57">
        <v>5.6158565361019402E-2</v>
      </c>
      <c r="M541" s="50">
        <v>1.8599999999999999</v>
      </c>
      <c r="N541" s="64"/>
      <c r="O541" s="50"/>
      <c r="P541" s="52" t="s">
        <v>20</v>
      </c>
    </row>
    <row r="542" spans="1:16" ht="15" customHeight="1">
      <c r="A542" s="73">
        <v>8</v>
      </c>
      <c r="B542" s="76">
        <v>45889</v>
      </c>
      <c r="C542" s="79" t="s">
        <v>738</v>
      </c>
      <c r="D542" s="84">
        <v>3</v>
      </c>
      <c r="E542" s="87" t="s">
        <v>26</v>
      </c>
      <c r="F542" s="87" t="s">
        <v>555</v>
      </c>
      <c r="G542" s="90">
        <v>0.4</v>
      </c>
      <c r="H542" s="10">
        <v>1.2000000000000002</v>
      </c>
      <c r="I542" s="92">
        <v>2</v>
      </c>
      <c r="J542" s="69">
        <v>6</v>
      </c>
      <c r="K542" s="55" t="s">
        <v>346</v>
      </c>
      <c r="L542" s="99">
        <v>0.3980738362760835</v>
      </c>
      <c r="M542" s="50">
        <v>4.8</v>
      </c>
      <c r="N542" s="102"/>
      <c r="O542" s="105"/>
      <c r="P542" s="92" t="s">
        <v>20</v>
      </c>
    </row>
    <row r="543" spans="1:16" ht="15" customHeight="1">
      <c r="A543" s="28">
        <v>8</v>
      </c>
      <c r="B543" s="32">
        <v>45889</v>
      </c>
      <c r="C543" s="36" t="s">
        <v>739</v>
      </c>
      <c r="D543" s="43">
        <v>1</v>
      </c>
      <c r="E543" s="48" t="s">
        <v>26</v>
      </c>
      <c r="F543" s="48" t="s">
        <v>555</v>
      </c>
      <c r="G543" s="49">
        <v>2.5</v>
      </c>
      <c r="H543" s="10">
        <v>2.5</v>
      </c>
      <c r="I543" s="52">
        <v>5</v>
      </c>
      <c r="J543" s="10">
        <v>5</v>
      </c>
      <c r="K543" s="55" t="s">
        <v>346</v>
      </c>
      <c r="L543" s="57">
        <v>0.32340862422997946</v>
      </c>
      <c r="M543" s="50">
        <v>2.5</v>
      </c>
      <c r="N543" s="64"/>
      <c r="O543" s="50"/>
      <c r="P543" s="52" t="s">
        <v>20</v>
      </c>
    </row>
    <row r="544" spans="1:16" ht="15" customHeight="1">
      <c r="A544" s="28">
        <v>8</v>
      </c>
      <c r="B544" s="32">
        <v>45889</v>
      </c>
      <c r="C544" s="36" t="s">
        <v>739</v>
      </c>
      <c r="D544" s="43">
        <v>1</v>
      </c>
      <c r="E544" s="48" t="s">
        <v>26</v>
      </c>
      <c r="F544" s="48" t="s">
        <v>555</v>
      </c>
      <c r="G544" s="49">
        <v>2.5</v>
      </c>
      <c r="H544" s="10">
        <v>2.5</v>
      </c>
      <c r="I544" s="52">
        <v>5</v>
      </c>
      <c r="J544" s="10">
        <v>5</v>
      </c>
      <c r="K544" s="55" t="s">
        <v>346</v>
      </c>
      <c r="L544" s="57">
        <v>0.65928449744463369</v>
      </c>
      <c r="M544" s="50">
        <v>2.5</v>
      </c>
      <c r="N544" s="64"/>
      <c r="O544" s="50"/>
      <c r="P544" s="52" t="s">
        <v>20</v>
      </c>
    </row>
    <row r="545" spans="1:16" ht="15" customHeight="1">
      <c r="A545" s="28">
        <v>8</v>
      </c>
      <c r="B545" s="32">
        <v>45889</v>
      </c>
      <c r="C545" s="36" t="s">
        <v>334</v>
      </c>
      <c r="D545" s="43">
        <v>3</v>
      </c>
      <c r="E545" s="48" t="s">
        <v>26</v>
      </c>
      <c r="F545" s="48" t="s">
        <v>555</v>
      </c>
      <c r="G545" s="49">
        <v>0.05</v>
      </c>
      <c r="H545" s="10">
        <v>0.15000000000000002</v>
      </c>
      <c r="I545" s="52">
        <v>0.5</v>
      </c>
      <c r="J545" s="10">
        <v>1.5</v>
      </c>
      <c r="K545" s="55" t="s">
        <v>346</v>
      </c>
      <c r="L545" s="57">
        <v>0.3980738362760835</v>
      </c>
      <c r="M545" s="50">
        <v>1.35</v>
      </c>
      <c r="N545" s="64"/>
      <c r="O545" s="50"/>
      <c r="P545" s="52" t="s">
        <v>20</v>
      </c>
    </row>
    <row r="546" spans="1:16" ht="15" customHeight="1">
      <c r="A546" s="73">
        <v>8</v>
      </c>
      <c r="B546" s="76">
        <v>45890</v>
      </c>
      <c r="C546" s="79" t="s">
        <v>334</v>
      </c>
      <c r="D546" s="84">
        <v>2</v>
      </c>
      <c r="E546" s="87" t="s">
        <v>26</v>
      </c>
      <c r="F546" s="87" t="s">
        <v>555</v>
      </c>
      <c r="G546" s="90">
        <v>0.05</v>
      </c>
      <c r="H546" s="10">
        <v>0.1</v>
      </c>
      <c r="I546" s="92">
        <v>0.5</v>
      </c>
      <c r="J546" s="69">
        <v>1</v>
      </c>
      <c r="K546" s="55" t="s">
        <v>346</v>
      </c>
      <c r="L546" s="99">
        <v>0.25</v>
      </c>
      <c r="M546" s="50">
        <v>0.9</v>
      </c>
      <c r="N546" s="102"/>
      <c r="O546" s="105"/>
      <c r="P546" s="92" t="s">
        <v>20</v>
      </c>
    </row>
    <row r="547" spans="1:16" ht="15" customHeight="1">
      <c r="A547" s="28">
        <v>8</v>
      </c>
      <c r="B547" s="32">
        <v>45890</v>
      </c>
      <c r="C547" s="36" t="s">
        <v>771</v>
      </c>
      <c r="D547" s="43">
        <v>1</v>
      </c>
      <c r="E547" s="48" t="s">
        <v>534</v>
      </c>
      <c r="F547" s="48" t="s">
        <v>555</v>
      </c>
      <c r="G547" s="49">
        <v>5</v>
      </c>
      <c r="H547" s="10">
        <v>5</v>
      </c>
      <c r="I547" s="52">
        <v>15</v>
      </c>
      <c r="J547" s="10">
        <v>15</v>
      </c>
      <c r="K547" s="55" t="s">
        <v>346</v>
      </c>
      <c r="L547" s="57">
        <v>1</v>
      </c>
      <c r="M547" s="50">
        <v>10</v>
      </c>
      <c r="N547" s="64"/>
      <c r="O547" s="50"/>
      <c r="P547" s="52" t="s">
        <v>20</v>
      </c>
    </row>
    <row r="548" spans="1:16" ht="15" customHeight="1">
      <c r="A548" s="28">
        <v>8</v>
      </c>
      <c r="B548" s="32">
        <v>45890</v>
      </c>
      <c r="C548" s="36" t="s">
        <v>764</v>
      </c>
      <c r="D548" s="43">
        <v>1</v>
      </c>
      <c r="E548" s="48" t="s">
        <v>26</v>
      </c>
      <c r="F548" s="48" t="s">
        <v>555</v>
      </c>
      <c r="G548" s="49">
        <v>2.4166666666666665</v>
      </c>
      <c r="H548" s="10">
        <v>2.4166666666666665</v>
      </c>
      <c r="I548" s="52">
        <v>7</v>
      </c>
      <c r="J548" s="10">
        <v>7</v>
      </c>
      <c r="K548" s="55" t="s">
        <v>346</v>
      </c>
      <c r="L548" s="57">
        <v>1</v>
      </c>
      <c r="M548" s="50">
        <v>4.5833333333333339</v>
      </c>
      <c r="N548" s="64"/>
      <c r="O548" s="50"/>
      <c r="P548" s="52" t="s">
        <v>20</v>
      </c>
    </row>
    <row r="549" spans="1:16" ht="15" customHeight="1">
      <c r="A549" s="28">
        <v>8</v>
      </c>
      <c r="B549" s="32">
        <v>45890</v>
      </c>
      <c r="C549" s="36" t="s">
        <v>321</v>
      </c>
      <c r="D549" s="43">
        <v>1</v>
      </c>
      <c r="E549" s="48" t="s">
        <v>26</v>
      </c>
      <c r="F549" s="48" t="s">
        <v>555</v>
      </c>
      <c r="G549" s="49">
        <v>3</v>
      </c>
      <c r="H549" s="10">
        <v>3</v>
      </c>
      <c r="I549" s="52">
        <v>15</v>
      </c>
      <c r="J549" s="10">
        <v>15</v>
      </c>
      <c r="K549" s="55" t="s">
        <v>346</v>
      </c>
      <c r="L549" s="57">
        <v>0.23857868020304568</v>
      </c>
      <c r="M549" s="50">
        <v>12</v>
      </c>
      <c r="N549" s="64"/>
      <c r="O549" s="50"/>
      <c r="P549" s="52" t="s">
        <v>20</v>
      </c>
    </row>
    <row r="550" spans="1:16" ht="15" customHeight="1">
      <c r="A550" s="28">
        <v>8</v>
      </c>
      <c r="B550" s="32">
        <v>45890</v>
      </c>
      <c r="C550" s="36" t="s">
        <v>760</v>
      </c>
      <c r="D550" s="43">
        <v>1</v>
      </c>
      <c r="E550" s="48" t="s">
        <v>26</v>
      </c>
      <c r="F550" s="48" t="s">
        <v>555</v>
      </c>
      <c r="G550" s="49">
        <v>4</v>
      </c>
      <c r="H550" s="10">
        <v>4</v>
      </c>
      <c r="I550" s="52">
        <v>15</v>
      </c>
      <c r="J550" s="10">
        <v>15</v>
      </c>
      <c r="K550" s="55" t="s">
        <v>346</v>
      </c>
      <c r="L550" s="57">
        <v>0.22320041429311233</v>
      </c>
      <c r="M550" s="50">
        <v>11</v>
      </c>
      <c r="N550" s="64"/>
      <c r="O550" s="50"/>
      <c r="P550" s="52" t="s">
        <v>20</v>
      </c>
    </row>
    <row r="551" spans="1:16" ht="15" customHeight="1">
      <c r="A551" s="28">
        <v>8</v>
      </c>
      <c r="B551" s="32">
        <v>45891</v>
      </c>
      <c r="C551" s="36" t="s">
        <v>738</v>
      </c>
      <c r="D551" s="43">
        <v>3</v>
      </c>
      <c r="E551" s="48" t="s">
        <v>772</v>
      </c>
      <c r="F551" s="48" t="s">
        <v>555</v>
      </c>
      <c r="G551" s="49">
        <v>0.4</v>
      </c>
      <c r="H551" s="10">
        <v>1.2000000000000002</v>
      </c>
      <c r="I551" s="52">
        <v>2</v>
      </c>
      <c r="J551" s="10">
        <v>6</v>
      </c>
      <c r="K551" s="55" t="s">
        <v>346</v>
      </c>
      <c r="L551" s="57">
        <v>0.53674832962138086</v>
      </c>
      <c r="M551" s="50">
        <v>4.8</v>
      </c>
      <c r="N551" s="64"/>
      <c r="O551" s="50"/>
      <c r="P551" s="52" t="s">
        <v>20</v>
      </c>
    </row>
    <row r="552" spans="1:16" ht="15" customHeight="1">
      <c r="A552" s="28">
        <v>8</v>
      </c>
      <c r="B552" s="32">
        <v>45891</v>
      </c>
      <c r="C552" s="36" t="s">
        <v>764</v>
      </c>
      <c r="D552" s="43">
        <v>2</v>
      </c>
      <c r="E552" s="48" t="s">
        <v>773</v>
      </c>
      <c r="F552" s="48" t="s">
        <v>555</v>
      </c>
      <c r="G552" s="49">
        <v>2.4166666666666665</v>
      </c>
      <c r="H552" s="10">
        <v>4.833333333333333</v>
      </c>
      <c r="I552" s="52">
        <v>5</v>
      </c>
      <c r="J552" s="10">
        <v>10</v>
      </c>
      <c r="K552" s="55" t="s">
        <v>346</v>
      </c>
      <c r="L552" s="57">
        <v>0.5</v>
      </c>
      <c r="M552" s="50">
        <v>5.166666666666667</v>
      </c>
      <c r="N552" s="64"/>
      <c r="O552" s="50"/>
      <c r="P552" s="52" t="s">
        <v>20</v>
      </c>
    </row>
    <row r="553" spans="1:16" ht="15" customHeight="1">
      <c r="A553" s="73">
        <v>8</v>
      </c>
      <c r="B553" s="76">
        <v>45891</v>
      </c>
      <c r="C553" s="79" t="s">
        <v>742</v>
      </c>
      <c r="D553" s="84">
        <v>1</v>
      </c>
      <c r="E553" s="87" t="s">
        <v>769</v>
      </c>
      <c r="F553" s="87" t="s">
        <v>555</v>
      </c>
      <c r="G553" s="90">
        <v>5</v>
      </c>
      <c r="H553" s="10">
        <v>5</v>
      </c>
      <c r="I553" s="92">
        <v>15</v>
      </c>
      <c r="J553" s="69">
        <v>15</v>
      </c>
      <c r="K553" s="55" t="s">
        <v>346</v>
      </c>
      <c r="L553" s="99">
        <v>0.93</v>
      </c>
      <c r="M553" s="50">
        <v>10</v>
      </c>
      <c r="N553" s="102"/>
      <c r="O553" s="105"/>
      <c r="P553" s="92" t="s">
        <v>20</v>
      </c>
    </row>
    <row r="554" spans="1:16" ht="15" customHeight="1">
      <c r="A554" s="28">
        <v>8</v>
      </c>
      <c r="B554" s="32">
        <v>45892</v>
      </c>
      <c r="C554" s="36" t="s">
        <v>764</v>
      </c>
      <c r="D554" s="43">
        <v>1</v>
      </c>
      <c r="E554" s="48" t="s">
        <v>774</v>
      </c>
      <c r="F554" s="48" t="s">
        <v>555</v>
      </c>
      <c r="G554" s="49">
        <v>2.4166666666666665</v>
      </c>
      <c r="H554" s="10">
        <v>2.4166666666666665</v>
      </c>
      <c r="I554" s="52">
        <v>5</v>
      </c>
      <c r="J554" s="10">
        <v>5</v>
      </c>
      <c r="K554" s="55" t="s">
        <v>346</v>
      </c>
      <c r="L554" s="57">
        <v>0.76</v>
      </c>
      <c r="M554" s="50">
        <v>2.5833333333333335</v>
      </c>
      <c r="N554" s="64"/>
      <c r="O554" s="50"/>
      <c r="P554" s="52" t="s">
        <v>20</v>
      </c>
    </row>
    <row r="555" spans="1:16" ht="15" customHeight="1">
      <c r="A555" s="28">
        <v>8</v>
      </c>
      <c r="B555" s="32">
        <v>45892</v>
      </c>
      <c r="C555" s="36" t="s">
        <v>775</v>
      </c>
      <c r="D555" s="43">
        <v>1</v>
      </c>
      <c r="E555" s="48" t="s">
        <v>776</v>
      </c>
      <c r="F555" s="48" t="s">
        <v>555</v>
      </c>
      <c r="G555" s="49">
        <v>5</v>
      </c>
      <c r="H555" s="10">
        <v>5</v>
      </c>
      <c r="I555" s="52">
        <v>10</v>
      </c>
      <c r="J555" s="10">
        <v>10</v>
      </c>
      <c r="K555" s="55" t="s">
        <v>346</v>
      </c>
      <c r="L555" s="57">
        <v>0.6</v>
      </c>
      <c r="M555" s="50">
        <v>5</v>
      </c>
      <c r="N555" s="64"/>
      <c r="O555" s="50"/>
      <c r="P555" s="52" t="s">
        <v>20</v>
      </c>
    </row>
    <row r="556" spans="1:16" ht="15" customHeight="1">
      <c r="A556" s="28">
        <v>8</v>
      </c>
      <c r="B556" s="32">
        <v>45892</v>
      </c>
      <c r="C556" s="36" t="s">
        <v>725</v>
      </c>
      <c r="D556" s="43">
        <v>3</v>
      </c>
      <c r="E556" s="48" t="s">
        <v>26</v>
      </c>
      <c r="F556" s="48" t="s">
        <v>555</v>
      </c>
      <c r="G556" s="49">
        <v>5</v>
      </c>
      <c r="H556" s="10">
        <v>15</v>
      </c>
      <c r="I556" s="52">
        <v>10</v>
      </c>
      <c r="J556" s="10">
        <v>30</v>
      </c>
      <c r="K556" s="55" t="s">
        <v>346</v>
      </c>
      <c r="L556" s="57">
        <v>1</v>
      </c>
      <c r="M556" s="50">
        <v>15</v>
      </c>
      <c r="N556" s="64"/>
      <c r="O556" s="50"/>
      <c r="P556" s="52" t="s">
        <v>20</v>
      </c>
    </row>
    <row r="557" spans="1:16" ht="15" customHeight="1">
      <c r="A557" s="28">
        <v>8</v>
      </c>
      <c r="B557" s="32">
        <v>45892</v>
      </c>
      <c r="C557" s="36" t="s">
        <v>764</v>
      </c>
      <c r="D557" s="43">
        <v>2</v>
      </c>
      <c r="E557" s="48" t="s">
        <v>773</v>
      </c>
      <c r="F557" s="48" t="s">
        <v>555</v>
      </c>
      <c r="G557" s="49">
        <v>2.4166666666666665</v>
      </c>
      <c r="H557" s="10">
        <v>4.833333333333333</v>
      </c>
      <c r="I557" s="52">
        <v>5</v>
      </c>
      <c r="J557" s="10">
        <v>10</v>
      </c>
      <c r="K557" s="55" t="s">
        <v>346</v>
      </c>
      <c r="L557" s="57">
        <v>0.5</v>
      </c>
      <c r="M557" s="50">
        <v>5.166666666666667</v>
      </c>
      <c r="N557" s="64"/>
      <c r="O557" s="50"/>
      <c r="P557" s="52" t="s">
        <v>20</v>
      </c>
    </row>
    <row r="558" spans="1:16" ht="15" customHeight="1">
      <c r="A558" s="28">
        <v>8</v>
      </c>
      <c r="B558" s="32">
        <v>45892</v>
      </c>
      <c r="C558" s="36" t="s">
        <v>775</v>
      </c>
      <c r="D558" s="43">
        <v>1</v>
      </c>
      <c r="E558" s="48" t="s">
        <v>776</v>
      </c>
      <c r="F558" s="48" t="s">
        <v>555</v>
      </c>
      <c r="G558" s="49">
        <v>5</v>
      </c>
      <c r="H558" s="10">
        <v>5</v>
      </c>
      <c r="I558" s="52">
        <v>10</v>
      </c>
      <c r="J558" s="10">
        <v>10</v>
      </c>
      <c r="K558" s="55" t="s">
        <v>346</v>
      </c>
      <c r="L558" s="57">
        <v>0.7</v>
      </c>
      <c r="M558" s="50">
        <v>5</v>
      </c>
      <c r="N558" s="64"/>
      <c r="O558" s="50"/>
      <c r="P558" s="52" t="s">
        <v>20</v>
      </c>
    </row>
    <row r="559" spans="1:16" ht="15" customHeight="1">
      <c r="A559" s="28">
        <v>8</v>
      </c>
      <c r="B559" s="32">
        <v>45894</v>
      </c>
      <c r="C559" s="36" t="s">
        <v>321</v>
      </c>
      <c r="D559" s="43">
        <v>1</v>
      </c>
      <c r="E559" s="48" t="s">
        <v>26</v>
      </c>
      <c r="F559" s="48" t="s">
        <v>555</v>
      </c>
      <c r="G559" s="49">
        <v>3</v>
      </c>
      <c r="H559" s="10">
        <v>3</v>
      </c>
      <c r="I559" s="52">
        <v>10</v>
      </c>
      <c r="J559" s="10">
        <v>10</v>
      </c>
      <c r="K559" s="55" t="s">
        <v>346</v>
      </c>
      <c r="L559" s="57">
        <v>0.5</v>
      </c>
      <c r="M559" s="50">
        <v>7</v>
      </c>
      <c r="N559" s="64"/>
      <c r="O559" s="50"/>
      <c r="P559" s="52" t="s">
        <v>20</v>
      </c>
    </row>
    <row r="560" spans="1:16" ht="15" customHeight="1">
      <c r="A560" s="73">
        <v>8</v>
      </c>
      <c r="B560" s="76">
        <v>45894</v>
      </c>
      <c r="C560" s="79" t="s">
        <v>214</v>
      </c>
      <c r="D560" s="84">
        <v>1</v>
      </c>
      <c r="E560" s="87" t="s">
        <v>26</v>
      </c>
      <c r="F560" s="87" t="s">
        <v>555</v>
      </c>
      <c r="G560" s="90">
        <v>7</v>
      </c>
      <c r="H560" s="10">
        <v>7</v>
      </c>
      <c r="I560" s="92">
        <v>15</v>
      </c>
      <c r="J560" s="69">
        <v>15</v>
      </c>
      <c r="K560" s="55" t="s">
        <v>346</v>
      </c>
      <c r="L560" s="99">
        <v>0.66666666666666663</v>
      </c>
      <c r="M560" s="50">
        <v>8</v>
      </c>
      <c r="N560" s="102"/>
      <c r="O560" s="105"/>
      <c r="P560" s="92" t="s">
        <v>20</v>
      </c>
    </row>
    <row r="561" spans="1:16" ht="15" customHeight="1">
      <c r="A561" s="28">
        <v>8</v>
      </c>
      <c r="B561" s="32">
        <v>45894</v>
      </c>
      <c r="C561" s="36" t="s">
        <v>323</v>
      </c>
      <c r="D561" s="43">
        <v>40</v>
      </c>
      <c r="E561" s="48" t="s">
        <v>26</v>
      </c>
      <c r="F561" s="48" t="s">
        <v>555</v>
      </c>
      <c r="G561" s="49">
        <v>7.0000000000000007E-2</v>
      </c>
      <c r="H561" s="10">
        <v>2.8000000000000003</v>
      </c>
      <c r="I561" s="52">
        <v>1</v>
      </c>
      <c r="J561" s="10">
        <v>40</v>
      </c>
      <c r="K561" s="55" t="s">
        <v>346</v>
      </c>
      <c r="L561" s="57">
        <v>0.18247220405493783</v>
      </c>
      <c r="M561" s="50">
        <v>37.200000000000003</v>
      </c>
      <c r="N561" s="64"/>
      <c r="O561" s="50"/>
      <c r="P561" s="52" t="s">
        <v>20</v>
      </c>
    </row>
    <row r="562" spans="1:16" ht="15" customHeight="1">
      <c r="A562" s="28">
        <v>8</v>
      </c>
      <c r="B562" s="32">
        <v>45894</v>
      </c>
      <c r="C562" s="36" t="s">
        <v>323</v>
      </c>
      <c r="D562" s="43">
        <v>1</v>
      </c>
      <c r="E562" s="48" t="s">
        <v>773</v>
      </c>
      <c r="F562" s="48" t="s">
        <v>555</v>
      </c>
      <c r="G562" s="49">
        <v>7.0000000000000007E-2</v>
      </c>
      <c r="H562" s="10">
        <v>7.0000000000000007E-2</v>
      </c>
      <c r="I562" s="52">
        <v>1</v>
      </c>
      <c r="J562" s="10">
        <v>1</v>
      </c>
      <c r="K562" s="55" t="s">
        <v>346</v>
      </c>
      <c r="L562" s="57">
        <v>0.48213360952874157</v>
      </c>
      <c r="M562" s="50">
        <v>0.92999999999999994</v>
      </c>
      <c r="N562" s="64"/>
      <c r="O562" s="50"/>
      <c r="P562" s="52" t="s">
        <v>20</v>
      </c>
    </row>
    <row r="563" spans="1:16" ht="15" customHeight="1">
      <c r="A563" s="28">
        <v>8</v>
      </c>
      <c r="B563" s="32">
        <v>45894</v>
      </c>
      <c r="C563" s="36" t="s">
        <v>764</v>
      </c>
      <c r="D563" s="43">
        <v>1</v>
      </c>
      <c r="E563" s="48" t="s">
        <v>773</v>
      </c>
      <c r="F563" s="48" t="s">
        <v>555</v>
      </c>
      <c r="G563" s="49">
        <v>2.4166666666666665</v>
      </c>
      <c r="H563" s="10">
        <v>2.4166666666666665</v>
      </c>
      <c r="I563" s="52">
        <v>5</v>
      </c>
      <c r="J563" s="10">
        <v>5</v>
      </c>
      <c r="K563" s="55" t="s">
        <v>346</v>
      </c>
      <c r="L563" s="57">
        <v>0.48213360952874157</v>
      </c>
      <c r="M563" s="50">
        <v>2.5833333333333335</v>
      </c>
      <c r="N563" s="64"/>
      <c r="O563" s="50"/>
      <c r="P563" s="52" t="s">
        <v>20</v>
      </c>
    </row>
    <row r="564" spans="1:16" ht="15" customHeight="1">
      <c r="A564" s="28">
        <v>8</v>
      </c>
      <c r="B564" s="32">
        <v>45895</v>
      </c>
      <c r="C564" s="36" t="s">
        <v>777</v>
      </c>
      <c r="D564" s="43">
        <v>1</v>
      </c>
      <c r="E564" s="48" t="s">
        <v>778</v>
      </c>
      <c r="F564" s="48" t="s">
        <v>555</v>
      </c>
      <c r="G564" s="49">
        <v>69.63</v>
      </c>
      <c r="H564" s="10">
        <v>69.63</v>
      </c>
      <c r="I564" s="52">
        <v>234</v>
      </c>
      <c r="J564" s="10">
        <v>234</v>
      </c>
      <c r="K564" s="55" t="s">
        <v>346</v>
      </c>
      <c r="L564" s="57">
        <v>0.48213360952874157</v>
      </c>
      <c r="M564" s="50">
        <v>164.37</v>
      </c>
      <c r="N564" s="64"/>
      <c r="O564" s="50"/>
      <c r="P564" s="52" t="s">
        <v>20</v>
      </c>
    </row>
    <row r="565" spans="1:16" ht="15" customHeight="1">
      <c r="A565" s="28">
        <v>8</v>
      </c>
      <c r="B565" s="32">
        <v>45896</v>
      </c>
      <c r="C565" s="36" t="s">
        <v>779</v>
      </c>
      <c r="D565" s="43">
        <v>1</v>
      </c>
      <c r="E565" s="48" t="s">
        <v>26</v>
      </c>
      <c r="F565" s="48" t="s">
        <v>555</v>
      </c>
      <c r="G565" s="49">
        <v>250</v>
      </c>
      <c r="H565" s="10">
        <v>250</v>
      </c>
      <c r="I565" s="52">
        <v>600</v>
      </c>
      <c r="J565" s="10">
        <v>600</v>
      </c>
      <c r="K565" s="55" t="s">
        <v>346</v>
      </c>
      <c r="L565" s="57">
        <v>0.48213360952874157</v>
      </c>
      <c r="M565" s="50">
        <v>350</v>
      </c>
      <c r="N565" s="64"/>
      <c r="O565" s="50"/>
      <c r="P565" s="52" t="s">
        <v>20</v>
      </c>
    </row>
    <row r="566" spans="1:16" ht="15" customHeight="1">
      <c r="A566" s="28">
        <v>8</v>
      </c>
      <c r="B566" s="32">
        <v>45897</v>
      </c>
      <c r="C566" s="36" t="s">
        <v>321</v>
      </c>
      <c r="D566" s="43">
        <v>1</v>
      </c>
      <c r="E566" s="48" t="s">
        <v>26</v>
      </c>
      <c r="F566" s="48" t="s">
        <v>555</v>
      </c>
      <c r="G566" s="49">
        <v>3</v>
      </c>
      <c r="H566" s="10">
        <v>3</v>
      </c>
      <c r="I566" s="52">
        <v>10</v>
      </c>
      <c r="J566" s="10">
        <v>10</v>
      </c>
      <c r="K566" s="55" t="s">
        <v>346</v>
      </c>
      <c r="L566" s="57">
        <v>0.6987951807228916</v>
      </c>
      <c r="M566" s="50">
        <v>7</v>
      </c>
      <c r="N566" s="64"/>
      <c r="O566" s="50"/>
      <c r="P566" s="52" t="s">
        <v>20</v>
      </c>
    </row>
    <row r="567" spans="1:16" ht="15" customHeight="1">
      <c r="A567" s="73">
        <v>8</v>
      </c>
      <c r="B567" s="76">
        <v>45897</v>
      </c>
      <c r="C567" s="79" t="s">
        <v>766</v>
      </c>
      <c r="D567" s="84">
        <v>5</v>
      </c>
      <c r="E567" s="87" t="s">
        <v>26</v>
      </c>
      <c r="F567" s="87" t="s">
        <v>555</v>
      </c>
      <c r="G567" s="90">
        <v>2.5</v>
      </c>
      <c r="H567" s="10">
        <v>12.5</v>
      </c>
      <c r="I567" s="92">
        <v>5</v>
      </c>
      <c r="J567" s="69">
        <v>25</v>
      </c>
      <c r="K567" s="55" t="s">
        <v>346</v>
      </c>
      <c r="L567" s="99">
        <v>1</v>
      </c>
      <c r="M567" s="50">
        <v>12.5</v>
      </c>
      <c r="N567" s="102"/>
      <c r="O567" s="105"/>
      <c r="P567" s="92" t="s">
        <v>20</v>
      </c>
    </row>
    <row r="568" spans="1:16" ht="15" customHeight="1">
      <c r="A568" s="28">
        <v>8</v>
      </c>
      <c r="B568" s="32">
        <v>45897</v>
      </c>
      <c r="C568" s="36" t="s">
        <v>764</v>
      </c>
      <c r="D568" s="43">
        <v>2</v>
      </c>
      <c r="E568" s="48" t="s">
        <v>26</v>
      </c>
      <c r="F568" s="48" t="s">
        <v>555</v>
      </c>
      <c r="G568" s="49">
        <v>2.4166666666666665</v>
      </c>
      <c r="H568" s="10">
        <v>4.833333333333333</v>
      </c>
      <c r="I568" s="52">
        <v>5</v>
      </c>
      <c r="J568" s="10">
        <v>10</v>
      </c>
      <c r="K568" s="55" t="s">
        <v>346</v>
      </c>
      <c r="L568" s="57">
        <v>0.5</v>
      </c>
      <c r="M568" s="50">
        <v>5.166666666666667</v>
      </c>
      <c r="N568" s="64"/>
      <c r="O568" s="50"/>
      <c r="P568" s="52" t="s">
        <v>20</v>
      </c>
    </row>
    <row r="569" spans="1:16" ht="15" customHeight="1">
      <c r="A569" s="28">
        <v>8</v>
      </c>
      <c r="B569" s="32">
        <v>45897</v>
      </c>
      <c r="C569" s="36" t="s">
        <v>780</v>
      </c>
      <c r="D569" s="43">
        <v>1</v>
      </c>
      <c r="E569" s="48" t="s">
        <v>26</v>
      </c>
      <c r="F569" s="48" t="s">
        <v>555</v>
      </c>
      <c r="G569" s="49">
        <v>10</v>
      </c>
      <c r="H569" s="10">
        <v>10</v>
      </c>
      <c r="I569" s="52">
        <v>15</v>
      </c>
      <c r="J569" s="10">
        <v>15</v>
      </c>
      <c r="K569" s="55" t="s">
        <v>346</v>
      </c>
      <c r="L569" s="57">
        <v>0.38333333333333336</v>
      </c>
      <c r="M569" s="50">
        <v>5</v>
      </c>
      <c r="N569" s="64"/>
      <c r="O569" s="50"/>
      <c r="P569" s="52" t="s">
        <v>20</v>
      </c>
    </row>
    <row r="570" spans="1:16" ht="15" customHeight="1">
      <c r="A570" s="28">
        <v>8</v>
      </c>
      <c r="B570" s="32">
        <v>45898</v>
      </c>
      <c r="C570" s="36" t="s">
        <v>323</v>
      </c>
      <c r="D570" s="43">
        <v>1</v>
      </c>
      <c r="E570" s="48" t="s">
        <v>26</v>
      </c>
      <c r="F570" s="48" t="s">
        <v>555</v>
      </c>
      <c r="G570" s="49">
        <v>7.0000000000000007E-2</v>
      </c>
      <c r="H570" s="10">
        <v>7.0000000000000007E-2</v>
      </c>
      <c r="I570" s="52">
        <v>1</v>
      </c>
      <c r="J570" s="10">
        <v>1</v>
      </c>
      <c r="K570" s="55" t="s">
        <v>346</v>
      </c>
      <c r="L570" s="57">
        <v>0.92999999999999994</v>
      </c>
      <c r="M570" s="50">
        <v>0.92999999999999994</v>
      </c>
      <c r="N570" s="64"/>
      <c r="O570" s="50"/>
      <c r="P570" s="52" t="s">
        <v>20</v>
      </c>
    </row>
    <row r="571" spans="1:16" ht="15" customHeight="1">
      <c r="A571" s="28">
        <v>8</v>
      </c>
      <c r="B571" s="32">
        <v>45898</v>
      </c>
      <c r="C571" s="36" t="s">
        <v>781</v>
      </c>
      <c r="D571" s="43">
        <v>3</v>
      </c>
      <c r="E571" s="48" t="s">
        <v>26</v>
      </c>
      <c r="F571" s="48" t="s">
        <v>555</v>
      </c>
      <c r="G571" s="49">
        <v>0.4</v>
      </c>
      <c r="H571" s="10">
        <v>1.2000000000000002</v>
      </c>
      <c r="I571" s="52">
        <v>2</v>
      </c>
      <c r="J571" s="10">
        <v>6</v>
      </c>
      <c r="K571" s="55" t="s">
        <v>346</v>
      </c>
      <c r="L571" s="57">
        <v>0.5</v>
      </c>
      <c r="M571" s="50">
        <v>4.8</v>
      </c>
      <c r="N571" s="64"/>
      <c r="O571" s="50"/>
      <c r="P571" s="52" t="s">
        <v>20</v>
      </c>
    </row>
    <row r="572" spans="1:16" ht="15" customHeight="1">
      <c r="A572" s="28">
        <v>8</v>
      </c>
      <c r="B572" s="32">
        <v>45898</v>
      </c>
      <c r="C572" s="36" t="s">
        <v>354</v>
      </c>
      <c r="D572" s="43">
        <v>1</v>
      </c>
      <c r="E572" s="48" t="s">
        <v>756</v>
      </c>
      <c r="F572" s="48" t="s">
        <v>555</v>
      </c>
      <c r="G572" s="49">
        <v>3.5</v>
      </c>
      <c r="H572" s="10">
        <v>3.5</v>
      </c>
      <c r="I572" s="52">
        <v>10</v>
      </c>
      <c r="J572" s="10">
        <v>10</v>
      </c>
      <c r="K572" s="55" t="s">
        <v>346</v>
      </c>
      <c r="L572" s="57">
        <v>0.46666666666666667</v>
      </c>
      <c r="M572" s="50">
        <v>6.5</v>
      </c>
      <c r="N572" s="64"/>
      <c r="O572" s="50"/>
      <c r="P572" s="52" t="s">
        <v>20</v>
      </c>
    </row>
    <row r="573" spans="1:16" ht="15" customHeight="1">
      <c r="A573" s="28">
        <v>8</v>
      </c>
      <c r="B573" s="32">
        <v>45899</v>
      </c>
      <c r="C573" s="36" t="s">
        <v>725</v>
      </c>
      <c r="D573" s="43">
        <v>4</v>
      </c>
      <c r="E573" s="48" t="s">
        <v>26</v>
      </c>
      <c r="F573" s="48" t="s">
        <v>555</v>
      </c>
      <c r="G573" s="49">
        <v>7.5</v>
      </c>
      <c r="H573" s="10">
        <v>30</v>
      </c>
      <c r="I573" s="52">
        <v>10</v>
      </c>
      <c r="J573" s="10">
        <v>40</v>
      </c>
      <c r="K573" s="55" t="s">
        <v>346</v>
      </c>
      <c r="L573" s="57">
        <v>0.74106680476437081</v>
      </c>
      <c r="M573" s="50">
        <v>10</v>
      </c>
      <c r="N573" s="64"/>
      <c r="O573" s="50"/>
      <c r="P573" s="52" t="s">
        <v>20</v>
      </c>
    </row>
    <row r="574" spans="1:16" ht="15" customHeight="1">
      <c r="A574" s="73">
        <v>8</v>
      </c>
      <c r="B574" s="76">
        <v>45899</v>
      </c>
      <c r="C574" s="79" t="s">
        <v>771</v>
      </c>
      <c r="D574" s="84">
        <v>2</v>
      </c>
      <c r="E574" s="87" t="s">
        <v>26</v>
      </c>
      <c r="F574" s="87" t="s">
        <v>555</v>
      </c>
      <c r="G574" s="90">
        <v>10</v>
      </c>
      <c r="H574" s="10">
        <v>20</v>
      </c>
      <c r="I574" s="92">
        <v>15</v>
      </c>
      <c r="J574" s="69">
        <v>30</v>
      </c>
      <c r="K574" s="55" t="s">
        <v>346</v>
      </c>
      <c r="L574" s="99">
        <v>0.74106680476437081</v>
      </c>
      <c r="M574" s="50">
        <v>10</v>
      </c>
      <c r="N574" s="102"/>
      <c r="O574" s="105"/>
      <c r="P574" s="92" t="s">
        <v>20</v>
      </c>
    </row>
    <row r="575" spans="1:16" ht="15" customHeight="1">
      <c r="A575" s="28">
        <v>9</v>
      </c>
      <c r="B575" s="32">
        <v>45901</v>
      </c>
      <c r="C575" s="36" t="s">
        <v>323</v>
      </c>
      <c r="D575" s="43">
        <v>1</v>
      </c>
      <c r="E575" s="48" t="s">
        <v>26</v>
      </c>
      <c r="F575" s="48" t="s">
        <v>555</v>
      </c>
      <c r="G575" s="49">
        <v>7.0000000000000007E-2</v>
      </c>
      <c r="H575" s="10">
        <v>7.0000000000000007E-2</v>
      </c>
      <c r="I575" s="52">
        <v>1</v>
      </c>
      <c r="J575" s="10">
        <v>1</v>
      </c>
      <c r="K575" s="55" t="s">
        <v>346</v>
      </c>
      <c r="L575" s="57">
        <v>0.74106680476437081</v>
      </c>
      <c r="M575" s="50">
        <v>0.92999999999999994</v>
      </c>
      <c r="N575" s="64"/>
      <c r="O575" s="50"/>
      <c r="P575" s="52" t="s">
        <v>20</v>
      </c>
    </row>
    <row r="576" spans="1:16" ht="15" customHeight="1">
      <c r="A576" s="28">
        <v>9</v>
      </c>
      <c r="B576" s="32">
        <v>45901</v>
      </c>
      <c r="C576" s="36" t="s">
        <v>725</v>
      </c>
      <c r="D576" s="43">
        <v>2</v>
      </c>
      <c r="E576" s="48" t="s">
        <v>26</v>
      </c>
      <c r="F576" s="48" t="s">
        <v>555</v>
      </c>
      <c r="G576" s="49">
        <v>5</v>
      </c>
      <c r="H576" s="10">
        <v>10</v>
      </c>
      <c r="I576" s="52">
        <v>10</v>
      </c>
      <c r="J576" s="10">
        <v>20</v>
      </c>
      <c r="K576" s="55" t="s">
        <v>346</v>
      </c>
      <c r="L576" s="57">
        <v>0.74106680476437081</v>
      </c>
      <c r="M576" s="50">
        <v>10</v>
      </c>
      <c r="N576" s="64"/>
      <c r="O576" s="50"/>
      <c r="P576" s="52" t="s">
        <v>20</v>
      </c>
    </row>
    <row r="577" spans="1:16" ht="15" customHeight="1">
      <c r="A577" s="28">
        <v>9</v>
      </c>
      <c r="B577" s="32">
        <v>45902</v>
      </c>
      <c r="C577" s="36" t="s">
        <v>782</v>
      </c>
      <c r="D577" s="43">
        <v>1</v>
      </c>
      <c r="E577" s="48" t="s">
        <v>783</v>
      </c>
      <c r="F577" s="48" t="s">
        <v>555</v>
      </c>
      <c r="G577" s="49">
        <v>2.5</v>
      </c>
      <c r="H577" s="10">
        <v>2.5</v>
      </c>
      <c r="I577" s="52">
        <v>5</v>
      </c>
      <c r="J577" s="10">
        <v>5</v>
      </c>
      <c r="K577" s="55" t="s">
        <v>346</v>
      </c>
      <c r="L577" s="57">
        <v>0.18211559432933477</v>
      </c>
      <c r="M577" s="50">
        <v>2.5</v>
      </c>
      <c r="N577" s="64"/>
      <c r="O577" s="50"/>
      <c r="P577" s="52" t="s">
        <v>20</v>
      </c>
    </row>
    <row r="578" spans="1:16" ht="15" customHeight="1">
      <c r="A578" s="73">
        <v>9</v>
      </c>
      <c r="B578" s="76">
        <v>45903</v>
      </c>
      <c r="C578" s="79" t="s">
        <v>784</v>
      </c>
      <c r="D578" s="84">
        <v>1</v>
      </c>
      <c r="E578" s="87" t="s">
        <v>26</v>
      </c>
      <c r="F578" s="87" t="s">
        <v>555</v>
      </c>
      <c r="G578" s="90">
        <v>6</v>
      </c>
      <c r="H578" s="10">
        <v>6</v>
      </c>
      <c r="I578" s="92">
        <v>20</v>
      </c>
      <c r="J578" s="69">
        <v>20</v>
      </c>
      <c r="K578" s="55" t="s">
        <v>346</v>
      </c>
      <c r="L578" s="99">
        <v>0.5</v>
      </c>
      <c r="M578" s="50">
        <v>14</v>
      </c>
      <c r="N578" s="102"/>
      <c r="O578" s="105"/>
      <c r="P578" s="92" t="s">
        <v>20</v>
      </c>
    </row>
    <row r="579" spans="1:16" ht="15" customHeight="1">
      <c r="A579" s="28">
        <v>9</v>
      </c>
      <c r="B579" s="32">
        <v>45903</v>
      </c>
      <c r="C579" s="36" t="s">
        <v>785</v>
      </c>
      <c r="D579" s="43">
        <v>1</v>
      </c>
      <c r="E579" s="48" t="s">
        <v>26</v>
      </c>
      <c r="F579" s="48" t="s">
        <v>555</v>
      </c>
      <c r="G579" s="49">
        <v>5</v>
      </c>
      <c r="H579" s="10">
        <v>5</v>
      </c>
      <c r="I579" s="52">
        <v>10</v>
      </c>
      <c r="J579" s="10">
        <v>10</v>
      </c>
      <c r="K579" s="55" t="s">
        <v>346</v>
      </c>
      <c r="L579" s="57">
        <v>0.46666666666666667</v>
      </c>
      <c r="M579" s="50">
        <v>5</v>
      </c>
      <c r="N579" s="64"/>
      <c r="O579" s="50"/>
      <c r="P579" s="52" t="s">
        <v>20</v>
      </c>
    </row>
    <row r="580" spans="1:16" ht="15" customHeight="1">
      <c r="A580" s="28">
        <v>9</v>
      </c>
      <c r="B580" s="32">
        <v>45904</v>
      </c>
      <c r="C580" s="36" t="s">
        <v>786</v>
      </c>
      <c r="D580" s="43">
        <v>1</v>
      </c>
      <c r="E580" s="48" t="s">
        <v>26</v>
      </c>
      <c r="F580" s="48" t="s">
        <v>555</v>
      </c>
      <c r="G580" s="49">
        <v>7</v>
      </c>
      <c r="H580" s="10">
        <v>7</v>
      </c>
      <c r="I580" s="52">
        <v>15</v>
      </c>
      <c r="J580" s="10">
        <v>15</v>
      </c>
      <c r="K580" s="55" t="s">
        <v>346</v>
      </c>
      <c r="L580" s="57">
        <v>1</v>
      </c>
      <c r="M580" s="50">
        <v>8</v>
      </c>
      <c r="N580" s="64"/>
      <c r="O580" s="50"/>
      <c r="P580" s="52" t="s">
        <v>20</v>
      </c>
    </row>
    <row r="581" spans="1:16" ht="15" customHeight="1">
      <c r="A581" s="28">
        <v>9</v>
      </c>
      <c r="B581" s="32">
        <v>45904</v>
      </c>
      <c r="C581" s="36" t="s">
        <v>323</v>
      </c>
      <c r="D581" s="43">
        <v>1</v>
      </c>
      <c r="E581" s="48" t="s">
        <v>749</v>
      </c>
      <c r="F581" s="48" t="s">
        <v>555</v>
      </c>
      <c r="G581" s="49">
        <v>7.0000000000000007E-2</v>
      </c>
      <c r="H581" s="10">
        <v>7.0000000000000007E-2</v>
      </c>
      <c r="I581" s="52">
        <v>5</v>
      </c>
      <c r="J581" s="10">
        <v>5</v>
      </c>
      <c r="K581" s="55" t="s">
        <v>346</v>
      </c>
      <c r="L581" s="57">
        <v>0.59630000000000005</v>
      </c>
      <c r="M581" s="50">
        <v>4.93</v>
      </c>
      <c r="N581" s="64"/>
      <c r="O581" s="50"/>
      <c r="P581" s="52" t="s">
        <v>20</v>
      </c>
    </row>
    <row r="582" spans="1:16" ht="15" customHeight="1">
      <c r="A582" s="28">
        <v>9</v>
      </c>
      <c r="B582" s="32">
        <v>45905</v>
      </c>
      <c r="C582" s="36" t="s">
        <v>725</v>
      </c>
      <c r="D582" s="43">
        <v>1</v>
      </c>
      <c r="E582" s="48" t="s">
        <v>26</v>
      </c>
      <c r="F582" s="48" t="s">
        <v>555</v>
      </c>
      <c r="G582" s="49">
        <v>7.5</v>
      </c>
      <c r="H582" s="10">
        <v>7.5</v>
      </c>
      <c r="I582" s="52">
        <v>10</v>
      </c>
      <c r="J582" s="10">
        <v>10</v>
      </c>
      <c r="K582" s="55" t="s">
        <v>346</v>
      </c>
      <c r="L582" s="57">
        <v>0.8</v>
      </c>
      <c r="M582" s="50">
        <v>2.5</v>
      </c>
      <c r="N582" s="64"/>
      <c r="O582" s="50"/>
      <c r="P582" s="52" t="s">
        <v>20</v>
      </c>
    </row>
    <row r="583" spans="1:16" ht="15" customHeight="1">
      <c r="A583" s="28">
        <v>9</v>
      </c>
      <c r="B583" s="32">
        <v>45905</v>
      </c>
      <c r="C583" s="36" t="s">
        <v>562</v>
      </c>
      <c r="D583" s="43">
        <v>1</v>
      </c>
      <c r="E583" s="48" t="s">
        <v>26</v>
      </c>
      <c r="F583" s="48" t="s">
        <v>555</v>
      </c>
      <c r="G583" s="49">
        <v>18.5</v>
      </c>
      <c r="H583" s="10">
        <v>18.5</v>
      </c>
      <c r="I583" s="52">
        <v>30</v>
      </c>
      <c r="J583" s="10">
        <v>30</v>
      </c>
      <c r="K583" s="55" t="s">
        <v>346</v>
      </c>
      <c r="L583" s="57">
        <v>0.71764705882352942</v>
      </c>
      <c r="M583" s="50">
        <v>11.5</v>
      </c>
      <c r="N583" s="64"/>
      <c r="O583" s="50"/>
      <c r="P583" s="52" t="s">
        <v>20</v>
      </c>
    </row>
    <row r="584" spans="1:16" ht="15" customHeight="1">
      <c r="A584" s="28">
        <v>9</v>
      </c>
      <c r="B584" s="32">
        <v>45906</v>
      </c>
      <c r="C584" s="36" t="s">
        <v>725</v>
      </c>
      <c r="D584" s="43">
        <v>2</v>
      </c>
      <c r="E584" s="48" t="s">
        <v>26</v>
      </c>
      <c r="F584" s="48" t="s">
        <v>555</v>
      </c>
      <c r="G584" s="49">
        <v>7.5</v>
      </c>
      <c r="H584" s="10">
        <v>15</v>
      </c>
      <c r="I584" s="52">
        <v>10</v>
      </c>
      <c r="J584" s="10">
        <v>20</v>
      </c>
      <c r="K584" s="55" t="s">
        <v>346</v>
      </c>
      <c r="L584" s="57">
        <v>0.71764705882352942</v>
      </c>
      <c r="M584" s="50">
        <v>5</v>
      </c>
      <c r="N584" s="64"/>
      <c r="O584" s="50"/>
      <c r="P584" s="52" t="s">
        <v>20</v>
      </c>
    </row>
    <row r="585" spans="1:16" ht="15" customHeight="1">
      <c r="A585" s="73">
        <v>9</v>
      </c>
      <c r="B585" s="76">
        <v>45906</v>
      </c>
      <c r="C585" s="79" t="s">
        <v>787</v>
      </c>
      <c r="D585" s="84">
        <v>1</v>
      </c>
      <c r="E585" s="87" t="s">
        <v>26</v>
      </c>
      <c r="F585" s="87" t="s">
        <v>555</v>
      </c>
      <c r="G585" s="90">
        <v>1</v>
      </c>
      <c r="H585" s="10">
        <v>1</v>
      </c>
      <c r="I585" s="92">
        <v>2</v>
      </c>
      <c r="J585" s="69">
        <v>2</v>
      </c>
      <c r="K585" s="55" t="s">
        <v>346</v>
      </c>
      <c r="L585" s="99">
        <v>0.71764705882352942</v>
      </c>
      <c r="M585" s="50">
        <v>1</v>
      </c>
      <c r="N585" s="102"/>
      <c r="O585" s="105"/>
      <c r="P585" s="92" t="s">
        <v>20</v>
      </c>
    </row>
    <row r="586" spans="1:16" ht="15" customHeight="1">
      <c r="A586" s="28">
        <v>9</v>
      </c>
      <c r="B586" s="32">
        <v>45906</v>
      </c>
      <c r="C586" s="36" t="s">
        <v>200</v>
      </c>
      <c r="D586" s="43">
        <v>1</v>
      </c>
      <c r="E586" s="48" t="s">
        <v>26</v>
      </c>
      <c r="F586" s="48" t="s">
        <v>555</v>
      </c>
      <c r="G586" s="49">
        <v>0</v>
      </c>
      <c r="H586" s="10">
        <v>0</v>
      </c>
      <c r="I586" s="52">
        <v>50</v>
      </c>
      <c r="J586" s="10">
        <v>50</v>
      </c>
      <c r="K586" s="55" t="s">
        <v>346</v>
      </c>
      <c r="L586" s="57">
        <v>0.71764705882352942</v>
      </c>
      <c r="M586" s="50">
        <v>50</v>
      </c>
      <c r="N586" s="64"/>
      <c r="O586" s="50"/>
      <c r="P586" s="52" t="s">
        <v>20</v>
      </c>
    </row>
    <row r="587" spans="1:16" ht="15" customHeight="1">
      <c r="A587" s="28">
        <v>9</v>
      </c>
      <c r="B587" s="32">
        <v>45906</v>
      </c>
      <c r="C587" s="36" t="s">
        <v>788</v>
      </c>
      <c r="D587" s="43">
        <v>1</v>
      </c>
      <c r="E587" s="48" t="s">
        <v>26</v>
      </c>
      <c r="F587" s="48" t="s">
        <v>555</v>
      </c>
      <c r="G587" s="49">
        <v>38</v>
      </c>
      <c r="H587" s="10">
        <v>38</v>
      </c>
      <c r="I587" s="52">
        <v>70</v>
      </c>
      <c r="J587" s="10">
        <v>70</v>
      </c>
      <c r="K587" s="55" t="s">
        <v>346</v>
      </c>
      <c r="L587" s="57">
        <v>1</v>
      </c>
      <c r="M587" s="50">
        <v>32</v>
      </c>
      <c r="N587" s="64"/>
      <c r="O587" s="50"/>
      <c r="P587" s="52" t="s">
        <v>20</v>
      </c>
    </row>
    <row r="588" spans="1:16" ht="15" customHeight="1">
      <c r="A588" s="28">
        <v>9</v>
      </c>
      <c r="B588" s="32">
        <v>45906</v>
      </c>
      <c r="C588" s="36" t="s">
        <v>200</v>
      </c>
      <c r="D588" s="43">
        <v>1</v>
      </c>
      <c r="E588" s="48" t="s">
        <v>26</v>
      </c>
      <c r="F588" s="48" t="s">
        <v>555</v>
      </c>
      <c r="G588" s="49">
        <v>0</v>
      </c>
      <c r="H588" s="10">
        <v>0</v>
      </c>
      <c r="I588" s="52">
        <v>50</v>
      </c>
      <c r="J588" s="10">
        <v>50</v>
      </c>
      <c r="K588" s="55" t="s">
        <v>346</v>
      </c>
      <c r="L588" s="57">
        <v>0.92999999999999994</v>
      </c>
      <c r="M588" s="50">
        <v>50</v>
      </c>
      <c r="N588" s="64"/>
      <c r="O588" s="50"/>
      <c r="P588" s="52" t="s">
        <v>20</v>
      </c>
    </row>
    <row r="589" spans="1:16" ht="15" customHeight="1">
      <c r="A589" s="28">
        <v>9</v>
      </c>
      <c r="B589" s="32">
        <v>45906</v>
      </c>
      <c r="C589" s="36" t="s">
        <v>789</v>
      </c>
      <c r="D589" s="43">
        <v>1</v>
      </c>
      <c r="E589" s="48" t="s">
        <v>26</v>
      </c>
      <c r="F589" s="48" t="s">
        <v>555</v>
      </c>
      <c r="G589" s="49">
        <v>104</v>
      </c>
      <c r="H589" s="10">
        <v>104</v>
      </c>
      <c r="I589" s="52">
        <v>200</v>
      </c>
      <c r="J589" s="10">
        <v>200</v>
      </c>
      <c r="K589" s="55" t="s">
        <v>346</v>
      </c>
      <c r="L589" s="57">
        <v>0.52941176470588236</v>
      </c>
      <c r="M589" s="50">
        <v>96</v>
      </c>
      <c r="N589" s="64"/>
      <c r="O589" s="50"/>
      <c r="P589" s="52" t="s">
        <v>20</v>
      </c>
    </row>
    <row r="590" spans="1:16" ht="15" customHeight="1">
      <c r="A590" s="28">
        <v>9</v>
      </c>
      <c r="B590" s="32">
        <v>45906</v>
      </c>
      <c r="C590" s="36" t="s">
        <v>790</v>
      </c>
      <c r="D590" s="43">
        <v>1</v>
      </c>
      <c r="E590" s="48" t="s">
        <v>26</v>
      </c>
      <c r="F590" s="48" t="s">
        <v>555</v>
      </c>
      <c r="G590" s="49">
        <v>10</v>
      </c>
      <c r="H590" s="10">
        <v>10</v>
      </c>
      <c r="I590" s="52">
        <v>30</v>
      </c>
      <c r="J590" s="10">
        <v>30</v>
      </c>
      <c r="K590" s="55" t="s">
        <v>346</v>
      </c>
      <c r="L590" s="57">
        <v>0.52941176470588236</v>
      </c>
      <c r="M590" s="50">
        <v>20</v>
      </c>
      <c r="N590" s="64"/>
      <c r="O590" s="50"/>
      <c r="P590" s="52" t="s">
        <v>20</v>
      </c>
    </row>
    <row r="591" spans="1:16" ht="15" customHeight="1">
      <c r="A591" s="28">
        <v>9</v>
      </c>
      <c r="B591" s="32">
        <v>45906</v>
      </c>
      <c r="C591" s="36" t="s">
        <v>741</v>
      </c>
      <c r="D591" s="43">
        <v>1</v>
      </c>
      <c r="E591" s="48" t="s">
        <v>772</v>
      </c>
      <c r="F591" s="48" t="s">
        <v>555</v>
      </c>
      <c r="G591" s="49">
        <v>16</v>
      </c>
      <c r="H591" s="10">
        <v>16</v>
      </c>
      <c r="I591" s="52">
        <v>20</v>
      </c>
      <c r="J591" s="10">
        <v>20</v>
      </c>
      <c r="K591" s="55" t="s">
        <v>346</v>
      </c>
      <c r="L591" s="57">
        <v>0.5</v>
      </c>
      <c r="M591" s="50">
        <v>4</v>
      </c>
      <c r="N591" s="64"/>
      <c r="O591" s="50"/>
      <c r="P591" s="52" t="s">
        <v>20</v>
      </c>
    </row>
    <row r="592" spans="1:16" ht="15" customHeight="1">
      <c r="A592" s="73">
        <v>9</v>
      </c>
      <c r="B592" s="76">
        <v>45908</v>
      </c>
      <c r="C592" s="79" t="s">
        <v>321</v>
      </c>
      <c r="D592" s="84">
        <v>2</v>
      </c>
      <c r="E592" s="87" t="s">
        <v>658</v>
      </c>
      <c r="F592" s="87" t="s">
        <v>555</v>
      </c>
      <c r="G592" s="90">
        <v>3</v>
      </c>
      <c r="H592" s="10">
        <v>6</v>
      </c>
      <c r="I592" s="92">
        <v>10</v>
      </c>
      <c r="J592" s="69">
        <v>20</v>
      </c>
      <c r="K592" s="55" t="s">
        <v>346</v>
      </c>
      <c r="L592" s="99">
        <v>0.5206136145733461</v>
      </c>
      <c r="M592" s="50">
        <v>14</v>
      </c>
      <c r="N592" s="102"/>
      <c r="O592" s="105"/>
      <c r="P592" s="92" t="s">
        <v>20</v>
      </c>
    </row>
    <row r="593" spans="1:16" ht="15" customHeight="1">
      <c r="A593" s="28">
        <v>9</v>
      </c>
      <c r="B593" s="32">
        <v>45909</v>
      </c>
      <c r="C593" s="36" t="s">
        <v>323</v>
      </c>
      <c r="D593" s="43">
        <v>2</v>
      </c>
      <c r="E593" s="48" t="s">
        <v>26</v>
      </c>
      <c r="F593" s="48" t="s">
        <v>555</v>
      </c>
      <c r="G593" s="49">
        <v>7.0000000000000007E-2</v>
      </c>
      <c r="H593" s="10">
        <v>0.14000000000000001</v>
      </c>
      <c r="I593" s="52">
        <v>1</v>
      </c>
      <c r="J593" s="10">
        <v>2</v>
      </c>
      <c r="K593" s="55" t="s">
        <v>346</v>
      </c>
      <c r="L593" s="57">
        <v>1</v>
      </c>
      <c r="M593" s="50">
        <v>1.8599999999999999</v>
      </c>
      <c r="N593" s="64"/>
      <c r="O593" s="50"/>
      <c r="P593" s="52" t="s">
        <v>20</v>
      </c>
    </row>
    <row r="594" spans="1:16" ht="15" customHeight="1">
      <c r="A594" s="28">
        <v>9</v>
      </c>
      <c r="B594" s="32">
        <v>45909</v>
      </c>
      <c r="C594" s="36" t="s">
        <v>738</v>
      </c>
      <c r="D594" s="43">
        <v>1</v>
      </c>
      <c r="E594" s="48" t="s">
        <v>26</v>
      </c>
      <c r="F594" s="48" t="s">
        <v>555</v>
      </c>
      <c r="G594" s="49">
        <v>0.4</v>
      </c>
      <c r="H594" s="10">
        <v>0.4</v>
      </c>
      <c r="I594" s="52">
        <v>2</v>
      </c>
      <c r="J594" s="10">
        <v>2</v>
      </c>
      <c r="K594" s="55" t="s">
        <v>346</v>
      </c>
      <c r="L594" s="57">
        <v>0.83560356975105687</v>
      </c>
      <c r="M594" s="50">
        <v>1.6</v>
      </c>
      <c r="N594" s="64"/>
      <c r="O594" s="50"/>
      <c r="P594" s="52" t="s">
        <v>20</v>
      </c>
    </row>
    <row r="595" spans="1:16" ht="15" customHeight="1">
      <c r="A595" s="28">
        <v>9</v>
      </c>
      <c r="B595" s="32">
        <v>45910</v>
      </c>
      <c r="C595" s="36" t="s">
        <v>791</v>
      </c>
      <c r="D595" s="43">
        <v>1</v>
      </c>
      <c r="E595" s="48" t="s">
        <v>26</v>
      </c>
      <c r="F595" s="48" t="s">
        <v>555</v>
      </c>
      <c r="G595" s="49">
        <v>12</v>
      </c>
      <c r="H595" s="10">
        <v>12</v>
      </c>
      <c r="I595" s="52">
        <v>25</v>
      </c>
      <c r="J595" s="10">
        <v>25</v>
      </c>
      <c r="K595" s="55" t="s">
        <v>346</v>
      </c>
      <c r="L595" s="57">
        <v>0.5206136145733461</v>
      </c>
      <c r="M595" s="50">
        <v>13</v>
      </c>
      <c r="N595" s="64"/>
      <c r="O595" s="50"/>
      <c r="P595" s="52" t="s">
        <v>20</v>
      </c>
    </row>
    <row r="596" spans="1:16" ht="15" customHeight="1">
      <c r="A596" s="28">
        <v>9</v>
      </c>
      <c r="B596" s="32">
        <v>45910</v>
      </c>
      <c r="C596" s="36" t="s">
        <v>441</v>
      </c>
      <c r="D596" s="43">
        <v>1</v>
      </c>
      <c r="E596" s="48" t="s">
        <v>26</v>
      </c>
      <c r="F596" s="48" t="s">
        <v>555</v>
      </c>
      <c r="G596" s="49">
        <v>0</v>
      </c>
      <c r="H596" s="10">
        <v>0</v>
      </c>
      <c r="I596" s="52">
        <v>10</v>
      </c>
      <c r="J596" s="10">
        <v>10</v>
      </c>
      <c r="K596" s="55" t="s">
        <v>346</v>
      </c>
      <c r="L596" s="57">
        <v>0.5</v>
      </c>
      <c r="M596" s="50">
        <v>10</v>
      </c>
      <c r="N596" s="64"/>
      <c r="O596" s="50"/>
      <c r="P596" s="52" t="s">
        <v>20</v>
      </c>
    </row>
    <row r="597" spans="1:16" ht="15" customHeight="1">
      <c r="A597" s="28">
        <v>9</v>
      </c>
      <c r="B597" s="32">
        <v>45910</v>
      </c>
      <c r="C597" s="36" t="s">
        <v>739</v>
      </c>
      <c r="D597" s="43">
        <v>1</v>
      </c>
      <c r="E597" s="48" t="s">
        <v>26</v>
      </c>
      <c r="F597" s="48" t="s">
        <v>555</v>
      </c>
      <c r="G597" s="49">
        <v>2.5</v>
      </c>
      <c r="H597" s="10">
        <v>2.5</v>
      </c>
      <c r="I597" s="52">
        <v>5</v>
      </c>
      <c r="J597" s="10">
        <v>5</v>
      </c>
      <c r="K597" s="55" t="s">
        <v>346</v>
      </c>
      <c r="L597" s="57">
        <v>0.6</v>
      </c>
      <c r="M597" s="50">
        <v>2.5</v>
      </c>
      <c r="N597" s="64"/>
      <c r="O597" s="50"/>
      <c r="P597" s="52" t="s">
        <v>20</v>
      </c>
    </row>
    <row r="598" spans="1:16" ht="15" customHeight="1">
      <c r="A598" s="28">
        <v>9</v>
      </c>
      <c r="B598" s="32">
        <v>45911</v>
      </c>
      <c r="C598" s="36" t="s">
        <v>792</v>
      </c>
      <c r="D598" s="43">
        <v>1</v>
      </c>
      <c r="E598" s="48" t="s">
        <v>26</v>
      </c>
      <c r="F598" s="48" t="s">
        <v>555</v>
      </c>
      <c r="G598" s="49">
        <v>15</v>
      </c>
      <c r="H598" s="10">
        <v>15</v>
      </c>
      <c r="I598" s="52">
        <v>30</v>
      </c>
      <c r="J598" s="10">
        <v>30</v>
      </c>
      <c r="K598" s="55" t="s">
        <v>346</v>
      </c>
      <c r="L598" s="57">
        <v>0.8</v>
      </c>
      <c r="M598" s="50">
        <v>15</v>
      </c>
      <c r="N598" s="64"/>
      <c r="O598" s="50"/>
      <c r="P598" s="52" t="s">
        <v>20</v>
      </c>
    </row>
    <row r="599" spans="1:16" ht="15" customHeight="1">
      <c r="A599" s="73">
        <v>9</v>
      </c>
      <c r="B599" s="76">
        <v>45911</v>
      </c>
      <c r="C599" s="79" t="s">
        <v>793</v>
      </c>
      <c r="D599" s="84">
        <v>1</v>
      </c>
      <c r="E599" s="87" t="s">
        <v>26</v>
      </c>
      <c r="F599" s="87" t="s">
        <v>555</v>
      </c>
      <c r="G599" s="90">
        <v>5</v>
      </c>
      <c r="H599" s="10">
        <v>5</v>
      </c>
      <c r="I599" s="92">
        <v>15</v>
      </c>
      <c r="J599" s="69">
        <v>15</v>
      </c>
      <c r="K599" s="55" t="s">
        <v>346</v>
      </c>
      <c r="L599" s="99">
        <v>0.83293556085918852</v>
      </c>
      <c r="M599" s="50">
        <v>10</v>
      </c>
      <c r="N599" s="102"/>
      <c r="O599" s="105"/>
      <c r="P599" s="92" t="s">
        <v>20</v>
      </c>
    </row>
    <row r="600" spans="1:16" ht="15" customHeight="1">
      <c r="A600" s="28">
        <v>9</v>
      </c>
      <c r="B600" s="32">
        <v>45913</v>
      </c>
      <c r="C600" s="36" t="s">
        <v>725</v>
      </c>
      <c r="D600" s="43">
        <v>4</v>
      </c>
      <c r="E600" s="48" t="s">
        <v>26</v>
      </c>
      <c r="F600" s="48" t="s">
        <v>555</v>
      </c>
      <c r="G600" s="49">
        <v>7.5</v>
      </c>
      <c r="H600" s="10">
        <v>30</v>
      </c>
      <c r="I600" s="52">
        <v>10</v>
      </c>
      <c r="J600" s="10">
        <v>40</v>
      </c>
      <c r="K600" s="55" t="s">
        <v>346</v>
      </c>
      <c r="L600" s="57">
        <v>1</v>
      </c>
      <c r="M600" s="50">
        <v>10</v>
      </c>
      <c r="N600" s="64"/>
      <c r="O600" s="50"/>
      <c r="P600" s="52" t="s">
        <v>20</v>
      </c>
    </row>
    <row r="601" spans="1:16" ht="15" customHeight="1">
      <c r="A601" s="28">
        <v>9</v>
      </c>
      <c r="B601" s="32">
        <v>45915</v>
      </c>
      <c r="C601" s="36" t="s">
        <v>794</v>
      </c>
      <c r="D601" s="43">
        <v>1</v>
      </c>
      <c r="E601" s="48" t="s">
        <v>26</v>
      </c>
      <c r="F601" s="48" t="s">
        <v>555</v>
      </c>
      <c r="G601" s="49">
        <v>5</v>
      </c>
      <c r="H601" s="10">
        <v>5</v>
      </c>
      <c r="I601" s="52">
        <v>10</v>
      </c>
      <c r="J601" s="10">
        <v>10</v>
      </c>
      <c r="K601" s="55" t="s">
        <v>346</v>
      </c>
      <c r="L601" s="57">
        <v>0.62525763537567924</v>
      </c>
      <c r="M601" s="50">
        <v>5</v>
      </c>
      <c r="N601" s="64"/>
      <c r="O601" s="50"/>
      <c r="P601" s="52" t="s">
        <v>20</v>
      </c>
    </row>
    <row r="602" spans="1:16" ht="15" customHeight="1">
      <c r="A602" s="28">
        <v>9</v>
      </c>
      <c r="B602" s="32">
        <v>45917</v>
      </c>
      <c r="C602" s="36" t="s">
        <v>795</v>
      </c>
      <c r="D602" s="43">
        <v>1</v>
      </c>
      <c r="E602" s="48" t="s">
        <v>26</v>
      </c>
      <c r="F602" s="48" t="s">
        <v>555</v>
      </c>
      <c r="G602" s="49">
        <v>9</v>
      </c>
      <c r="H602" s="10">
        <v>9</v>
      </c>
      <c r="I602" s="52">
        <v>30</v>
      </c>
      <c r="J602" s="10">
        <v>30</v>
      </c>
      <c r="K602" s="55" t="s">
        <v>346</v>
      </c>
      <c r="L602" s="57">
        <v>0.65156794425087106</v>
      </c>
      <c r="M602" s="50">
        <v>21</v>
      </c>
      <c r="N602" s="64"/>
      <c r="O602" s="50"/>
      <c r="P602" s="52" t="s">
        <v>20</v>
      </c>
    </row>
    <row r="603" spans="1:16" ht="15" customHeight="1">
      <c r="A603" s="28">
        <v>9</v>
      </c>
      <c r="B603" s="32">
        <v>45917</v>
      </c>
      <c r="C603" s="36" t="s">
        <v>200</v>
      </c>
      <c r="D603" s="43">
        <v>1</v>
      </c>
      <c r="E603" s="48" t="s">
        <v>26</v>
      </c>
      <c r="F603" s="48" t="s">
        <v>555</v>
      </c>
      <c r="G603" s="49">
        <v>0</v>
      </c>
      <c r="H603" s="10">
        <v>0</v>
      </c>
      <c r="I603" s="52">
        <v>50</v>
      </c>
      <c r="J603" s="10">
        <v>50</v>
      </c>
      <c r="K603" s="55" t="s">
        <v>346</v>
      </c>
      <c r="L603" s="57">
        <v>0.625</v>
      </c>
      <c r="M603" s="50">
        <v>50</v>
      </c>
      <c r="N603" s="64"/>
      <c r="O603" s="50"/>
      <c r="P603" s="52" t="s">
        <v>20</v>
      </c>
    </row>
    <row r="604" spans="1:16" ht="15" customHeight="1">
      <c r="A604" s="28">
        <v>9</v>
      </c>
      <c r="B604" s="32">
        <v>45917</v>
      </c>
      <c r="C604" s="36" t="s">
        <v>754</v>
      </c>
      <c r="D604" s="43">
        <v>1</v>
      </c>
      <c r="E604" s="48" t="s">
        <v>796</v>
      </c>
      <c r="F604" s="48" t="s">
        <v>555</v>
      </c>
      <c r="G604" s="49">
        <v>23</v>
      </c>
      <c r="H604" s="10">
        <v>23</v>
      </c>
      <c r="I604" s="52">
        <v>35</v>
      </c>
      <c r="J604" s="10">
        <v>35</v>
      </c>
      <c r="K604" s="55" t="s">
        <v>346</v>
      </c>
      <c r="L604" s="57">
        <v>8.6757990867579945E-2</v>
      </c>
      <c r="M604" s="50">
        <v>12</v>
      </c>
      <c r="N604" s="64"/>
      <c r="O604" s="50"/>
      <c r="P604" s="52" t="s">
        <v>20</v>
      </c>
    </row>
    <row r="605" spans="1:16" ht="15" customHeight="1">
      <c r="A605" s="28">
        <v>9</v>
      </c>
      <c r="B605" s="32">
        <v>45918</v>
      </c>
      <c r="C605" s="36" t="s">
        <v>562</v>
      </c>
      <c r="D605" s="43">
        <v>1</v>
      </c>
      <c r="E605" s="48" t="s">
        <v>26</v>
      </c>
      <c r="F605" s="48" t="s">
        <v>555</v>
      </c>
      <c r="G605" s="49">
        <v>18.5</v>
      </c>
      <c r="H605" s="10">
        <v>18.5</v>
      </c>
      <c r="I605" s="52">
        <v>30</v>
      </c>
      <c r="J605" s="10">
        <v>30</v>
      </c>
      <c r="K605" s="55" t="s">
        <v>346</v>
      </c>
      <c r="L605" s="57">
        <v>0.62525763537567924</v>
      </c>
      <c r="M605" s="50">
        <v>11.5</v>
      </c>
      <c r="N605" s="64"/>
      <c r="O605" s="50"/>
      <c r="P605" s="52" t="s">
        <v>20</v>
      </c>
    </row>
    <row r="606" spans="1:16" ht="15" customHeight="1">
      <c r="A606" s="73">
        <v>9</v>
      </c>
      <c r="B606" s="76">
        <v>45918</v>
      </c>
      <c r="C606" s="79" t="s">
        <v>797</v>
      </c>
      <c r="D606" s="84">
        <v>1</v>
      </c>
      <c r="E606" s="87" t="s">
        <v>798</v>
      </c>
      <c r="F606" s="87" t="s">
        <v>555</v>
      </c>
      <c r="G606" s="90">
        <v>2.5</v>
      </c>
      <c r="H606" s="10">
        <v>2.5</v>
      </c>
      <c r="I606" s="92">
        <v>5</v>
      </c>
      <c r="J606" s="69">
        <v>5</v>
      </c>
      <c r="K606" s="55" t="s">
        <v>346</v>
      </c>
      <c r="L606" s="99">
        <v>0.83293556085918852</v>
      </c>
      <c r="M606" s="50">
        <v>2.5</v>
      </c>
      <c r="N606" s="102"/>
      <c r="O606" s="105"/>
      <c r="P606" s="92" t="s">
        <v>20</v>
      </c>
    </row>
    <row r="607" spans="1:16" ht="15" customHeight="1">
      <c r="A607" s="28">
        <v>9</v>
      </c>
      <c r="B607" s="32">
        <v>45918</v>
      </c>
      <c r="C607" s="36" t="s">
        <v>797</v>
      </c>
      <c r="D607" s="43">
        <v>3</v>
      </c>
      <c r="E607" s="48" t="s">
        <v>26</v>
      </c>
      <c r="F607" s="48" t="s">
        <v>555</v>
      </c>
      <c r="G607" s="49">
        <v>2.5</v>
      </c>
      <c r="H607" s="10">
        <v>7.5</v>
      </c>
      <c r="I607" s="52">
        <v>5</v>
      </c>
      <c r="J607" s="10">
        <v>15</v>
      </c>
      <c r="K607" s="55" t="s">
        <v>346</v>
      </c>
      <c r="L607" s="57">
        <v>0.66666666666666663</v>
      </c>
      <c r="M607" s="50">
        <v>7.5</v>
      </c>
      <c r="N607" s="64"/>
      <c r="O607" s="50"/>
      <c r="P607" s="52" t="s">
        <v>20</v>
      </c>
    </row>
    <row r="608" spans="1:16" ht="15" customHeight="1">
      <c r="A608" s="28">
        <v>9</v>
      </c>
      <c r="B608" s="32">
        <v>45918</v>
      </c>
      <c r="C608" s="36" t="s">
        <v>738</v>
      </c>
      <c r="D608" s="43">
        <v>2</v>
      </c>
      <c r="E608" s="48" t="s">
        <v>26</v>
      </c>
      <c r="F608" s="48" t="s">
        <v>555</v>
      </c>
      <c r="G608" s="49">
        <v>0.4</v>
      </c>
      <c r="H608" s="10">
        <v>0.8</v>
      </c>
      <c r="I608" s="52">
        <v>5</v>
      </c>
      <c r="J608" s="10">
        <v>10</v>
      </c>
      <c r="K608" s="55" t="s">
        <v>346</v>
      </c>
      <c r="L608" s="57">
        <v>1</v>
      </c>
      <c r="M608" s="50">
        <v>9.1999999999999993</v>
      </c>
      <c r="N608" s="64"/>
      <c r="O608" s="50"/>
      <c r="P608" s="52" t="s">
        <v>20</v>
      </c>
    </row>
    <row r="609" spans="1:16" ht="15" customHeight="1">
      <c r="A609" s="28">
        <v>9</v>
      </c>
      <c r="B609" s="32">
        <v>45918</v>
      </c>
      <c r="C609" s="36" t="s">
        <v>321</v>
      </c>
      <c r="D609" s="43">
        <v>1</v>
      </c>
      <c r="E609" s="48" t="s">
        <v>799</v>
      </c>
      <c r="F609" s="48" t="s">
        <v>555</v>
      </c>
      <c r="G609" s="49">
        <v>3</v>
      </c>
      <c r="H609" s="10">
        <v>3</v>
      </c>
      <c r="I609" s="52">
        <v>15</v>
      </c>
      <c r="J609" s="10">
        <v>15</v>
      </c>
      <c r="K609" s="55" t="s">
        <v>346</v>
      </c>
      <c r="L609" s="57">
        <v>0.25</v>
      </c>
      <c r="M609" s="50">
        <v>12</v>
      </c>
      <c r="N609" s="64"/>
      <c r="O609" s="50"/>
      <c r="P609" s="52" t="s">
        <v>20</v>
      </c>
    </row>
    <row r="610" spans="1:16" ht="15" customHeight="1">
      <c r="A610" s="73">
        <v>9</v>
      </c>
      <c r="B610" s="76">
        <v>45918</v>
      </c>
      <c r="C610" s="79" t="s">
        <v>800</v>
      </c>
      <c r="D610" s="84">
        <v>1</v>
      </c>
      <c r="E610" s="87" t="s">
        <v>799</v>
      </c>
      <c r="F610" s="87" t="s">
        <v>555</v>
      </c>
      <c r="G610" s="90">
        <v>20</v>
      </c>
      <c r="H610" s="10">
        <v>20</v>
      </c>
      <c r="I610" s="92">
        <v>30</v>
      </c>
      <c r="J610" s="69">
        <v>30</v>
      </c>
      <c r="K610" s="55" t="s">
        <v>346</v>
      </c>
      <c r="L610" s="99">
        <v>0.625</v>
      </c>
      <c r="M610" s="50">
        <v>10</v>
      </c>
      <c r="N610" s="102"/>
      <c r="O610" s="105"/>
      <c r="P610" s="92" t="s">
        <v>20</v>
      </c>
    </row>
    <row r="611" spans="1:16" ht="15" customHeight="1">
      <c r="A611" s="28">
        <v>9</v>
      </c>
      <c r="B611" s="32">
        <v>45918</v>
      </c>
      <c r="C611" s="36" t="s">
        <v>441</v>
      </c>
      <c r="D611" s="43">
        <v>1</v>
      </c>
      <c r="E611" s="48" t="s">
        <v>799</v>
      </c>
      <c r="F611" s="48" t="s">
        <v>555</v>
      </c>
      <c r="G611" s="49">
        <v>0</v>
      </c>
      <c r="H611" s="10">
        <v>0</v>
      </c>
      <c r="I611" s="52">
        <v>15</v>
      </c>
      <c r="J611" s="10">
        <v>15</v>
      </c>
      <c r="K611" s="55" t="s">
        <v>346</v>
      </c>
      <c r="L611" s="57">
        <v>0.92999999999999994</v>
      </c>
      <c r="M611" s="50">
        <v>15</v>
      </c>
      <c r="N611" s="64"/>
      <c r="O611" s="50"/>
      <c r="P611" s="52" t="s">
        <v>20</v>
      </c>
    </row>
    <row r="612" spans="1:16" ht="15" customHeight="1">
      <c r="A612" s="28">
        <v>9</v>
      </c>
      <c r="B612" s="32">
        <v>45918</v>
      </c>
      <c r="C612" s="36" t="s">
        <v>323</v>
      </c>
      <c r="D612" s="43">
        <v>1</v>
      </c>
      <c r="E612" s="48" t="s">
        <v>26</v>
      </c>
      <c r="F612" s="48" t="s">
        <v>555</v>
      </c>
      <c r="G612" s="49">
        <v>7.0000000000000007E-2</v>
      </c>
      <c r="H612" s="10">
        <v>7.0000000000000007E-2</v>
      </c>
      <c r="I612" s="52">
        <v>5</v>
      </c>
      <c r="J612" s="10">
        <v>5</v>
      </c>
      <c r="K612" s="55" t="s">
        <v>346</v>
      </c>
      <c r="L612" s="57">
        <v>0.5</v>
      </c>
      <c r="M612" s="50">
        <v>4.93</v>
      </c>
      <c r="N612" s="64"/>
      <c r="O612" s="50"/>
      <c r="P612" s="52" t="s">
        <v>20</v>
      </c>
    </row>
    <row r="613" spans="1:16" ht="15" customHeight="1">
      <c r="A613" s="28">
        <v>9</v>
      </c>
      <c r="B613" s="32">
        <v>45919</v>
      </c>
      <c r="C613" s="36" t="s">
        <v>797</v>
      </c>
      <c r="D613" s="43">
        <v>2</v>
      </c>
      <c r="E613" s="48" t="s">
        <v>801</v>
      </c>
      <c r="F613" s="48" t="s">
        <v>555</v>
      </c>
      <c r="G613" s="49">
        <v>2.5</v>
      </c>
      <c r="H613" s="10">
        <v>5</v>
      </c>
      <c r="I613" s="52">
        <v>5</v>
      </c>
      <c r="J613" s="10">
        <v>10</v>
      </c>
      <c r="K613" s="55" t="s">
        <v>346</v>
      </c>
      <c r="L613" s="57">
        <v>0.6</v>
      </c>
      <c r="M613" s="50">
        <v>5</v>
      </c>
      <c r="N613" s="64"/>
      <c r="O613" s="50"/>
      <c r="P613" s="52" t="s">
        <v>20</v>
      </c>
    </row>
    <row r="614" spans="1:16" ht="15" customHeight="1">
      <c r="A614" s="28">
        <v>9</v>
      </c>
      <c r="B614" s="32">
        <v>45919</v>
      </c>
      <c r="C614" s="36" t="s">
        <v>797</v>
      </c>
      <c r="D614" s="43">
        <v>1</v>
      </c>
      <c r="E614" s="48" t="s">
        <v>773</v>
      </c>
      <c r="F614" s="48" t="s">
        <v>555</v>
      </c>
      <c r="G614" s="49">
        <v>2.5</v>
      </c>
      <c r="H614" s="10">
        <v>2.5</v>
      </c>
      <c r="I614" s="52">
        <v>5</v>
      </c>
      <c r="J614" s="10">
        <v>5</v>
      </c>
      <c r="K614" s="55" t="s">
        <v>346</v>
      </c>
      <c r="L614" s="57">
        <v>0</v>
      </c>
      <c r="M614" s="50">
        <v>2.5</v>
      </c>
      <c r="N614" s="64"/>
      <c r="O614" s="50"/>
      <c r="P614" s="52" t="s">
        <v>20</v>
      </c>
    </row>
    <row r="615" spans="1:16" ht="15" customHeight="1">
      <c r="A615" s="28">
        <v>9</v>
      </c>
      <c r="B615" s="32">
        <v>45919</v>
      </c>
      <c r="C615" s="36" t="s">
        <v>797</v>
      </c>
      <c r="D615" s="43">
        <v>1</v>
      </c>
      <c r="E615" s="48" t="s">
        <v>776</v>
      </c>
      <c r="F615" s="48" t="s">
        <v>555</v>
      </c>
      <c r="G615" s="49">
        <v>2.5</v>
      </c>
      <c r="H615" s="10">
        <v>2.5</v>
      </c>
      <c r="I615" s="52">
        <v>5</v>
      </c>
      <c r="J615" s="10">
        <v>5</v>
      </c>
      <c r="K615" s="55" t="s">
        <v>346</v>
      </c>
      <c r="L615" s="57">
        <v>0.79694606887589348</v>
      </c>
      <c r="M615" s="50">
        <v>2.5</v>
      </c>
      <c r="N615" s="64"/>
      <c r="O615" s="50"/>
      <c r="P615" s="52" t="s">
        <v>20</v>
      </c>
    </row>
    <row r="616" spans="1:16" ht="15" customHeight="1">
      <c r="A616" s="28">
        <v>9</v>
      </c>
      <c r="B616" s="32">
        <v>45920</v>
      </c>
      <c r="C616" s="36" t="s">
        <v>797</v>
      </c>
      <c r="D616" s="43">
        <v>5</v>
      </c>
      <c r="E616" s="48" t="s">
        <v>26</v>
      </c>
      <c r="F616" s="48" t="s">
        <v>555</v>
      </c>
      <c r="G616" s="49">
        <v>2.5</v>
      </c>
      <c r="H616" s="10">
        <v>12.5</v>
      </c>
      <c r="I616" s="52">
        <v>5</v>
      </c>
      <c r="J616" s="10">
        <v>25</v>
      </c>
      <c r="K616" s="55" t="s">
        <v>346</v>
      </c>
      <c r="L616" s="57">
        <v>0.5</v>
      </c>
      <c r="M616" s="50">
        <v>12.5</v>
      </c>
      <c r="N616" s="64"/>
      <c r="O616" s="50"/>
      <c r="P616" s="52" t="s">
        <v>20</v>
      </c>
    </row>
    <row r="617" spans="1:16" ht="15" customHeight="1">
      <c r="A617" s="73">
        <v>9</v>
      </c>
      <c r="B617" s="76">
        <v>45920</v>
      </c>
      <c r="C617" s="79" t="s">
        <v>782</v>
      </c>
      <c r="D617" s="84">
        <v>1</v>
      </c>
      <c r="E617" s="87" t="s">
        <v>802</v>
      </c>
      <c r="F617" s="87" t="s">
        <v>555</v>
      </c>
      <c r="G617" s="90">
        <v>2.5</v>
      </c>
      <c r="H617" s="10">
        <v>2.5</v>
      </c>
      <c r="I617" s="92">
        <v>5</v>
      </c>
      <c r="J617" s="69">
        <v>5</v>
      </c>
      <c r="K617" s="55" t="s">
        <v>346</v>
      </c>
      <c r="L617" s="99">
        <v>0.5714285714285714</v>
      </c>
      <c r="M617" s="50">
        <v>2.5</v>
      </c>
      <c r="N617" s="102"/>
      <c r="O617" s="105"/>
      <c r="P617" s="92" t="s">
        <v>20</v>
      </c>
    </row>
    <row r="618" spans="1:16" ht="15" customHeight="1">
      <c r="A618" s="28">
        <v>9</v>
      </c>
      <c r="B618" s="32">
        <v>45920</v>
      </c>
      <c r="C618" s="36" t="s">
        <v>797</v>
      </c>
      <c r="D618" s="43">
        <v>1</v>
      </c>
      <c r="E618" s="48" t="s">
        <v>776</v>
      </c>
      <c r="F618" s="48" t="s">
        <v>555</v>
      </c>
      <c r="G618" s="49">
        <v>2.5</v>
      </c>
      <c r="H618" s="10">
        <v>2.5</v>
      </c>
      <c r="I618" s="52">
        <v>5</v>
      </c>
      <c r="J618" s="10">
        <v>5</v>
      </c>
      <c r="K618" s="55" t="s">
        <v>346</v>
      </c>
      <c r="L618" s="57">
        <v>0.66666666666666663</v>
      </c>
      <c r="M618" s="50">
        <v>2.5</v>
      </c>
      <c r="N618" s="64"/>
      <c r="O618" s="50"/>
      <c r="P618" s="52" t="s">
        <v>20</v>
      </c>
    </row>
    <row r="619" spans="1:16" ht="15" customHeight="1">
      <c r="A619" s="28">
        <v>9</v>
      </c>
      <c r="B619" s="32">
        <v>45921</v>
      </c>
      <c r="C619" s="36" t="s">
        <v>77</v>
      </c>
      <c r="D619" s="43">
        <v>1</v>
      </c>
      <c r="E619" s="48" t="s">
        <v>803</v>
      </c>
      <c r="F619" s="48" t="s">
        <v>555</v>
      </c>
      <c r="G619" s="49">
        <v>15</v>
      </c>
      <c r="H619" s="10">
        <v>15</v>
      </c>
      <c r="I619" s="52">
        <v>50</v>
      </c>
      <c r="J619" s="10">
        <v>50</v>
      </c>
      <c r="K619" s="55" t="s">
        <v>346</v>
      </c>
      <c r="L619" s="57">
        <v>0.5</v>
      </c>
      <c r="M619" s="50">
        <v>35</v>
      </c>
      <c r="N619" s="64"/>
      <c r="O619" s="50"/>
      <c r="P619" s="52" t="s">
        <v>20</v>
      </c>
    </row>
    <row r="620" spans="1:16" ht="15" customHeight="1">
      <c r="A620" s="28">
        <v>9</v>
      </c>
      <c r="B620" s="32">
        <v>45922</v>
      </c>
      <c r="C620" s="36" t="s">
        <v>797</v>
      </c>
      <c r="D620" s="43">
        <v>2</v>
      </c>
      <c r="E620" s="48" t="s">
        <v>773</v>
      </c>
      <c r="F620" s="48" t="s">
        <v>555</v>
      </c>
      <c r="G620" s="49">
        <v>2.5</v>
      </c>
      <c r="H620" s="10">
        <v>5</v>
      </c>
      <c r="I620" s="52">
        <v>5</v>
      </c>
      <c r="J620" s="10">
        <v>10</v>
      </c>
      <c r="K620" s="55" t="s">
        <v>346</v>
      </c>
      <c r="L620" s="57">
        <v>0.5</v>
      </c>
      <c r="M620" s="50">
        <v>5</v>
      </c>
      <c r="N620" s="64"/>
      <c r="O620" s="50"/>
      <c r="P620" s="52" t="s">
        <v>20</v>
      </c>
    </row>
    <row r="621" spans="1:16" ht="15" customHeight="1">
      <c r="A621" s="28">
        <v>9</v>
      </c>
      <c r="B621" s="32">
        <v>45922</v>
      </c>
      <c r="C621" s="36" t="s">
        <v>200</v>
      </c>
      <c r="D621" s="43">
        <v>1</v>
      </c>
      <c r="E621" s="48" t="s">
        <v>804</v>
      </c>
      <c r="F621" s="48" t="s">
        <v>555</v>
      </c>
      <c r="G621" s="49">
        <v>0</v>
      </c>
      <c r="H621" s="10">
        <v>0</v>
      </c>
      <c r="I621" s="52">
        <v>50</v>
      </c>
      <c r="J621" s="10">
        <v>50</v>
      </c>
      <c r="K621" s="55" t="s">
        <v>346</v>
      </c>
      <c r="L621" s="57">
        <v>0.65</v>
      </c>
      <c r="M621" s="50">
        <v>50</v>
      </c>
      <c r="N621" s="64"/>
      <c r="O621" s="50"/>
      <c r="P621" s="52" t="s">
        <v>20</v>
      </c>
    </row>
    <row r="622" spans="1:16" ht="15" customHeight="1">
      <c r="A622" s="28">
        <v>9</v>
      </c>
      <c r="B622" s="32">
        <v>45922</v>
      </c>
      <c r="C622" s="36" t="s">
        <v>805</v>
      </c>
      <c r="D622" s="43">
        <v>1</v>
      </c>
      <c r="E622" s="48" t="s">
        <v>804</v>
      </c>
      <c r="F622" s="48" t="s">
        <v>555</v>
      </c>
      <c r="G622" s="49">
        <v>97.55</v>
      </c>
      <c r="H622" s="10">
        <v>97.55</v>
      </c>
      <c r="I622" s="52">
        <v>200</v>
      </c>
      <c r="J622" s="10">
        <v>200</v>
      </c>
      <c r="K622" s="55" t="s">
        <v>346</v>
      </c>
      <c r="L622" s="57">
        <v>0.5</v>
      </c>
      <c r="M622" s="50">
        <v>102.45</v>
      </c>
      <c r="N622" s="64"/>
      <c r="O622" s="50"/>
      <c r="P622" s="52" t="s">
        <v>20</v>
      </c>
    </row>
    <row r="623" spans="1:16" ht="15" customHeight="1">
      <c r="A623" s="28">
        <v>9</v>
      </c>
      <c r="B623" s="32">
        <v>45922</v>
      </c>
      <c r="C623" s="36" t="s">
        <v>806</v>
      </c>
      <c r="D623" s="43">
        <v>1</v>
      </c>
      <c r="E623" s="48" t="s">
        <v>804</v>
      </c>
      <c r="F623" s="48" t="s">
        <v>555</v>
      </c>
      <c r="G623" s="49">
        <v>46.2</v>
      </c>
      <c r="H623" s="10">
        <v>46.2</v>
      </c>
      <c r="I623" s="52">
        <v>100</v>
      </c>
      <c r="J623" s="10">
        <v>100</v>
      </c>
      <c r="K623" s="55" t="s">
        <v>346</v>
      </c>
      <c r="L623" s="57">
        <v>0.8</v>
      </c>
      <c r="M623" s="50">
        <v>53.8</v>
      </c>
      <c r="N623" s="64"/>
      <c r="O623" s="50"/>
      <c r="P623" s="52" t="s">
        <v>20</v>
      </c>
    </row>
    <row r="624" spans="1:16" ht="15" customHeight="1">
      <c r="A624" s="73">
        <v>9</v>
      </c>
      <c r="B624" s="76">
        <v>45922</v>
      </c>
      <c r="C624" s="79" t="s">
        <v>807</v>
      </c>
      <c r="D624" s="84">
        <v>1</v>
      </c>
      <c r="E624" s="87" t="s">
        <v>804</v>
      </c>
      <c r="F624" s="87" t="s">
        <v>555</v>
      </c>
      <c r="G624" s="90">
        <v>35</v>
      </c>
      <c r="H624" s="10">
        <v>35</v>
      </c>
      <c r="I624" s="92">
        <v>75</v>
      </c>
      <c r="J624" s="69">
        <v>75</v>
      </c>
      <c r="K624" s="55" t="s">
        <v>346</v>
      </c>
      <c r="L624" s="99">
        <v>0.5</v>
      </c>
      <c r="M624" s="50">
        <v>40</v>
      </c>
      <c r="N624" s="102"/>
      <c r="O624" s="105"/>
      <c r="P624" s="92" t="s">
        <v>20</v>
      </c>
    </row>
    <row r="625" spans="1:16" ht="15" customHeight="1">
      <c r="A625" s="28">
        <v>9</v>
      </c>
      <c r="B625" s="32">
        <v>45922</v>
      </c>
      <c r="C625" s="36" t="s">
        <v>808</v>
      </c>
      <c r="D625" s="43">
        <v>1</v>
      </c>
      <c r="E625" s="48" t="s">
        <v>796</v>
      </c>
      <c r="F625" s="48" t="s">
        <v>555</v>
      </c>
      <c r="G625" s="49">
        <v>20</v>
      </c>
      <c r="H625" s="10">
        <v>20</v>
      </c>
      <c r="I625" s="52">
        <v>30</v>
      </c>
      <c r="J625" s="10">
        <v>30</v>
      </c>
      <c r="K625" s="55" t="s">
        <v>346</v>
      </c>
      <c r="L625" s="57">
        <v>0.6</v>
      </c>
      <c r="M625" s="50">
        <v>10</v>
      </c>
      <c r="N625" s="64"/>
      <c r="O625" s="50"/>
      <c r="P625" s="52" t="s">
        <v>20</v>
      </c>
    </row>
    <row r="626" spans="1:16" ht="15" customHeight="1">
      <c r="A626" s="28">
        <v>9</v>
      </c>
      <c r="B626" s="32">
        <v>45922</v>
      </c>
      <c r="C626" s="36" t="s">
        <v>809</v>
      </c>
      <c r="D626" s="43">
        <v>1</v>
      </c>
      <c r="E626" s="48" t="s">
        <v>796</v>
      </c>
      <c r="F626" s="48" t="s">
        <v>555</v>
      </c>
      <c r="G626" s="49">
        <v>5</v>
      </c>
      <c r="H626" s="10">
        <v>5</v>
      </c>
      <c r="I626" s="52">
        <v>10</v>
      </c>
      <c r="J626" s="10">
        <v>10</v>
      </c>
      <c r="K626" s="55" t="s">
        <v>346</v>
      </c>
      <c r="L626" s="57">
        <v>1</v>
      </c>
      <c r="M626" s="50">
        <v>5</v>
      </c>
      <c r="N626" s="64"/>
      <c r="O626" s="50"/>
      <c r="P626" s="52" t="s">
        <v>20</v>
      </c>
    </row>
    <row r="627" spans="1:16" ht="15" customHeight="1">
      <c r="A627" s="28">
        <v>9</v>
      </c>
      <c r="B627" s="32">
        <v>45923</v>
      </c>
      <c r="C627" s="36" t="s">
        <v>810</v>
      </c>
      <c r="D627" s="43">
        <v>1</v>
      </c>
      <c r="E627" s="48" t="s">
        <v>273</v>
      </c>
      <c r="F627" s="48" t="s">
        <v>555</v>
      </c>
      <c r="G627" s="49">
        <v>40</v>
      </c>
      <c r="H627" s="10">
        <v>40</v>
      </c>
      <c r="I627" s="52">
        <v>150</v>
      </c>
      <c r="J627" s="10">
        <v>150</v>
      </c>
      <c r="K627" s="55" t="s">
        <v>346</v>
      </c>
      <c r="L627" s="57">
        <v>0.8</v>
      </c>
      <c r="M627" s="50">
        <v>110</v>
      </c>
      <c r="N627" s="64"/>
      <c r="O627" s="50"/>
      <c r="P627" s="52" t="s">
        <v>20</v>
      </c>
    </row>
    <row r="628" spans="1:16" ht="15" customHeight="1">
      <c r="A628" s="28">
        <v>9</v>
      </c>
      <c r="B628" s="32">
        <v>45923</v>
      </c>
      <c r="C628" s="36" t="s">
        <v>811</v>
      </c>
      <c r="D628" s="43">
        <v>1</v>
      </c>
      <c r="E628" s="48" t="s">
        <v>812</v>
      </c>
      <c r="F628" s="48" t="s">
        <v>555</v>
      </c>
      <c r="G628" s="49">
        <v>5</v>
      </c>
      <c r="H628" s="10">
        <v>5</v>
      </c>
      <c r="I628" s="52">
        <v>15</v>
      </c>
      <c r="J628" s="10">
        <v>15</v>
      </c>
      <c r="K628" s="55" t="s">
        <v>346</v>
      </c>
      <c r="L628" s="57">
        <v>0.81203007518796988</v>
      </c>
      <c r="M628" s="50">
        <v>10</v>
      </c>
      <c r="N628" s="64"/>
      <c r="O628" s="50"/>
      <c r="P628" s="52" t="s">
        <v>20</v>
      </c>
    </row>
    <row r="629" spans="1:16" ht="15" customHeight="1">
      <c r="A629" s="28">
        <v>9</v>
      </c>
      <c r="B629" s="32">
        <v>45923</v>
      </c>
      <c r="C629" s="36" t="s">
        <v>204</v>
      </c>
      <c r="D629" s="43">
        <v>1</v>
      </c>
      <c r="E629" s="48" t="s">
        <v>812</v>
      </c>
      <c r="F629" s="48" t="s">
        <v>555</v>
      </c>
      <c r="G629" s="49">
        <v>10</v>
      </c>
      <c r="H629" s="10">
        <v>10</v>
      </c>
      <c r="I629" s="52">
        <v>20</v>
      </c>
      <c r="J629" s="10">
        <v>20</v>
      </c>
      <c r="K629" s="55" t="s">
        <v>346</v>
      </c>
      <c r="L629" s="57">
        <v>0.49118046132971505</v>
      </c>
      <c r="M629" s="50">
        <v>10</v>
      </c>
      <c r="N629" s="64"/>
      <c r="O629" s="50"/>
      <c r="P629" s="52" t="s">
        <v>20</v>
      </c>
    </row>
    <row r="630" spans="1:16" ht="15" customHeight="1">
      <c r="A630" s="28">
        <v>9</v>
      </c>
      <c r="B630" s="32">
        <v>45923</v>
      </c>
      <c r="C630" s="36" t="s">
        <v>323</v>
      </c>
      <c r="D630" s="43">
        <v>11</v>
      </c>
      <c r="E630" s="48" t="s">
        <v>635</v>
      </c>
      <c r="F630" s="48" t="s">
        <v>555</v>
      </c>
      <c r="G630" s="49">
        <v>7.0000000000000007E-2</v>
      </c>
      <c r="H630" s="10">
        <v>0.77</v>
      </c>
      <c r="I630" s="52">
        <v>1</v>
      </c>
      <c r="J630" s="10">
        <v>11</v>
      </c>
      <c r="K630" s="55" t="s">
        <v>346</v>
      </c>
      <c r="L630" s="57">
        <v>1</v>
      </c>
      <c r="M630" s="50">
        <v>10.23</v>
      </c>
      <c r="N630" s="64"/>
      <c r="O630" s="50"/>
      <c r="P630" s="52" t="s">
        <v>20</v>
      </c>
    </row>
    <row r="631" spans="1:16" ht="15" customHeight="1">
      <c r="A631" s="73">
        <v>9</v>
      </c>
      <c r="B631" s="76">
        <v>45923</v>
      </c>
      <c r="C631" s="79" t="s">
        <v>323</v>
      </c>
      <c r="D631" s="84">
        <v>8</v>
      </c>
      <c r="E631" s="87" t="s">
        <v>26</v>
      </c>
      <c r="F631" s="87" t="s">
        <v>555</v>
      </c>
      <c r="G631" s="90">
        <v>7.0000000000000007E-2</v>
      </c>
      <c r="H631" s="10">
        <v>0.56000000000000005</v>
      </c>
      <c r="I631" s="92">
        <v>1</v>
      </c>
      <c r="J631" s="69">
        <v>8</v>
      </c>
      <c r="K631" s="55" t="s">
        <v>346</v>
      </c>
      <c r="L631" s="99">
        <v>0.75</v>
      </c>
      <c r="M631" s="50">
        <v>7.4399999999999995</v>
      </c>
      <c r="N631" s="102"/>
      <c r="O631" s="105"/>
      <c r="P631" s="92" t="s">
        <v>20</v>
      </c>
    </row>
    <row r="632" spans="1:16" ht="15" customHeight="1">
      <c r="A632" s="28">
        <v>9</v>
      </c>
      <c r="B632" s="32">
        <v>45924</v>
      </c>
      <c r="C632" s="36" t="s">
        <v>813</v>
      </c>
      <c r="D632" s="43">
        <v>1</v>
      </c>
      <c r="E632" s="48" t="s">
        <v>814</v>
      </c>
      <c r="F632" s="48" t="s">
        <v>555</v>
      </c>
      <c r="G632" s="49">
        <v>16</v>
      </c>
      <c r="H632" s="10">
        <v>16</v>
      </c>
      <c r="I632" s="52">
        <v>30</v>
      </c>
      <c r="J632" s="10">
        <v>30</v>
      </c>
      <c r="K632" s="55" t="s">
        <v>346</v>
      </c>
      <c r="L632" s="57">
        <v>1</v>
      </c>
      <c r="M632" s="50">
        <v>14</v>
      </c>
      <c r="N632" s="64"/>
      <c r="O632" s="50"/>
      <c r="P632" s="52" t="s">
        <v>20</v>
      </c>
    </row>
    <row r="633" spans="1:16" ht="15" customHeight="1">
      <c r="A633" s="28">
        <v>9</v>
      </c>
      <c r="B633" s="32">
        <v>45925</v>
      </c>
      <c r="C633" s="36" t="s">
        <v>323</v>
      </c>
      <c r="D633" s="43">
        <v>1</v>
      </c>
      <c r="E633" s="48" t="s">
        <v>58</v>
      </c>
      <c r="F633" s="48" t="s">
        <v>555</v>
      </c>
      <c r="G633" s="49">
        <v>7.0000000000000007E-2</v>
      </c>
      <c r="H633" s="10">
        <v>7.0000000000000007E-2</v>
      </c>
      <c r="I633" s="52">
        <v>1</v>
      </c>
      <c r="J633" s="10">
        <v>1</v>
      </c>
      <c r="K633" s="55" t="s">
        <v>346</v>
      </c>
      <c r="L633" s="57">
        <v>0.98</v>
      </c>
      <c r="M633" s="50">
        <v>0.92999999999999994</v>
      </c>
      <c r="N633" s="64"/>
      <c r="O633" s="50"/>
      <c r="P633" s="52" t="s">
        <v>20</v>
      </c>
    </row>
    <row r="634" spans="1:16" ht="15" customHeight="1">
      <c r="A634" s="28">
        <v>9</v>
      </c>
      <c r="B634" s="32">
        <v>45925</v>
      </c>
      <c r="C634" s="36" t="s">
        <v>735</v>
      </c>
      <c r="D634" s="43">
        <v>1</v>
      </c>
      <c r="E634" s="48" t="s">
        <v>26</v>
      </c>
      <c r="F634" s="48" t="s">
        <v>555</v>
      </c>
      <c r="G634" s="49" t="s">
        <v>79</v>
      </c>
      <c r="H634" s="10">
        <v>0</v>
      </c>
      <c r="I634" s="52">
        <v>3</v>
      </c>
      <c r="J634" s="10">
        <v>3</v>
      </c>
      <c r="K634" s="55" t="s">
        <v>346</v>
      </c>
      <c r="L634" s="57">
        <v>0.99</v>
      </c>
      <c r="M634" s="50">
        <v>3</v>
      </c>
      <c r="N634" s="64"/>
      <c r="O634" s="50"/>
      <c r="P634" s="52" t="s">
        <v>20</v>
      </c>
    </row>
    <row r="635" spans="1:16" ht="15" customHeight="1">
      <c r="A635" s="28">
        <v>9</v>
      </c>
      <c r="B635" s="32">
        <v>45925</v>
      </c>
      <c r="C635" s="36" t="s">
        <v>682</v>
      </c>
      <c r="D635" s="43">
        <v>1</v>
      </c>
      <c r="E635" s="48" t="s">
        <v>26</v>
      </c>
      <c r="F635" s="48" t="s">
        <v>555</v>
      </c>
      <c r="G635" s="49">
        <v>4</v>
      </c>
      <c r="H635" s="10">
        <v>4</v>
      </c>
      <c r="I635" s="52">
        <v>15</v>
      </c>
      <c r="J635" s="10">
        <v>15</v>
      </c>
      <c r="K635" s="55" t="s">
        <v>346</v>
      </c>
      <c r="L635" s="57">
        <v>0.73333333333333328</v>
      </c>
      <c r="M635" s="50">
        <v>11</v>
      </c>
      <c r="N635" s="64"/>
      <c r="O635" s="50"/>
      <c r="P635" s="52" t="s">
        <v>20</v>
      </c>
    </row>
    <row r="636" spans="1:16" ht="15" customHeight="1">
      <c r="A636" s="28">
        <v>9</v>
      </c>
      <c r="B636" s="32">
        <v>45925</v>
      </c>
      <c r="C636" s="36" t="s">
        <v>797</v>
      </c>
      <c r="D636" s="43">
        <v>1</v>
      </c>
      <c r="E636" s="48" t="s">
        <v>26</v>
      </c>
      <c r="F636" s="48" t="s">
        <v>555</v>
      </c>
      <c r="G636" s="49">
        <v>2.5</v>
      </c>
      <c r="H636" s="10">
        <v>2.5</v>
      </c>
      <c r="I636" s="52">
        <v>5</v>
      </c>
      <c r="J636" s="10">
        <v>5</v>
      </c>
      <c r="K636" s="55" t="s">
        <v>346</v>
      </c>
      <c r="L636" s="57">
        <v>0.66666666666666663</v>
      </c>
      <c r="M636" s="50">
        <v>2.5</v>
      </c>
      <c r="N636" s="64"/>
      <c r="O636" s="50"/>
      <c r="P636" s="52" t="s">
        <v>20</v>
      </c>
    </row>
    <row r="637" spans="1:16" ht="15" customHeight="1">
      <c r="A637" s="28">
        <v>9</v>
      </c>
      <c r="B637" s="32">
        <v>45926</v>
      </c>
      <c r="C637" s="81" t="s">
        <v>323</v>
      </c>
      <c r="D637" s="43">
        <v>5</v>
      </c>
      <c r="E637" s="48" t="s">
        <v>26</v>
      </c>
      <c r="F637" s="48" t="s">
        <v>555</v>
      </c>
      <c r="G637" s="49">
        <v>7.0000000000000007E-2</v>
      </c>
      <c r="H637" s="10">
        <v>0.35000000000000003</v>
      </c>
      <c r="I637" s="52">
        <v>1</v>
      </c>
      <c r="J637" s="10">
        <v>5</v>
      </c>
      <c r="K637" s="55" t="s">
        <v>346</v>
      </c>
      <c r="L637" s="57">
        <v>0.8</v>
      </c>
      <c r="M637" s="50">
        <v>4.6500000000000004</v>
      </c>
      <c r="N637" s="64"/>
      <c r="O637" s="50"/>
      <c r="P637" s="52" t="s">
        <v>20</v>
      </c>
    </row>
    <row r="638" spans="1:16" ht="15" customHeight="1">
      <c r="A638" s="73">
        <v>9</v>
      </c>
      <c r="B638" s="76">
        <v>45926</v>
      </c>
      <c r="C638" s="79" t="s">
        <v>797</v>
      </c>
      <c r="D638" s="84">
        <v>2</v>
      </c>
      <c r="E638" s="87" t="s">
        <v>26</v>
      </c>
      <c r="F638" s="87" t="s">
        <v>555</v>
      </c>
      <c r="G638" s="90">
        <v>2.5</v>
      </c>
      <c r="H638" s="10">
        <v>5</v>
      </c>
      <c r="I638" s="92">
        <v>5</v>
      </c>
      <c r="J638" s="69">
        <v>10</v>
      </c>
      <c r="K638" s="55" t="s">
        <v>346</v>
      </c>
      <c r="L638" s="99">
        <v>0.5</v>
      </c>
      <c r="M638" s="50">
        <v>5</v>
      </c>
      <c r="N638" s="102"/>
      <c r="O638" s="105"/>
      <c r="P638" s="92" t="s">
        <v>20</v>
      </c>
    </row>
    <row r="639" spans="1:16" ht="15" customHeight="1">
      <c r="A639" s="28">
        <v>9</v>
      </c>
      <c r="B639" s="32">
        <v>45927</v>
      </c>
      <c r="C639" s="36" t="s">
        <v>797</v>
      </c>
      <c r="D639" s="43">
        <v>2</v>
      </c>
      <c r="E639" s="48" t="s">
        <v>815</v>
      </c>
      <c r="F639" s="48" t="s">
        <v>555</v>
      </c>
      <c r="G639" s="49">
        <v>2.5</v>
      </c>
      <c r="H639" s="10">
        <v>5</v>
      </c>
      <c r="I639" s="52">
        <v>5</v>
      </c>
      <c r="J639" s="10">
        <v>10</v>
      </c>
      <c r="K639" s="95" t="s">
        <v>346</v>
      </c>
      <c r="L639" s="57">
        <v>0.4</v>
      </c>
      <c r="M639" s="50">
        <v>5</v>
      </c>
      <c r="N639" s="64"/>
      <c r="O639" s="103"/>
      <c r="P639" s="52" t="s">
        <v>20</v>
      </c>
    </row>
    <row r="640" spans="1:16" ht="15" customHeight="1">
      <c r="A640" s="28">
        <v>9</v>
      </c>
      <c r="B640" s="32">
        <v>45927</v>
      </c>
      <c r="C640" s="36" t="s">
        <v>797</v>
      </c>
      <c r="D640" s="43">
        <v>1</v>
      </c>
      <c r="E640" s="48" t="s">
        <v>776</v>
      </c>
      <c r="F640" s="48" t="s">
        <v>555</v>
      </c>
      <c r="G640" s="49">
        <v>2.5</v>
      </c>
      <c r="H640" s="10">
        <v>2.5</v>
      </c>
      <c r="I640" s="52">
        <v>5</v>
      </c>
      <c r="J640" s="10">
        <v>5</v>
      </c>
      <c r="K640" s="95" t="s">
        <v>346</v>
      </c>
      <c r="L640" s="57">
        <v>0.8</v>
      </c>
      <c r="M640" s="50">
        <v>2.5</v>
      </c>
      <c r="N640" s="64"/>
      <c r="O640" s="103"/>
      <c r="P640" s="52" t="s">
        <v>20</v>
      </c>
    </row>
    <row r="641" spans="1:16" ht="15" customHeight="1">
      <c r="A641" s="28">
        <v>9</v>
      </c>
      <c r="B641" s="32">
        <v>45927</v>
      </c>
      <c r="C641" s="36" t="s">
        <v>323</v>
      </c>
      <c r="D641" s="43">
        <v>1</v>
      </c>
      <c r="E641" s="48" t="s">
        <v>26</v>
      </c>
      <c r="F641" s="48" t="s">
        <v>555</v>
      </c>
      <c r="G641" s="49">
        <v>7.0000000000000007E-2</v>
      </c>
      <c r="H641" s="10">
        <v>7.0000000000000007E-2</v>
      </c>
      <c r="I641" s="52">
        <v>1</v>
      </c>
      <c r="J641" s="10">
        <v>1</v>
      </c>
      <c r="K641" s="95" t="s">
        <v>346</v>
      </c>
      <c r="L641" s="57">
        <v>0.98</v>
      </c>
      <c r="M641" s="50">
        <v>0.92999999999999994</v>
      </c>
      <c r="N641" s="64"/>
      <c r="O641" s="103"/>
      <c r="P641" s="52" t="s">
        <v>20</v>
      </c>
    </row>
    <row r="642" spans="1:16" ht="15" customHeight="1">
      <c r="A642" s="28">
        <v>9</v>
      </c>
      <c r="B642" s="32">
        <v>45927</v>
      </c>
      <c r="C642" s="36" t="s">
        <v>816</v>
      </c>
      <c r="D642" s="43">
        <v>2</v>
      </c>
      <c r="E642" s="48" t="s">
        <v>400</v>
      </c>
      <c r="F642" s="48" t="s">
        <v>555</v>
      </c>
      <c r="G642" s="49">
        <v>2.5</v>
      </c>
      <c r="H642" s="10">
        <v>5</v>
      </c>
      <c r="I642" s="52">
        <v>5</v>
      </c>
      <c r="J642" s="10">
        <v>10</v>
      </c>
      <c r="K642" s="95" t="s">
        <v>346</v>
      </c>
      <c r="L642" s="57">
        <v>0.5</v>
      </c>
      <c r="M642" s="50">
        <v>5</v>
      </c>
      <c r="N642" s="64"/>
      <c r="O642" s="103"/>
      <c r="P642" s="52" t="s">
        <v>20</v>
      </c>
    </row>
    <row r="643" spans="1:16" ht="15" customHeight="1">
      <c r="A643" s="28">
        <v>9</v>
      </c>
      <c r="B643" s="32">
        <v>45929</v>
      </c>
      <c r="C643" s="36" t="s">
        <v>323</v>
      </c>
      <c r="D643" s="43">
        <v>1</v>
      </c>
      <c r="E643" s="48" t="s">
        <v>26</v>
      </c>
      <c r="F643" s="48" t="s">
        <v>555</v>
      </c>
      <c r="G643" s="49">
        <v>7.0000000000000007E-2</v>
      </c>
      <c r="H643" s="10">
        <v>7.0000000000000007E-2</v>
      </c>
      <c r="I643" s="52">
        <v>1</v>
      </c>
      <c r="J643" s="10">
        <v>1</v>
      </c>
      <c r="K643" s="95" t="s">
        <v>346</v>
      </c>
      <c r="L643" s="57">
        <v>0.5</v>
      </c>
      <c r="M643" s="50">
        <v>0.92999999999999994</v>
      </c>
      <c r="N643" s="64"/>
      <c r="O643" s="103"/>
      <c r="P643" s="52" t="s">
        <v>20</v>
      </c>
    </row>
    <row r="644" spans="1:16" ht="15" customHeight="1">
      <c r="A644" s="28">
        <v>9</v>
      </c>
      <c r="B644" s="32">
        <v>45929</v>
      </c>
      <c r="C644" s="36" t="s">
        <v>725</v>
      </c>
      <c r="D644" s="43">
        <v>4</v>
      </c>
      <c r="E644" s="48" t="s">
        <v>26</v>
      </c>
      <c r="F644" s="48" t="s">
        <v>555</v>
      </c>
      <c r="G644" s="49">
        <v>5</v>
      </c>
      <c r="H644" s="10">
        <v>20</v>
      </c>
      <c r="I644" s="52">
        <v>10</v>
      </c>
      <c r="J644" s="10">
        <v>40</v>
      </c>
      <c r="K644" s="95" t="s">
        <v>346</v>
      </c>
      <c r="L644" s="57">
        <v>0.5</v>
      </c>
      <c r="M644" s="50">
        <v>20</v>
      </c>
      <c r="N644" s="64"/>
      <c r="O644" s="103"/>
      <c r="P644" s="52" t="s">
        <v>20</v>
      </c>
    </row>
    <row r="645" spans="1:16" ht="15" customHeight="1">
      <c r="A645" s="28">
        <v>9</v>
      </c>
      <c r="B645" s="32">
        <v>45929</v>
      </c>
      <c r="C645" s="36" t="s">
        <v>817</v>
      </c>
      <c r="D645" s="43">
        <v>1</v>
      </c>
      <c r="E645" s="48" t="s">
        <v>26</v>
      </c>
      <c r="F645" s="48" t="s">
        <v>555</v>
      </c>
      <c r="G645" s="49">
        <v>9</v>
      </c>
      <c r="H645" s="10">
        <v>9</v>
      </c>
      <c r="I645" s="52">
        <v>20</v>
      </c>
      <c r="J645" s="10">
        <v>20</v>
      </c>
      <c r="K645" s="95" t="s">
        <v>346</v>
      </c>
      <c r="L645" s="57">
        <v>0.625</v>
      </c>
      <c r="M645" s="50">
        <v>11</v>
      </c>
      <c r="N645" s="64"/>
      <c r="O645" s="103"/>
      <c r="P645" s="52" t="s">
        <v>20</v>
      </c>
    </row>
    <row r="646" spans="1:16" ht="15" customHeight="1">
      <c r="A646" s="28">
        <v>9</v>
      </c>
      <c r="B646" s="32">
        <v>45929</v>
      </c>
      <c r="C646" s="36" t="s">
        <v>818</v>
      </c>
      <c r="D646" s="43">
        <v>1</v>
      </c>
      <c r="E646" s="48" t="s">
        <v>26</v>
      </c>
      <c r="F646" s="48" t="s">
        <v>796</v>
      </c>
      <c r="G646" s="49">
        <v>10</v>
      </c>
      <c r="H646" s="10">
        <v>10</v>
      </c>
      <c r="I646" s="52">
        <v>15</v>
      </c>
      <c r="J646" s="10">
        <v>15</v>
      </c>
      <c r="K646" s="95" t="s">
        <v>346</v>
      </c>
      <c r="L646" s="57">
        <v>0.60039999999999993</v>
      </c>
      <c r="M646" s="50">
        <v>5</v>
      </c>
      <c r="N646" s="64"/>
      <c r="O646" s="103"/>
      <c r="P646" s="52" t="s">
        <v>20</v>
      </c>
    </row>
    <row r="647" spans="1:16" ht="15" customHeight="1">
      <c r="A647" s="28">
        <v>9</v>
      </c>
      <c r="B647" s="32">
        <v>45930</v>
      </c>
      <c r="C647" s="36" t="s">
        <v>323</v>
      </c>
      <c r="D647" s="43">
        <v>4</v>
      </c>
      <c r="E647" s="48" t="s">
        <v>26</v>
      </c>
      <c r="F647" s="48" t="s">
        <v>555</v>
      </c>
      <c r="G647" s="49">
        <v>7.0000000000000007E-2</v>
      </c>
      <c r="H647" s="10">
        <v>0.28000000000000003</v>
      </c>
      <c r="I647" s="52">
        <v>1</v>
      </c>
      <c r="J647" s="10">
        <v>4</v>
      </c>
      <c r="K647" s="95" t="s">
        <v>346</v>
      </c>
      <c r="L647" s="57">
        <v>0.5</v>
      </c>
      <c r="M647" s="50">
        <v>3.7199999999999998</v>
      </c>
      <c r="N647" s="64"/>
      <c r="O647" s="103"/>
      <c r="P647" s="52" t="s">
        <v>20</v>
      </c>
    </row>
    <row r="648" spans="1:16" ht="15" customHeight="1">
      <c r="A648" s="28">
        <v>10</v>
      </c>
      <c r="B648" s="32">
        <v>45932</v>
      </c>
      <c r="C648" s="36" t="s">
        <v>321</v>
      </c>
      <c r="D648" s="43">
        <v>1</v>
      </c>
      <c r="E648" s="48" t="s">
        <v>26</v>
      </c>
      <c r="F648" s="48" t="s">
        <v>555</v>
      </c>
      <c r="G648" s="49">
        <v>3</v>
      </c>
      <c r="H648" s="10">
        <v>3</v>
      </c>
      <c r="I648" s="52">
        <v>15</v>
      </c>
      <c r="J648" s="10">
        <v>15</v>
      </c>
      <c r="K648" s="95" t="s">
        <v>346</v>
      </c>
      <c r="L648" s="57">
        <v>0.5</v>
      </c>
      <c r="M648" s="50">
        <v>12</v>
      </c>
      <c r="N648" s="64"/>
      <c r="O648" s="103"/>
      <c r="P648" s="52" t="s">
        <v>20</v>
      </c>
    </row>
    <row r="649" spans="1:16" ht="15" customHeight="1">
      <c r="A649" s="28">
        <v>10</v>
      </c>
      <c r="B649" s="32">
        <v>45932</v>
      </c>
      <c r="C649" s="36" t="s">
        <v>760</v>
      </c>
      <c r="D649" s="43">
        <v>1</v>
      </c>
      <c r="E649" s="48" t="s">
        <v>26</v>
      </c>
      <c r="F649" s="48" t="s">
        <v>555</v>
      </c>
      <c r="G649" s="49" t="s">
        <v>79</v>
      </c>
      <c r="H649" s="10">
        <v>0</v>
      </c>
      <c r="I649" s="52">
        <v>15</v>
      </c>
      <c r="J649" s="10">
        <v>15</v>
      </c>
      <c r="K649" s="95" t="s">
        <v>346</v>
      </c>
      <c r="L649" s="57">
        <v>0.6</v>
      </c>
      <c r="M649" s="50">
        <v>15</v>
      </c>
      <c r="N649" s="64"/>
      <c r="O649" s="103"/>
      <c r="P649" s="52" t="s">
        <v>20</v>
      </c>
    </row>
    <row r="650" spans="1:16" ht="15" customHeight="1">
      <c r="A650" s="28">
        <v>10</v>
      </c>
      <c r="B650" s="32">
        <v>45932</v>
      </c>
      <c r="C650" s="36" t="s">
        <v>819</v>
      </c>
      <c r="D650" s="43">
        <v>1</v>
      </c>
      <c r="E650" s="48" t="s">
        <v>26</v>
      </c>
      <c r="F650" s="48" t="s">
        <v>555</v>
      </c>
      <c r="G650" s="49">
        <v>10</v>
      </c>
      <c r="H650" s="10">
        <v>10</v>
      </c>
      <c r="I650" s="52">
        <v>15</v>
      </c>
      <c r="J650" s="10">
        <v>15</v>
      </c>
      <c r="K650" s="95" t="s">
        <v>346</v>
      </c>
      <c r="L650" s="57">
        <v>0.5</v>
      </c>
      <c r="M650" s="50">
        <v>5</v>
      </c>
      <c r="N650" s="64"/>
      <c r="O650" s="103"/>
      <c r="P650" s="52" t="s">
        <v>20</v>
      </c>
    </row>
    <row r="651" spans="1:16" ht="15" customHeight="1">
      <c r="A651" s="28">
        <v>10</v>
      </c>
      <c r="B651" s="32">
        <v>45932</v>
      </c>
      <c r="C651" s="36" t="s">
        <v>682</v>
      </c>
      <c r="D651" s="43">
        <v>1</v>
      </c>
      <c r="E651" s="48" t="s">
        <v>26</v>
      </c>
      <c r="F651" s="48" t="s">
        <v>555</v>
      </c>
      <c r="G651" s="49">
        <v>5</v>
      </c>
      <c r="H651" s="10">
        <v>5</v>
      </c>
      <c r="I651" s="52">
        <v>15</v>
      </c>
      <c r="J651" s="10">
        <v>15</v>
      </c>
      <c r="K651" s="95" t="s">
        <v>346</v>
      </c>
      <c r="L651" s="57">
        <v>0.53799999999999992</v>
      </c>
      <c r="M651" s="50">
        <v>10</v>
      </c>
      <c r="N651" s="64"/>
      <c r="O651" s="103"/>
      <c r="P651" s="52" t="s">
        <v>20</v>
      </c>
    </row>
    <row r="652" spans="1:16" ht="15" customHeight="1">
      <c r="A652" s="28">
        <v>10</v>
      </c>
      <c r="B652" s="32">
        <v>45932</v>
      </c>
      <c r="C652" s="36" t="s">
        <v>797</v>
      </c>
      <c r="D652" s="43">
        <v>3</v>
      </c>
      <c r="E652" s="48" t="s">
        <v>801</v>
      </c>
      <c r="F652" s="48" t="s">
        <v>555</v>
      </c>
      <c r="G652" s="49">
        <v>2.5</v>
      </c>
      <c r="H652" s="10">
        <v>7.5</v>
      </c>
      <c r="I652" s="52">
        <v>5</v>
      </c>
      <c r="J652" s="10">
        <v>15</v>
      </c>
      <c r="K652" s="95" t="s">
        <v>346</v>
      </c>
      <c r="L652" s="57">
        <v>0.92999999999999994</v>
      </c>
      <c r="M652" s="50">
        <v>7.5</v>
      </c>
      <c r="N652" s="64"/>
      <c r="O652" s="103"/>
      <c r="P652" s="52" t="s">
        <v>20</v>
      </c>
    </row>
    <row r="653" spans="1:16" ht="15" customHeight="1">
      <c r="A653" s="28">
        <v>10</v>
      </c>
      <c r="B653" s="32">
        <v>45933</v>
      </c>
      <c r="C653" s="36" t="s">
        <v>820</v>
      </c>
      <c r="D653" s="43">
        <v>2</v>
      </c>
      <c r="E653" s="48" t="s">
        <v>821</v>
      </c>
      <c r="F653" s="48" t="s">
        <v>555</v>
      </c>
      <c r="G653" s="49">
        <v>5</v>
      </c>
      <c r="H653" s="10">
        <v>10</v>
      </c>
      <c r="I653" s="52">
        <v>15</v>
      </c>
      <c r="J653" s="10">
        <v>30</v>
      </c>
      <c r="K653" s="95" t="s">
        <v>346</v>
      </c>
      <c r="L653" s="57">
        <v>0.625</v>
      </c>
      <c r="M653" s="50">
        <v>20</v>
      </c>
      <c r="N653" s="64"/>
      <c r="O653" s="103"/>
      <c r="P653" s="52" t="s">
        <v>20</v>
      </c>
    </row>
    <row r="654" spans="1:16" ht="15" customHeight="1">
      <c r="A654" s="28">
        <v>10</v>
      </c>
      <c r="B654" s="32">
        <v>45933</v>
      </c>
      <c r="C654" s="36" t="s">
        <v>797</v>
      </c>
      <c r="D654" s="43">
        <v>2</v>
      </c>
      <c r="E654" s="48" t="s">
        <v>801</v>
      </c>
      <c r="F654" s="48" t="s">
        <v>555</v>
      </c>
      <c r="G654" s="49">
        <v>2.5</v>
      </c>
      <c r="H654" s="10">
        <v>5</v>
      </c>
      <c r="I654" s="52">
        <v>5</v>
      </c>
      <c r="J654" s="10">
        <v>10</v>
      </c>
      <c r="K654" s="95" t="s">
        <v>346</v>
      </c>
      <c r="L654" s="57">
        <v>0.6</v>
      </c>
      <c r="M654" s="50">
        <v>5</v>
      </c>
      <c r="N654" s="64"/>
      <c r="O654" s="103"/>
      <c r="P654" s="52" t="s">
        <v>20</v>
      </c>
    </row>
    <row r="655" spans="1:16" ht="15" customHeight="1">
      <c r="A655" s="28">
        <v>10</v>
      </c>
      <c r="B655" s="32">
        <v>45933</v>
      </c>
      <c r="C655" s="36" t="s">
        <v>323</v>
      </c>
      <c r="D655" s="43">
        <v>26</v>
      </c>
      <c r="E655" s="48" t="s">
        <v>749</v>
      </c>
      <c r="F655" s="48" t="s">
        <v>555</v>
      </c>
      <c r="G655" s="49">
        <v>7.0000000000000007E-2</v>
      </c>
      <c r="H655" s="10">
        <v>1.8200000000000003</v>
      </c>
      <c r="I655" s="52">
        <v>1</v>
      </c>
      <c r="J655" s="10">
        <v>26</v>
      </c>
      <c r="K655" s="95" t="s">
        <v>346</v>
      </c>
      <c r="L655" s="57">
        <v>0.4</v>
      </c>
      <c r="M655" s="50">
        <v>24.18</v>
      </c>
      <c r="N655" s="64"/>
      <c r="O655" s="103"/>
      <c r="P655" s="52" t="s">
        <v>588</v>
      </c>
    </row>
    <row r="656" spans="1:16" ht="15" customHeight="1">
      <c r="A656" s="28">
        <v>10</v>
      </c>
      <c r="B656" s="32">
        <v>45934</v>
      </c>
      <c r="C656" s="36" t="s">
        <v>562</v>
      </c>
      <c r="D656" s="43">
        <v>1</v>
      </c>
      <c r="E656" s="48" t="s">
        <v>26</v>
      </c>
      <c r="F656" s="48" t="s">
        <v>555</v>
      </c>
      <c r="G656" s="49">
        <v>18.5</v>
      </c>
      <c r="H656" s="10">
        <v>18.5</v>
      </c>
      <c r="I656" s="52">
        <v>30</v>
      </c>
      <c r="J656" s="10">
        <v>30</v>
      </c>
      <c r="K656" s="95" t="s">
        <v>346</v>
      </c>
      <c r="L656" s="57">
        <v>0.73333333333333328</v>
      </c>
      <c r="M656" s="50">
        <v>11.5</v>
      </c>
      <c r="N656" s="64"/>
      <c r="O656" s="103"/>
      <c r="P656" s="52" t="s">
        <v>20</v>
      </c>
    </row>
    <row r="657" spans="1:16" ht="15" customHeight="1">
      <c r="A657" s="28">
        <v>10</v>
      </c>
      <c r="B657" s="32">
        <v>45934</v>
      </c>
      <c r="C657" s="36" t="s">
        <v>797</v>
      </c>
      <c r="D657" s="43">
        <v>6</v>
      </c>
      <c r="E657" s="48" t="s">
        <v>26</v>
      </c>
      <c r="F657" s="48" t="s">
        <v>555</v>
      </c>
      <c r="G657" s="49">
        <v>2.5</v>
      </c>
      <c r="H657" s="10">
        <v>15</v>
      </c>
      <c r="I657" s="52">
        <v>5</v>
      </c>
      <c r="J657" s="10">
        <v>30</v>
      </c>
      <c r="K657" s="95" t="s">
        <v>346</v>
      </c>
      <c r="L657" s="57">
        <v>0.4</v>
      </c>
      <c r="M657" s="50">
        <v>15</v>
      </c>
      <c r="N657" s="64"/>
      <c r="O657" s="103"/>
      <c r="P657" s="52" t="s">
        <v>20</v>
      </c>
    </row>
    <row r="658" spans="1:16" ht="15" customHeight="1">
      <c r="A658" s="28">
        <v>10</v>
      </c>
      <c r="B658" s="32">
        <v>45934</v>
      </c>
      <c r="C658" s="36" t="s">
        <v>682</v>
      </c>
      <c r="D658" s="43">
        <v>1</v>
      </c>
      <c r="E658" s="48" t="s">
        <v>26</v>
      </c>
      <c r="F658" s="48" t="s">
        <v>555</v>
      </c>
      <c r="G658" s="49">
        <v>5</v>
      </c>
      <c r="H658" s="10">
        <v>5</v>
      </c>
      <c r="I658" s="52">
        <v>15</v>
      </c>
      <c r="J658" s="10">
        <v>15</v>
      </c>
      <c r="K658" s="95" t="s">
        <v>346</v>
      </c>
      <c r="L658" s="57">
        <v>0.57499999999999996</v>
      </c>
      <c r="M658" s="50">
        <v>10</v>
      </c>
      <c r="N658" s="64"/>
      <c r="O658" s="103"/>
      <c r="P658" s="52" t="s">
        <v>20</v>
      </c>
    </row>
    <row r="659" spans="1:16" ht="15" customHeight="1">
      <c r="A659" s="28">
        <v>10</v>
      </c>
      <c r="B659" s="32">
        <v>45934</v>
      </c>
      <c r="C659" s="36" t="s">
        <v>321</v>
      </c>
      <c r="D659" s="43">
        <v>1</v>
      </c>
      <c r="E659" s="48" t="s">
        <v>822</v>
      </c>
      <c r="F659" s="48" t="s">
        <v>555</v>
      </c>
      <c r="G659" s="49">
        <v>3</v>
      </c>
      <c r="H659" s="10">
        <v>3</v>
      </c>
      <c r="I659" s="52">
        <v>15</v>
      </c>
      <c r="J659" s="10">
        <v>15</v>
      </c>
      <c r="K659" s="95" t="s">
        <v>346</v>
      </c>
      <c r="L659" s="57">
        <v>0.4</v>
      </c>
      <c r="M659" s="50">
        <v>12</v>
      </c>
      <c r="N659" s="64"/>
      <c r="O659" s="103"/>
      <c r="P659" s="52" t="s">
        <v>20</v>
      </c>
    </row>
    <row r="660" spans="1:16" ht="15" customHeight="1">
      <c r="A660" s="28">
        <v>10</v>
      </c>
      <c r="B660" s="32">
        <v>45934</v>
      </c>
      <c r="C660" s="36" t="s">
        <v>716</v>
      </c>
      <c r="D660" s="43">
        <v>1</v>
      </c>
      <c r="E660" s="48" t="s">
        <v>822</v>
      </c>
      <c r="F660" s="48" t="s">
        <v>555</v>
      </c>
      <c r="G660" s="49">
        <v>15</v>
      </c>
      <c r="H660" s="10">
        <v>15</v>
      </c>
      <c r="I660" s="52">
        <v>30</v>
      </c>
      <c r="J660" s="10">
        <v>30</v>
      </c>
      <c r="K660" s="95" t="s">
        <v>346</v>
      </c>
      <c r="L660" s="57">
        <v>0.36666666666666664</v>
      </c>
      <c r="M660" s="50">
        <v>15</v>
      </c>
      <c r="N660" s="64"/>
      <c r="O660" s="103"/>
      <c r="P660" s="52" t="s">
        <v>20</v>
      </c>
    </row>
    <row r="661" spans="1:16" ht="15" customHeight="1">
      <c r="A661" s="28">
        <v>10</v>
      </c>
      <c r="B661" s="32">
        <v>45934</v>
      </c>
      <c r="C661" s="36" t="s">
        <v>760</v>
      </c>
      <c r="D661" s="43">
        <v>1</v>
      </c>
      <c r="E661" s="48" t="s">
        <v>822</v>
      </c>
      <c r="F661" s="48" t="s">
        <v>555</v>
      </c>
      <c r="G661" s="49">
        <v>5</v>
      </c>
      <c r="H661" s="10">
        <v>5</v>
      </c>
      <c r="I661" s="52">
        <v>15</v>
      </c>
      <c r="J661" s="10">
        <v>15</v>
      </c>
      <c r="K661" s="95" t="s">
        <v>346</v>
      </c>
      <c r="L661" s="57">
        <v>0.5</v>
      </c>
      <c r="M661" s="50">
        <v>10</v>
      </c>
      <c r="N661" s="64"/>
      <c r="O661" s="103"/>
      <c r="P661" s="52" t="s">
        <v>20</v>
      </c>
    </row>
    <row r="662" spans="1:16" ht="15" customHeight="1">
      <c r="A662" s="28">
        <v>10</v>
      </c>
      <c r="B662" s="32">
        <v>45934</v>
      </c>
      <c r="C662" s="36" t="s">
        <v>323</v>
      </c>
      <c r="D662" s="43">
        <v>1</v>
      </c>
      <c r="E662" s="48" t="s">
        <v>26</v>
      </c>
      <c r="F662" s="48" t="s">
        <v>555</v>
      </c>
      <c r="G662" s="49">
        <v>7.0000000000000007E-2</v>
      </c>
      <c r="H662" s="10">
        <v>7.0000000000000007E-2</v>
      </c>
      <c r="I662" s="52">
        <v>1</v>
      </c>
      <c r="J662" s="10">
        <v>1</v>
      </c>
      <c r="K662" s="95" t="s">
        <v>346</v>
      </c>
      <c r="L662" s="57">
        <v>0.57499999999999996</v>
      </c>
      <c r="M662" s="50">
        <v>0.92999999999999994</v>
      </c>
      <c r="N662" s="64"/>
      <c r="O662" s="103"/>
      <c r="P662" s="52" t="s">
        <v>20</v>
      </c>
    </row>
    <row r="663" spans="1:16" ht="15" customHeight="1">
      <c r="A663" s="28">
        <v>10</v>
      </c>
      <c r="B663" s="32">
        <v>45934</v>
      </c>
      <c r="C663" s="36" t="s">
        <v>725</v>
      </c>
      <c r="D663" s="43">
        <v>1</v>
      </c>
      <c r="E663" s="48" t="s">
        <v>26</v>
      </c>
      <c r="F663" s="48" t="s">
        <v>555</v>
      </c>
      <c r="G663" s="49">
        <v>15</v>
      </c>
      <c r="H663" s="10">
        <v>15</v>
      </c>
      <c r="I663" s="52">
        <v>20</v>
      </c>
      <c r="J663" s="10">
        <v>20</v>
      </c>
      <c r="K663" s="95" t="s">
        <v>346</v>
      </c>
      <c r="L663" s="57">
        <v>0.4</v>
      </c>
      <c r="M663" s="50">
        <v>5</v>
      </c>
      <c r="N663" s="64"/>
      <c r="O663" s="103"/>
      <c r="P663" s="52" t="s">
        <v>20</v>
      </c>
    </row>
    <row r="664" spans="1:16" ht="15" customHeight="1">
      <c r="A664" s="28">
        <v>10</v>
      </c>
      <c r="B664" s="32">
        <v>45936</v>
      </c>
      <c r="C664" s="36" t="s">
        <v>323</v>
      </c>
      <c r="D664" s="43">
        <v>1</v>
      </c>
      <c r="E664" s="48" t="s">
        <v>26</v>
      </c>
      <c r="F664" s="48" t="s">
        <v>555</v>
      </c>
      <c r="G664" s="49">
        <v>7.0000000000000007E-2</v>
      </c>
      <c r="H664" s="10">
        <v>7.0000000000000007E-2</v>
      </c>
      <c r="I664" s="52">
        <v>1</v>
      </c>
      <c r="J664" s="10">
        <v>1</v>
      </c>
      <c r="K664" s="95" t="s">
        <v>346</v>
      </c>
      <c r="L664" s="57">
        <v>0.45652173913043481</v>
      </c>
      <c r="M664" s="50">
        <v>0.92999999999999994</v>
      </c>
      <c r="N664" s="64"/>
      <c r="O664" s="103"/>
      <c r="P664" s="52" t="s">
        <v>20</v>
      </c>
    </row>
    <row r="665" spans="1:16" ht="15" customHeight="1">
      <c r="A665" s="28">
        <v>10</v>
      </c>
      <c r="B665" s="32">
        <v>45936</v>
      </c>
      <c r="C665" s="36" t="s">
        <v>321</v>
      </c>
      <c r="D665" s="43">
        <v>1</v>
      </c>
      <c r="E665" s="48" t="s">
        <v>125</v>
      </c>
      <c r="F665" s="48" t="s">
        <v>555</v>
      </c>
      <c r="G665" s="49">
        <v>3</v>
      </c>
      <c r="H665" s="10">
        <v>3</v>
      </c>
      <c r="I665" s="52">
        <v>10</v>
      </c>
      <c r="J665" s="10">
        <v>10</v>
      </c>
      <c r="K665" s="95" t="s">
        <v>346</v>
      </c>
      <c r="L665" s="57">
        <v>0.45652173913043481</v>
      </c>
      <c r="M665" s="50">
        <v>7</v>
      </c>
      <c r="N665" s="64"/>
      <c r="O665" s="103"/>
      <c r="P665" s="52" t="s">
        <v>20</v>
      </c>
    </row>
    <row r="666" spans="1:16" ht="15" customHeight="1">
      <c r="A666" s="28">
        <v>10</v>
      </c>
      <c r="B666" s="32">
        <v>45936</v>
      </c>
      <c r="C666" s="36" t="s">
        <v>760</v>
      </c>
      <c r="D666" s="43">
        <v>1</v>
      </c>
      <c r="E666" s="48" t="s">
        <v>125</v>
      </c>
      <c r="F666" s="48" t="s">
        <v>555</v>
      </c>
      <c r="G666" s="49">
        <v>6</v>
      </c>
      <c r="H666" s="10">
        <v>6</v>
      </c>
      <c r="I666" s="52">
        <v>15</v>
      </c>
      <c r="J666" s="10">
        <v>15</v>
      </c>
      <c r="K666" s="95" t="s">
        <v>346</v>
      </c>
      <c r="L666" s="57">
        <v>0.82926829268292679</v>
      </c>
      <c r="M666" s="50">
        <v>9</v>
      </c>
      <c r="N666" s="64"/>
      <c r="O666" s="103"/>
      <c r="P666" s="52" t="s">
        <v>20</v>
      </c>
    </row>
    <row r="667" spans="1:16" ht="15" customHeight="1">
      <c r="A667" s="28">
        <v>10</v>
      </c>
      <c r="B667" s="32">
        <v>45936</v>
      </c>
      <c r="C667" s="36" t="s">
        <v>702</v>
      </c>
      <c r="D667" s="43">
        <v>1</v>
      </c>
      <c r="E667" s="48" t="s">
        <v>125</v>
      </c>
      <c r="F667" s="48" t="s">
        <v>555</v>
      </c>
      <c r="G667" s="49">
        <v>15</v>
      </c>
      <c r="H667" s="10">
        <v>15</v>
      </c>
      <c r="I667" s="52">
        <v>50</v>
      </c>
      <c r="J667" s="10">
        <v>50</v>
      </c>
      <c r="K667" s="95" t="s">
        <v>346</v>
      </c>
      <c r="L667" s="57">
        <v>0.36666666666666664</v>
      </c>
      <c r="M667" s="50">
        <v>35</v>
      </c>
      <c r="N667" s="64"/>
      <c r="O667" s="103"/>
      <c r="P667" s="52" t="s">
        <v>20</v>
      </c>
    </row>
    <row r="668" spans="1:16" ht="15" customHeight="1">
      <c r="A668" s="28">
        <v>10</v>
      </c>
      <c r="B668" s="32">
        <v>45936</v>
      </c>
      <c r="C668" s="36" t="s">
        <v>823</v>
      </c>
      <c r="D668" s="43">
        <v>1</v>
      </c>
      <c r="E668" s="48" t="s">
        <v>139</v>
      </c>
      <c r="F668" s="48" t="s">
        <v>555</v>
      </c>
      <c r="G668" s="49">
        <v>20</v>
      </c>
      <c r="H668" s="10">
        <v>20</v>
      </c>
      <c r="I668" s="52">
        <v>30</v>
      </c>
      <c r="J668" s="10">
        <v>30</v>
      </c>
      <c r="K668" s="95" t="s">
        <v>346</v>
      </c>
      <c r="L668" s="57">
        <v>0.38333333333333336</v>
      </c>
      <c r="M668" s="50">
        <v>10</v>
      </c>
      <c r="N668" s="64"/>
      <c r="O668" s="103"/>
      <c r="P668" s="52" t="s">
        <v>20</v>
      </c>
    </row>
    <row r="669" spans="1:16" ht="15" customHeight="1">
      <c r="A669" s="28">
        <v>10</v>
      </c>
      <c r="B669" s="32">
        <v>45938</v>
      </c>
      <c r="C669" s="36" t="s">
        <v>323</v>
      </c>
      <c r="D669" s="43">
        <v>1</v>
      </c>
      <c r="E669" s="48" t="s">
        <v>773</v>
      </c>
      <c r="F669" s="48" t="s">
        <v>555</v>
      </c>
      <c r="G669" s="49">
        <v>7.0000000000000007E-2</v>
      </c>
      <c r="H669" s="10">
        <v>7.0000000000000007E-2</v>
      </c>
      <c r="I669" s="52">
        <v>1</v>
      </c>
      <c r="J669" s="10">
        <v>1</v>
      </c>
      <c r="K669" s="95" t="s">
        <v>346</v>
      </c>
      <c r="L669" s="57">
        <v>0.6</v>
      </c>
      <c r="M669" s="50">
        <v>0.92999999999999994</v>
      </c>
      <c r="N669" s="64"/>
      <c r="O669" s="103"/>
      <c r="P669" s="52" t="s">
        <v>20</v>
      </c>
    </row>
    <row r="670" spans="1:16" ht="15" customHeight="1">
      <c r="A670" s="28">
        <v>10</v>
      </c>
      <c r="B670" s="32">
        <v>45938</v>
      </c>
      <c r="C670" s="36" t="s">
        <v>707</v>
      </c>
      <c r="D670" s="43">
        <v>1</v>
      </c>
      <c r="E670" s="48" t="s">
        <v>26</v>
      </c>
      <c r="F670" s="48" t="s">
        <v>555</v>
      </c>
      <c r="G670" s="49">
        <v>16</v>
      </c>
      <c r="H670" s="10">
        <v>16</v>
      </c>
      <c r="I670" s="52">
        <v>30</v>
      </c>
      <c r="J670" s="10">
        <v>30</v>
      </c>
      <c r="K670" s="95" t="s">
        <v>346</v>
      </c>
      <c r="L670" s="57">
        <v>0.46666666666666667</v>
      </c>
      <c r="M670" s="50">
        <v>14</v>
      </c>
      <c r="N670" s="64"/>
      <c r="O670" s="103"/>
      <c r="P670" s="52" t="s">
        <v>20</v>
      </c>
    </row>
    <row r="671" spans="1:16" ht="15" customHeight="1">
      <c r="A671" s="28">
        <v>10</v>
      </c>
      <c r="B671" s="32">
        <v>45938</v>
      </c>
      <c r="C671" s="36" t="s">
        <v>824</v>
      </c>
      <c r="D671" s="43">
        <v>1</v>
      </c>
      <c r="E671" s="48" t="s">
        <v>26</v>
      </c>
      <c r="F671" s="48" t="s">
        <v>555</v>
      </c>
      <c r="G671" s="49">
        <v>35</v>
      </c>
      <c r="H671" s="10">
        <v>35</v>
      </c>
      <c r="I671" s="52">
        <v>50</v>
      </c>
      <c r="J671" s="10">
        <v>50</v>
      </c>
      <c r="K671" s="95" t="s">
        <v>346</v>
      </c>
      <c r="L671" s="57">
        <v>1</v>
      </c>
      <c r="M671" s="50">
        <v>15</v>
      </c>
      <c r="N671" s="64"/>
      <c r="O671" s="103"/>
      <c r="P671" s="52" t="s">
        <v>20</v>
      </c>
    </row>
    <row r="672" spans="1:16" ht="15" customHeight="1">
      <c r="A672" s="28">
        <v>10</v>
      </c>
      <c r="B672" s="32">
        <v>45939</v>
      </c>
      <c r="C672" s="36" t="s">
        <v>559</v>
      </c>
      <c r="D672" s="43">
        <v>2</v>
      </c>
      <c r="E672" s="48" t="s">
        <v>26</v>
      </c>
      <c r="F672" s="48" t="s">
        <v>555</v>
      </c>
      <c r="G672" s="49">
        <v>0.5</v>
      </c>
      <c r="H672" s="10">
        <v>1</v>
      </c>
      <c r="I672" s="52">
        <v>5</v>
      </c>
      <c r="J672" s="10">
        <v>10</v>
      </c>
      <c r="K672" s="95" t="s">
        <v>346</v>
      </c>
      <c r="L672" s="57">
        <v>0.66666666666666663</v>
      </c>
      <c r="M672" s="50">
        <v>9</v>
      </c>
      <c r="N672" s="64"/>
      <c r="O672" s="103"/>
      <c r="P672" s="52" t="s">
        <v>20</v>
      </c>
    </row>
    <row r="673" spans="1:16" ht="15" customHeight="1">
      <c r="A673" s="28">
        <v>10</v>
      </c>
      <c r="B673" s="32">
        <v>45939</v>
      </c>
      <c r="C673" s="36" t="s">
        <v>820</v>
      </c>
      <c r="D673" s="43">
        <v>1</v>
      </c>
      <c r="E673" s="48" t="s">
        <v>26</v>
      </c>
      <c r="F673" s="48" t="s">
        <v>555</v>
      </c>
      <c r="G673" s="49">
        <v>5</v>
      </c>
      <c r="H673" s="10">
        <v>5</v>
      </c>
      <c r="I673" s="52">
        <v>15</v>
      </c>
      <c r="J673" s="10">
        <v>15</v>
      </c>
      <c r="K673" s="95" t="s">
        <v>346</v>
      </c>
      <c r="L673" s="57">
        <v>1</v>
      </c>
      <c r="M673" s="50">
        <v>10</v>
      </c>
      <c r="N673" s="64"/>
      <c r="O673" s="103"/>
      <c r="P673" s="52" t="s">
        <v>20</v>
      </c>
    </row>
    <row r="674" spans="1:16" ht="15" customHeight="1">
      <c r="A674" s="28">
        <v>10</v>
      </c>
      <c r="B674" s="32">
        <v>45939</v>
      </c>
      <c r="C674" s="36" t="s">
        <v>825</v>
      </c>
      <c r="D674" s="43">
        <v>1</v>
      </c>
      <c r="E674" s="48" t="s">
        <v>239</v>
      </c>
      <c r="F674" s="48" t="s">
        <v>555</v>
      </c>
      <c r="G674" s="49">
        <v>2</v>
      </c>
      <c r="H674" s="10">
        <v>2</v>
      </c>
      <c r="I674" s="52">
        <v>6</v>
      </c>
      <c r="J674" s="10">
        <v>6</v>
      </c>
      <c r="K674" s="95" t="s">
        <v>346</v>
      </c>
      <c r="L674" s="57">
        <v>1</v>
      </c>
      <c r="M674" s="50">
        <v>4</v>
      </c>
      <c r="N674" s="64"/>
      <c r="O674" s="103"/>
      <c r="P674" s="52" t="s">
        <v>20</v>
      </c>
    </row>
    <row r="675" spans="1:16" ht="15" customHeight="1">
      <c r="A675" s="28">
        <v>10</v>
      </c>
      <c r="B675" s="32">
        <v>45939</v>
      </c>
      <c r="C675" s="36" t="s">
        <v>826</v>
      </c>
      <c r="D675" s="43">
        <v>1</v>
      </c>
      <c r="E675" s="48" t="s">
        <v>26</v>
      </c>
      <c r="F675" s="48" t="s">
        <v>555</v>
      </c>
      <c r="G675" s="49">
        <v>55</v>
      </c>
      <c r="H675" s="10">
        <v>55</v>
      </c>
      <c r="I675" s="52">
        <v>110</v>
      </c>
      <c r="J675" s="10">
        <v>110</v>
      </c>
      <c r="K675" s="95" t="s">
        <v>346</v>
      </c>
      <c r="L675" s="57">
        <v>0.22069825436408977</v>
      </c>
      <c r="M675" s="50">
        <v>55</v>
      </c>
      <c r="N675" s="64"/>
      <c r="O675" s="103"/>
      <c r="P675" s="52" t="s">
        <v>20</v>
      </c>
    </row>
    <row r="676" spans="1:16" ht="15" customHeight="1">
      <c r="A676" s="28">
        <v>10</v>
      </c>
      <c r="B676" s="32">
        <v>45939</v>
      </c>
      <c r="C676" s="36" t="s">
        <v>827</v>
      </c>
      <c r="D676" s="43">
        <v>10</v>
      </c>
      <c r="E676" s="48" t="s">
        <v>22</v>
      </c>
      <c r="F676" s="48" t="s">
        <v>22</v>
      </c>
      <c r="G676" s="49">
        <v>2.5</v>
      </c>
      <c r="H676" s="10">
        <v>25</v>
      </c>
      <c r="I676" s="52">
        <v>38.619999999999997</v>
      </c>
      <c r="J676" s="10">
        <v>386.2</v>
      </c>
      <c r="K676" s="95" t="s">
        <v>346</v>
      </c>
      <c r="L676" s="57">
        <v>0.8</v>
      </c>
      <c r="M676" s="50">
        <v>361.2</v>
      </c>
      <c r="N676" s="64"/>
      <c r="O676" s="103"/>
      <c r="P676" s="52" t="s">
        <v>20</v>
      </c>
    </row>
    <row r="677" spans="1:16" ht="15" customHeight="1">
      <c r="A677" s="28">
        <v>10</v>
      </c>
      <c r="B677" s="32">
        <v>45939</v>
      </c>
      <c r="C677" s="36" t="s">
        <v>828</v>
      </c>
      <c r="D677" s="43">
        <v>3</v>
      </c>
      <c r="E677" s="48" t="s">
        <v>22</v>
      </c>
      <c r="F677" s="48" t="s">
        <v>22</v>
      </c>
      <c r="G677" s="49">
        <v>7</v>
      </c>
      <c r="H677" s="10">
        <v>21</v>
      </c>
      <c r="I677" s="52">
        <v>27.5</v>
      </c>
      <c r="J677" s="10">
        <v>82.5</v>
      </c>
      <c r="K677" s="95" t="s">
        <v>346</v>
      </c>
      <c r="L677" s="57">
        <v>0.75</v>
      </c>
      <c r="M677" s="50">
        <v>61.5</v>
      </c>
      <c r="N677" s="64"/>
      <c r="O677" s="103"/>
      <c r="P677" s="52" t="s">
        <v>20</v>
      </c>
    </row>
    <row r="678" spans="1:16" ht="15" customHeight="1">
      <c r="A678" s="28">
        <v>10</v>
      </c>
      <c r="B678" s="32">
        <v>45939</v>
      </c>
      <c r="C678" s="36" t="s">
        <v>829</v>
      </c>
      <c r="D678" s="43">
        <v>1</v>
      </c>
      <c r="E678" s="48" t="s">
        <v>22</v>
      </c>
      <c r="F678" s="48" t="s">
        <v>22</v>
      </c>
      <c r="G678" s="49">
        <v>2</v>
      </c>
      <c r="H678" s="10">
        <v>2</v>
      </c>
      <c r="I678" s="52">
        <v>4.76</v>
      </c>
      <c r="J678" s="10">
        <v>4.76</v>
      </c>
      <c r="K678" s="95" t="s">
        <v>346</v>
      </c>
      <c r="L678" s="57">
        <v>0.6</v>
      </c>
      <c r="M678" s="50">
        <v>2.76</v>
      </c>
      <c r="N678" s="64"/>
      <c r="O678" s="103"/>
      <c r="P678" s="52" t="s">
        <v>20</v>
      </c>
    </row>
    <row r="679" spans="1:16" ht="15" customHeight="1">
      <c r="A679" s="28">
        <v>10</v>
      </c>
      <c r="B679" s="32">
        <v>45939</v>
      </c>
      <c r="C679" s="36" t="s">
        <v>830</v>
      </c>
      <c r="D679" s="43">
        <v>1</v>
      </c>
      <c r="E679" s="48" t="s">
        <v>22</v>
      </c>
      <c r="F679" s="48" t="s">
        <v>22</v>
      </c>
      <c r="G679" s="49">
        <v>295</v>
      </c>
      <c r="H679" s="10">
        <v>295</v>
      </c>
      <c r="I679" s="52">
        <v>386</v>
      </c>
      <c r="J679" s="10">
        <v>386</v>
      </c>
      <c r="K679" s="95" t="s">
        <v>346</v>
      </c>
      <c r="L679" s="57">
        <v>0.8</v>
      </c>
      <c r="M679" s="50">
        <v>91</v>
      </c>
      <c r="N679" s="64"/>
      <c r="O679" s="103"/>
      <c r="P679" s="52" t="s">
        <v>311</v>
      </c>
    </row>
    <row r="680" spans="1:16" ht="15" customHeight="1">
      <c r="A680" s="28">
        <v>10</v>
      </c>
      <c r="B680" s="32">
        <v>45939</v>
      </c>
      <c r="C680" s="36" t="s">
        <v>828</v>
      </c>
      <c r="D680" s="43">
        <v>1</v>
      </c>
      <c r="E680" s="48" t="s">
        <v>22</v>
      </c>
      <c r="F680" s="48" t="s">
        <v>22</v>
      </c>
      <c r="G680" s="49">
        <v>7</v>
      </c>
      <c r="H680" s="10">
        <v>7</v>
      </c>
      <c r="I680" s="52">
        <v>9.26</v>
      </c>
      <c r="J680" s="10">
        <v>9.26</v>
      </c>
      <c r="K680" s="95" t="s">
        <v>346</v>
      </c>
      <c r="L680" s="57">
        <v>0.6</v>
      </c>
      <c r="M680" s="50">
        <v>2.2599999999999998</v>
      </c>
      <c r="N680" s="64"/>
      <c r="O680" s="103"/>
      <c r="P680" s="52" t="s">
        <v>311</v>
      </c>
    </row>
    <row r="681" spans="1:16" ht="15" customHeight="1">
      <c r="A681" s="28">
        <v>10</v>
      </c>
      <c r="B681" s="32">
        <v>45939</v>
      </c>
      <c r="C681" s="36" t="s">
        <v>831</v>
      </c>
      <c r="D681" s="43">
        <v>1</v>
      </c>
      <c r="E681" s="48" t="s">
        <v>832</v>
      </c>
      <c r="F681" s="48" t="s">
        <v>832</v>
      </c>
      <c r="G681" s="49">
        <v>55</v>
      </c>
      <c r="H681" s="10">
        <v>55</v>
      </c>
      <c r="I681" s="52">
        <v>95</v>
      </c>
      <c r="J681" s="10">
        <v>95</v>
      </c>
      <c r="K681" s="95" t="s">
        <v>346</v>
      </c>
      <c r="L681" s="57">
        <v>0.5</v>
      </c>
      <c r="M681" s="50">
        <v>40</v>
      </c>
      <c r="N681" s="64"/>
      <c r="O681" s="103"/>
      <c r="P681" s="52" t="s">
        <v>20</v>
      </c>
    </row>
    <row r="682" spans="1:16" ht="15" customHeight="1">
      <c r="A682" s="28">
        <v>10</v>
      </c>
      <c r="B682" s="32">
        <v>45943</v>
      </c>
      <c r="C682" s="36" t="s">
        <v>678</v>
      </c>
      <c r="D682" s="43">
        <v>1</v>
      </c>
      <c r="E682" s="48" t="s">
        <v>832</v>
      </c>
      <c r="F682" s="48" t="s">
        <v>832</v>
      </c>
      <c r="G682" s="49">
        <v>250</v>
      </c>
      <c r="H682" s="10">
        <v>250</v>
      </c>
      <c r="I682" s="52">
        <v>334.4</v>
      </c>
      <c r="J682" s="10">
        <v>334.4</v>
      </c>
      <c r="K682" s="95" t="s">
        <v>346</v>
      </c>
      <c r="L682" s="57">
        <v>0.92999999999999994</v>
      </c>
      <c r="M682" s="50">
        <v>84.399999999999977</v>
      </c>
      <c r="N682" s="64"/>
      <c r="O682" s="103"/>
      <c r="P682" s="52" t="s">
        <v>20</v>
      </c>
    </row>
    <row r="683" spans="1:16" ht="15" customHeight="1">
      <c r="A683" s="28">
        <v>10</v>
      </c>
      <c r="B683" s="32">
        <v>45943</v>
      </c>
      <c r="C683" s="36" t="s">
        <v>678</v>
      </c>
      <c r="D683" s="43">
        <v>1</v>
      </c>
      <c r="E683" s="48" t="s">
        <v>832</v>
      </c>
      <c r="F683" s="48" t="s">
        <v>832</v>
      </c>
      <c r="G683" s="49">
        <v>250</v>
      </c>
      <c r="H683" s="10">
        <v>250</v>
      </c>
      <c r="I683" s="52">
        <v>347.6</v>
      </c>
      <c r="J683" s="10">
        <v>347.6</v>
      </c>
      <c r="K683" s="95" t="s">
        <v>346</v>
      </c>
      <c r="L683" s="57">
        <v>0.65</v>
      </c>
      <c r="M683" s="50">
        <v>97.600000000000023</v>
      </c>
      <c r="N683" s="64"/>
      <c r="O683" s="103"/>
      <c r="P683" s="52" t="s">
        <v>20</v>
      </c>
    </row>
    <row r="684" spans="1:16" ht="15" customHeight="1">
      <c r="A684" s="28">
        <v>10</v>
      </c>
      <c r="B684" s="32">
        <v>45943</v>
      </c>
      <c r="C684" s="36" t="s">
        <v>678</v>
      </c>
      <c r="D684" s="43">
        <v>1</v>
      </c>
      <c r="E684" s="48" t="s">
        <v>832</v>
      </c>
      <c r="F684" s="48" t="s">
        <v>832</v>
      </c>
      <c r="G684" s="49">
        <v>250</v>
      </c>
      <c r="H684" s="10">
        <v>250</v>
      </c>
      <c r="I684" s="52">
        <v>304</v>
      </c>
      <c r="J684" s="10">
        <v>304</v>
      </c>
      <c r="K684" s="95" t="s">
        <v>346</v>
      </c>
      <c r="L684" s="57">
        <v>0.9</v>
      </c>
      <c r="M684" s="50">
        <v>54</v>
      </c>
      <c r="N684" s="64"/>
      <c r="O684" s="103"/>
      <c r="P684" s="52" t="s">
        <v>20</v>
      </c>
    </row>
    <row r="685" spans="1:16" ht="15" customHeight="1">
      <c r="A685" s="28">
        <v>10</v>
      </c>
      <c r="B685" s="32">
        <v>45943</v>
      </c>
      <c r="C685" s="36" t="s">
        <v>833</v>
      </c>
      <c r="D685" s="43">
        <v>1</v>
      </c>
      <c r="E685" s="48" t="s">
        <v>22</v>
      </c>
      <c r="F685" s="48" t="s">
        <v>22</v>
      </c>
      <c r="G685" s="49">
        <v>20</v>
      </c>
      <c r="H685" s="10">
        <v>20</v>
      </c>
      <c r="I685" s="52">
        <v>21.19</v>
      </c>
      <c r="J685" s="10">
        <v>21.19</v>
      </c>
      <c r="K685" s="95" t="s">
        <v>346</v>
      </c>
      <c r="L685" s="57">
        <v>0.92999999999999994</v>
      </c>
      <c r="M685" s="50">
        <v>1.1900000000000013</v>
      </c>
      <c r="N685" s="64"/>
      <c r="O685" s="103"/>
      <c r="P685" s="52" t="s">
        <v>20</v>
      </c>
    </row>
    <row r="686" spans="1:16" ht="15" customHeight="1">
      <c r="A686" s="28">
        <v>10</v>
      </c>
      <c r="B686" s="32">
        <v>45943</v>
      </c>
      <c r="C686" s="36" t="s">
        <v>828</v>
      </c>
      <c r="D686" s="43">
        <v>1</v>
      </c>
      <c r="E686" s="48" t="s">
        <v>22</v>
      </c>
      <c r="F686" s="48" t="s">
        <v>22</v>
      </c>
      <c r="G686" s="49">
        <v>7.5</v>
      </c>
      <c r="H686" s="10">
        <v>7.5</v>
      </c>
      <c r="I686" s="52">
        <v>12.46</v>
      </c>
      <c r="J686" s="10">
        <v>12.46</v>
      </c>
      <c r="K686" s="97" t="s">
        <v>346</v>
      </c>
      <c r="L686" s="99">
        <v>0.4</v>
      </c>
      <c r="M686" s="50">
        <v>4.9600000000000009</v>
      </c>
      <c r="N686" s="102"/>
      <c r="O686" s="106"/>
      <c r="P686" s="52" t="s">
        <v>20</v>
      </c>
    </row>
    <row r="687" spans="1:16" ht="15" customHeight="1">
      <c r="A687" s="28">
        <v>10</v>
      </c>
      <c r="B687" s="32">
        <v>45943</v>
      </c>
      <c r="C687" s="36" t="s">
        <v>834</v>
      </c>
      <c r="D687" s="43">
        <v>1</v>
      </c>
      <c r="E687" s="48" t="s">
        <v>22</v>
      </c>
      <c r="F687" s="48" t="s">
        <v>22</v>
      </c>
      <c r="G687" s="49">
        <v>32.950000000000003</v>
      </c>
      <c r="H687" s="10">
        <v>32.950000000000003</v>
      </c>
      <c r="I687" s="52">
        <v>48.7</v>
      </c>
      <c r="J687" s="10">
        <v>48.7</v>
      </c>
      <c r="K687" s="97" t="s">
        <v>346</v>
      </c>
      <c r="L687" s="99">
        <v>0.36666666666666664</v>
      </c>
      <c r="M687" s="50">
        <v>15.75</v>
      </c>
      <c r="N687" s="102"/>
      <c r="O687" s="106"/>
      <c r="P687" s="52" t="s">
        <v>20</v>
      </c>
    </row>
    <row r="688" spans="1:16" ht="15" customHeight="1">
      <c r="A688" s="28">
        <v>10</v>
      </c>
      <c r="B688" s="32">
        <v>45943</v>
      </c>
      <c r="C688" s="36" t="s">
        <v>835</v>
      </c>
      <c r="D688" s="43">
        <v>1</v>
      </c>
      <c r="E688" s="48" t="s">
        <v>22</v>
      </c>
      <c r="F688" s="48" t="s">
        <v>22</v>
      </c>
      <c r="G688" s="49">
        <v>2</v>
      </c>
      <c r="H688" s="10">
        <v>2</v>
      </c>
      <c r="I688" s="52">
        <v>5.87</v>
      </c>
      <c r="J688" s="10">
        <v>5.87</v>
      </c>
      <c r="K688" s="97" t="s">
        <v>346</v>
      </c>
      <c r="L688" s="99">
        <v>0.6</v>
      </c>
      <c r="M688" s="50">
        <v>3.87</v>
      </c>
      <c r="N688" s="102"/>
      <c r="O688" s="106"/>
      <c r="P688" s="52" t="s">
        <v>20</v>
      </c>
    </row>
    <row r="689" spans="1:16" ht="15" customHeight="1">
      <c r="A689" s="28">
        <v>10</v>
      </c>
      <c r="B689" s="32">
        <v>45944</v>
      </c>
      <c r="C689" s="36" t="s">
        <v>828</v>
      </c>
      <c r="D689" s="43">
        <v>1</v>
      </c>
      <c r="E689" s="48" t="s">
        <v>22</v>
      </c>
      <c r="F689" s="48" t="s">
        <v>22</v>
      </c>
      <c r="G689" s="49">
        <v>7.5</v>
      </c>
      <c r="H689" s="10">
        <v>7.5</v>
      </c>
      <c r="I689" s="52">
        <v>12.46</v>
      </c>
      <c r="J689" s="10">
        <v>12.46</v>
      </c>
      <c r="K689" s="97" t="s">
        <v>346</v>
      </c>
      <c r="L689" s="99">
        <v>0.5</v>
      </c>
      <c r="M689" s="50">
        <v>4.9600000000000009</v>
      </c>
      <c r="N689" s="102"/>
      <c r="O689" s="106"/>
      <c r="P689" s="52" t="s">
        <v>20</v>
      </c>
    </row>
    <row r="690" spans="1:16" ht="15" customHeight="1">
      <c r="A690" s="28">
        <v>10</v>
      </c>
      <c r="B690" s="32">
        <v>45945</v>
      </c>
      <c r="C690" s="36" t="s">
        <v>725</v>
      </c>
      <c r="D690" s="43">
        <v>6</v>
      </c>
      <c r="E690" s="48" t="s">
        <v>26</v>
      </c>
      <c r="F690" s="48" t="s">
        <v>555</v>
      </c>
      <c r="G690" s="49">
        <v>7.5</v>
      </c>
      <c r="H690" s="10">
        <v>45</v>
      </c>
      <c r="I690" s="52">
        <v>10</v>
      </c>
      <c r="J690" s="10">
        <v>60</v>
      </c>
      <c r="K690" s="97" t="s">
        <v>346</v>
      </c>
      <c r="L690" s="99">
        <v>0.5</v>
      </c>
      <c r="M690" s="50">
        <v>15</v>
      </c>
      <c r="N690" s="102"/>
      <c r="O690" s="106"/>
      <c r="P690" s="52" t="s">
        <v>20</v>
      </c>
    </row>
    <row r="691" spans="1:16" ht="15" customHeight="1">
      <c r="A691" s="28">
        <v>10</v>
      </c>
      <c r="B691" s="32">
        <v>45945</v>
      </c>
      <c r="C691" s="36" t="s">
        <v>441</v>
      </c>
      <c r="D691" s="43">
        <v>1</v>
      </c>
      <c r="E691" s="48" t="s">
        <v>26</v>
      </c>
      <c r="F691" s="48" t="s">
        <v>555</v>
      </c>
      <c r="G691" s="49">
        <v>0</v>
      </c>
      <c r="H691" s="10">
        <v>0</v>
      </c>
      <c r="I691" s="52">
        <v>15</v>
      </c>
      <c r="J691" s="10">
        <v>15</v>
      </c>
      <c r="K691" s="97" t="s">
        <v>346</v>
      </c>
      <c r="L691" s="99">
        <v>0.2</v>
      </c>
      <c r="M691" s="50">
        <v>15</v>
      </c>
      <c r="N691" s="102"/>
      <c r="O691" s="106"/>
      <c r="P691" s="52" t="s">
        <v>588</v>
      </c>
    </row>
    <row r="692" spans="1:16" ht="15" customHeight="1">
      <c r="A692" s="28">
        <v>10</v>
      </c>
      <c r="B692" s="32">
        <v>45946</v>
      </c>
      <c r="C692" s="36" t="s">
        <v>735</v>
      </c>
      <c r="D692" s="43">
        <v>3</v>
      </c>
      <c r="E692" s="48" t="s">
        <v>26</v>
      </c>
      <c r="F692" s="48" t="s">
        <v>555</v>
      </c>
      <c r="G692" s="49" t="s">
        <v>79</v>
      </c>
      <c r="H692" s="10">
        <v>0</v>
      </c>
      <c r="I692" s="52">
        <v>5</v>
      </c>
      <c r="J692" s="10">
        <v>15</v>
      </c>
      <c r="K692" s="95" t="s">
        <v>346</v>
      </c>
      <c r="L692" s="57">
        <v>0.2857142857142857</v>
      </c>
      <c r="M692" s="50">
        <v>15</v>
      </c>
      <c r="N692" s="64"/>
      <c r="O692" s="103"/>
      <c r="P692" s="52" t="s">
        <v>20</v>
      </c>
    </row>
    <row r="693" spans="1:16" ht="15" customHeight="1">
      <c r="A693" s="28">
        <v>10</v>
      </c>
      <c r="B693" s="32">
        <v>45946</v>
      </c>
      <c r="C693" s="36" t="s">
        <v>836</v>
      </c>
      <c r="D693" s="43">
        <v>1</v>
      </c>
      <c r="E693" s="48" t="s">
        <v>22</v>
      </c>
      <c r="F693" s="48" t="s">
        <v>22</v>
      </c>
      <c r="G693" s="49">
        <v>12</v>
      </c>
      <c r="H693" s="10">
        <v>12</v>
      </c>
      <c r="I693" s="52">
        <v>15.76</v>
      </c>
      <c r="J693" s="10">
        <v>15.76</v>
      </c>
      <c r="K693" s="95" t="s">
        <v>346</v>
      </c>
      <c r="L693" s="57">
        <v>1</v>
      </c>
      <c r="M693" s="50">
        <v>3.76</v>
      </c>
      <c r="N693" s="64"/>
      <c r="O693" s="103"/>
      <c r="P693" s="52" t="s">
        <v>20</v>
      </c>
    </row>
    <row r="694" spans="1:16" ht="15" customHeight="1">
      <c r="A694" s="28">
        <v>10</v>
      </c>
      <c r="B694" s="32">
        <v>45946</v>
      </c>
      <c r="C694" s="36" t="s">
        <v>837</v>
      </c>
      <c r="D694" s="43">
        <v>1</v>
      </c>
      <c r="E694" s="48" t="s">
        <v>22</v>
      </c>
      <c r="F694" s="48" t="s">
        <v>22</v>
      </c>
      <c r="G694" s="49">
        <v>30</v>
      </c>
      <c r="H694" s="10">
        <v>30</v>
      </c>
      <c r="I694" s="52">
        <v>38.619999999999997</v>
      </c>
      <c r="J694" s="10">
        <v>38.619999999999997</v>
      </c>
      <c r="K694" s="95" t="s">
        <v>346</v>
      </c>
      <c r="L694" s="57">
        <v>1</v>
      </c>
      <c r="M694" s="50">
        <v>8.6199999999999974</v>
      </c>
      <c r="N694" s="64"/>
      <c r="O694" s="103"/>
      <c r="P694" s="52" t="s">
        <v>20</v>
      </c>
    </row>
    <row r="695" spans="1:16" ht="15" customHeight="1">
      <c r="A695" s="28">
        <v>10</v>
      </c>
      <c r="B695" s="32">
        <v>45946</v>
      </c>
      <c r="C695" s="36" t="s">
        <v>838</v>
      </c>
      <c r="D695" s="43">
        <v>1</v>
      </c>
      <c r="E695" s="48" t="s">
        <v>22</v>
      </c>
      <c r="F695" s="48" t="s">
        <v>22</v>
      </c>
      <c r="G695" s="49">
        <v>52</v>
      </c>
      <c r="H695" s="10">
        <v>52</v>
      </c>
      <c r="I695" s="52">
        <v>112.25</v>
      </c>
      <c r="J695" s="10">
        <v>112.25</v>
      </c>
      <c r="K695" s="95" t="s">
        <v>346</v>
      </c>
      <c r="L695" s="57">
        <v>0.81203007518796988</v>
      </c>
      <c r="M695" s="50">
        <v>60.25</v>
      </c>
      <c r="N695" s="64"/>
      <c r="O695" s="103"/>
      <c r="P695" s="52" t="s">
        <v>20</v>
      </c>
    </row>
    <row r="696" spans="1:16" ht="15" customHeight="1">
      <c r="A696" s="28">
        <v>10</v>
      </c>
      <c r="B696" s="32">
        <v>45947</v>
      </c>
      <c r="C696" s="36" t="s">
        <v>797</v>
      </c>
      <c r="D696" s="43">
        <v>3</v>
      </c>
      <c r="E696" s="48" t="s">
        <v>26</v>
      </c>
      <c r="F696" s="48" t="s">
        <v>555</v>
      </c>
      <c r="G696" s="49">
        <v>2.5</v>
      </c>
      <c r="H696" s="10">
        <v>7.5</v>
      </c>
      <c r="I696" s="52">
        <v>5</v>
      </c>
      <c r="J696" s="10">
        <v>15</v>
      </c>
      <c r="K696" s="95" t="s">
        <v>346</v>
      </c>
      <c r="L696" s="57">
        <v>1</v>
      </c>
      <c r="M696" s="50">
        <v>7.5</v>
      </c>
      <c r="N696" s="64"/>
      <c r="O696" s="103"/>
      <c r="P696" s="52" t="s">
        <v>20</v>
      </c>
    </row>
    <row r="697" spans="1:16" ht="15" customHeight="1">
      <c r="A697" s="28">
        <v>10</v>
      </c>
      <c r="B697" s="32">
        <v>45947</v>
      </c>
      <c r="C697" s="36" t="s">
        <v>321</v>
      </c>
      <c r="D697" s="43">
        <v>2</v>
      </c>
      <c r="E697" s="48" t="s">
        <v>26</v>
      </c>
      <c r="F697" s="48" t="s">
        <v>555</v>
      </c>
      <c r="G697" s="49">
        <v>3</v>
      </c>
      <c r="H697" s="10">
        <v>6</v>
      </c>
      <c r="I697" s="52">
        <v>12.5</v>
      </c>
      <c r="J697" s="10">
        <v>25</v>
      </c>
      <c r="K697" s="95" t="s">
        <v>346</v>
      </c>
      <c r="L697" s="57">
        <v>0.81203007518796988</v>
      </c>
      <c r="M697" s="50">
        <v>19</v>
      </c>
      <c r="N697" s="64"/>
      <c r="O697" s="103"/>
      <c r="P697" s="52" t="s">
        <v>20</v>
      </c>
    </row>
    <row r="698" spans="1:16" ht="15" customHeight="1">
      <c r="A698" s="28">
        <v>10</v>
      </c>
      <c r="B698" s="32">
        <v>45947</v>
      </c>
      <c r="C698" s="36" t="s">
        <v>839</v>
      </c>
      <c r="D698" s="43">
        <v>1</v>
      </c>
      <c r="E698" s="48" t="s">
        <v>26</v>
      </c>
      <c r="F698" s="48" t="s">
        <v>555</v>
      </c>
      <c r="G698" s="49">
        <v>10</v>
      </c>
      <c r="H698" s="10">
        <v>10</v>
      </c>
      <c r="I698" s="52">
        <v>25</v>
      </c>
      <c r="J698" s="10">
        <v>25</v>
      </c>
      <c r="K698" s="95" t="s">
        <v>346</v>
      </c>
      <c r="L698" s="57">
        <v>0.81203007518796988</v>
      </c>
      <c r="M698" s="50">
        <v>15</v>
      </c>
      <c r="N698" s="64"/>
      <c r="O698" s="103"/>
      <c r="P698" s="52" t="s">
        <v>20</v>
      </c>
    </row>
    <row r="699" spans="1:16" ht="15" customHeight="1">
      <c r="A699" s="28">
        <v>10</v>
      </c>
      <c r="B699" s="32">
        <v>45947</v>
      </c>
      <c r="C699" s="36" t="s">
        <v>441</v>
      </c>
      <c r="D699" s="43">
        <v>1</v>
      </c>
      <c r="E699" s="48" t="s">
        <v>26</v>
      </c>
      <c r="F699" s="48" t="s">
        <v>555</v>
      </c>
      <c r="G699" s="49">
        <v>0</v>
      </c>
      <c r="H699" s="10">
        <v>0</v>
      </c>
      <c r="I699" s="52">
        <v>12</v>
      </c>
      <c r="J699" s="10">
        <v>12</v>
      </c>
      <c r="K699" s="95" t="s">
        <v>346</v>
      </c>
      <c r="L699" s="57">
        <v>0.81203007518796988</v>
      </c>
      <c r="M699" s="50">
        <v>12</v>
      </c>
      <c r="N699" s="64"/>
      <c r="O699" s="103"/>
      <c r="P699" s="52" t="s">
        <v>20</v>
      </c>
    </row>
    <row r="700" spans="1:16" ht="15" customHeight="1">
      <c r="A700" s="28">
        <v>10</v>
      </c>
      <c r="B700" s="32">
        <v>45948</v>
      </c>
      <c r="C700" s="36" t="s">
        <v>797</v>
      </c>
      <c r="D700" s="43">
        <v>10</v>
      </c>
      <c r="E700" s="48" t="s">
        <v>26</v>
      </c>
      <c r="F700" s="48" t="s">
        <v>555</v>
      </c>
      <c r="G700" s="49">
        <v>2.5</v>
      </c>
      <c r="H700" s="10">
        <v>25</v>
      </c>
      <c r="I700" s="52">
        <v>5</v>
      </c>
      <c r="J700" s="10">
        <v>50</v>
      </c>
      <c r="K700" s="95" t="s">
        <v>346</v>
      </c>
      <c r="L700" s="57">
        <v>1</v>
      </c>
      <c r="M700" s="50">
        <v>25</v>
      </c>
      <c r="N700" s="64"/>
      <c r="O700" s="103"/>
      <c r="P700" s="52" t="s">
        <v>20</v>
      </c>
    </row>
    <row r="701" spans="1:16" ht="15" customHeight="1">
      <c r="A701" s="28">
        <v>10</v>
      </c>
      <c r="B701" s="32">
        <v>45948</v>
      </c>
      <c r="C701" s="36" t="s">
        <v>321</v>
      </c>
      <c r="D701" s="43">
        <v>1</v>
      </c>
      <c r="E701" s="48" t="s">
        <v>26</v>
      </c>
      <c r="F701" s="48" t="s">
        <v>555</v>
      </c>
      <c r="G701" s="49">
        <v>3</v>
      </c>
      <c r="H701" s="10">
        <v>3</v>
      </c>
      <c r="I701" s="52">
        <v>10</v>
      </c>
      <c r="J701" s="10">
        <v>10</v>
      </c>
      <c r="K701" s="95" t="s">
        <v>346</v>
      </c>
      <c r="L701" s="57">
        <v>0.36112979152656349</v>
      </c>
      <c r="M701" s="50">
        <v>7</v>
      </c>
      <c r="N701" s="64"/>
      <c r="O701" s="103"/>
      <c r="P701" s="52" t="s">
        <v>20</v>
      </c>
    </row>
    <row r="702" spans="1:16" ht="15" customHeight="1">
      <c r="A702" s="28">
        <v>10</v>
      </c>
      <c r="B702" s="32">
        <v>45948</v>
      </c>
      <c r="C702" s="36" t="s">
        <v>323</v>
      </c>
      <c r="D702" s="43">
        <v>3</v>
      </c>
      <c r="E702" s="48" t="s">
        <v>26</v>
      </c>
      <c r="F702" s="48" t="s">
        <v>555</v>
      </c>
      <c r="G702" s="49">
        <v>7.0000000000000007E-2</v>
      </c>
      <c r="H702" s="10">
        <v>0.21000000000000002</v>
      </c>
      <c r="I702" s="52">
        <v>1</v>
      </c>
      <c r="J702" s="10">
        <v>3</v>
      </c>
      <c r="K702" s="95" t="s">
        <v>346</v>
      </c>
      <c r="L702" s="57">
        <v>0.19064748201438844</v>
      </c>
      <c r="M702" s="50">
        <v>2.79</v>
      </c>
      <c r="N702" s="64"/>
      <c r="O702" s="103"/>
      <c r="P702" s="52" t="s">
        <v>20</v>
      </c>
    </row>
    <row r="703" spans="1:16" ht="15" customHeight="1">
      <c r="A703" s="28">
        <v>10</v>
      </c>
      <c r="B703" s="32">
        <v>45950</v>
      </c>
      <c r="C703" s="36" t="s">
        <v>840</v>
      </c>
      <c r="D703" s="43">
        <v>1</v>
      </c>
      <c r="E703" s="48" t="s">
        <v>26</v>
      </c>
      <c r="F703" s="48" t="s">
        <v>555</v>
      </c>
      <c r="G703" s="49">
        <v>5</v>
      </c>
      <c r="H703" s="10">
        <v>5</v>
      </c>
      <c r="I703" s="52">
        <v>10</v>
      </c>
      <c r="J703" s="10">
        <v>10</v>
      </c>
      <c r="K703" s="95" t="s">
        <v>346</v>
      </c>
      <c r="L703" s="57">
        <v>0.39475453934095489</v>
      </c>
      <c r="M703" s="50">
        <v>5</v>
      </c>
      <c r="N703" s="64"/>
      <c r="O703" s="103"/>
      <c r="P703" s="52" t="s">
        <v>20</v>
      </c>
    </row>
    <row r="704" spans="1:16" ht="15" customHeight="1">
      <c r="A704" s="28">
        <v>10</v>
      </c>
      <c r="B704" s="32">
        <v>45951</v>
      </c>
      <c r="C704" s="36" t="s">
        <v>841</v>
      </c>
      <c r="D704" s="43">
        <v>1</v>
      </c>
      <c r="E704" s="48" t="s">
        <v>842</v>
      </c>
      <c r="F704" s="48" t="s">
        <v>555</v>
      </c>
      <c r="G704" s="49">
        <v>5</v>
      </c>
      <c r="H704" s="10">
        <v>5</v>
      </c>
      <c r="I704" s="52">
        <v>15</v>
      </c>
      <c r="J704" s="10">
        <v>15</v>
      </c>
      <c r="K704" s="95" t="s">
        <v>346</v>
      </c>
      <c r="L704" s="57">
        <v>0.45652173913043481</v>
      </c>
      <c r="M704" s="50">
        <v>10</v>
      </c>
      <c r="N704" s="64"/>
      <c r="O704" s="103"/>
      <c r="P704" s="52" t="s">
        <v>20</v>
      </c>
    </row>
    <row r="705" spans="1:16" ht="15" customHeight="1">
      <c r="A705" s="28">
        <v>10</v>
      </c>
      <c r="B705" s="32">
        <v>45951</v>
      </c>
      <c r="C705" s="36" t="s">
        <v>828</v>
      </c>
      <c r="D705" s="43">
        <v>5</v>
      </c>
      <c r="E705" s="48" t="s">
        <v>22</v>
      </c>
      <c r="F705" s="48" t="s">
        <v>22</v>
      </c>
      <c r="G705" s="49">
        <v>7.5</v>
      </c>
      <c r="H705" s="10">
        <v>37.5</v>
      </c>
      <c r="I705" s="52">
        <v>9.1739999999999995</v>
      </c>
      <c r="J705" s="10">
        <v>45.87</v>
      </c>
      <c r="K705" s="95" t="s">
        <v>346</v>
      </c>
      <c r="L705" s="57">
        <v>1</v>
      </c>
      <c r="M705" s="50">
        <v>8.3699999999999974</v>
      </c>
      <c r="N705" s="64"/>
      <c r="O705" s="103"/>
      <c r="P705" s="52" t="s">
        <v>20</v>
      </c>
    </row>
    <row r="706" spans="1:16" ht="15" customHeight="1">
      <c r="A706" s="28">
        <v>10</v>
      </c>
      <c r="B706" s="32">
        <v>45951</v>
      </c>
      <c r="C706" s="36" t="s">
        <v>827</v>
      </c>
      <c r="D706" s="43">
        <v>1</v>
      </c>
      <c r="E706" s="48" t="s">
        <v>22</v>
      </c>
      <c r="F706" s="48" t="s">
        <v>22</v>
      </c>
      <c r="G706" s="49">
        <v>20</v>
      </c>
      <c r="H706" s="10">
        <v>20</v>
      </c>
      <c r="I706" s="52">
        <v>38.619999999999997</v>
      </c>
      <c r="J706" s="10">
        <v>38.619999999999997</v>
      </c>
      <c r="K706" s="95" t="s">
        <v>346</v>
      </c>
      <c r="L706" s="57">
        <v>0.50429610046265705</v>
      </c>
      <c r="M706" s="50">
        <v>18.619999999999997</v>
      </c>
      <c r="N706" s="64"/>
      <c r="O706" s="103"/>
      <c r="P706" s="52" t="s">
        <v>20</v>
      </c>
    </row>
    <row r="707" spans="1:16" ht="15" customHeight="1">
      <c r="A707" s="28">
        <v>10</v>
      </c>
      <c r="B707" s="32">
        <v>45951</v>
      </c>
      <c r="C707" s="36" t="s">
        <v>827</v>
      </c>
      <c r="D707" s="43">
        <v>1</v>
      </c>
      <c r="E707" s="48" t="s">
        <v>22</v>
      </c>
      <c r="F707" s="48" t="s">
        <v>22</v>
      </c>
      <c r="G707" s="49">
        <v>20</v>
      </c>
      <c r="H707" s="10">
        <v>20</v>
      </c>
      <c r="I707" s="52">
        <v>38.619999999999997</v>
      </c>
      <c r="J707" s="10">
        <v>38.619999999999997</v>
      </c>
      <c r="K707" s="95" t="s">
        <v>346</v>
      </c>
      <c r="L707" s="57">
        <v>0.45652173913043481</v>
      </c>
      <c r="M707" s="50">
        <v>18.619999999999997</v>
      </c>
      <c r="N707" s="64"/>
      <c r="O707" s="103"/>
      <c r="P707" s="52" t="s">
        <v>20</v>
      </c>
    </row>
    <row r="708" spans="1:16" ht="15" customHeight="1">
      <c r="A708" s="28">
        <v>10</v>
      </c>
      <c r="B708" s="32">
        <v>45951</v>
      </c>
      <c r="C708" s="36" t="s">
        <v>827</v>
      </c>
      <c r="D708" s="43">
        <v>1</v>
      </c>
      <c r="E708" s="48" t="s">
        <v>22</v>
      </c>
      <c r="F708" s="48" t="s">
        <v>22</v>
      </c>
      <c r="G708" s="49">
        <v>20</v>
      </c>
      <c r="H708" s="10">
        <v>20</v>
      </c>
      <c r="I708" s="52">
        <v>38.619999999999997</v>
      </c>
      <c r="J708" s="10">
        <v>38.619999999999997</v>
      </c>
      <c r="K708" s="95" t="s">
        <v>346</v>
      </c>
      <c r="L708" s="57">
        <v>0.32279909706546273</v>
      </c>
      <c r="M708" s="50">
        <v>18.619999999999997</v>
      </c>
      <c r="N708" s="64"/>
      <c r="O708" s="103"/>
      <c r="P708" s="52" t="s">
        <v>20</v>
      </c>
    </row>
    <row r="709" spans="1:16" ht="15" customHeight="1">
      <c r="A709" s="28">
        <v>10</v>
      </c>
      <c r="B709" s="32">
        <v>45951</v>
      </c>
      <c r="C709" s="36" t="s">
        <v>827</v>
      </c>
      <c r="D709" s="43">
        <v>1</v>
      </c>
      <c r="E709" s="48" t="s">
        <v>22</v>
      </c>
      <c r="F709" s="48" t="s">
        <v>22</v>
      </c>
      <c r="G709" s="49">
        <v>20</v>
      </c>
      <c r="H709" s="10">
        <v>20</v>
      </c>
      <c r="I709" s="52">
        <v>38.619999999999997</v>
      </c>
      <c r="J709" s="10">
        <v>38.619999999999997</v>
      </c>
      <c r="K709" s="95" t="s">
        <v>346</v>
      </c>
      <c r="L709" s="57">
        <v>0.55882352941176472</v>
      </c>
      <c r="M709" s="50">
        <v>18.619999999999997</v>
      </c>
      <c r="N709" s="64"/>
      <c r="O709" s="103"/>
      <c r="P709" s="52" t="s">
        <v>20</v>
      </c>
    </row>
    <row r="710" spans="1:16" ht="15" customHeight="1">
      <c r="A710" s="28">
        <v>10</v>
      </c>
      <c r="B710" s="32">
        <v>45951</v>
      </c>
      <c r="C710" s="36" t="s">
        <v>843</v>
      </c>
      <c r="D710" s="43">
        <v>1</v>
      </c>
      <c r="E710" s="48" t="s">
        <v>832</v>
      </c>
      <c r="F710" s="48" t="s">
        <v>832</v>
      </c>
      <c r="G710" s="49">
        <v>10</v>
      </c>
      <c r="H710" s="10">
        <v>10</v>
      </c>
      <c r="I710" s="52">
        <v>33.200000000000003</v>
      </c>
      <c r="J710" s="10">
        <v>33.200000000000003</v>
      </c>
      <c r="K710" s="95" t="s">
        <v>346</v>
      </c>
      <c r="L710" s="57">
        <v>0.5</v>
      </c>
      <c r="M710" s="50">
        <v>23.200000000000003</v>
      </c>
      <c r="N710" s="64"/>
      <c r="O710" s="103"/>
      <c r="P710" s="52" t="s">
        <v>20</v>
      </c>
    </row>
    <row r="711" spans="1:16" ht="15" customHeight="1">
      <c r="A711" s="28">
        <v>10</v>
      </c>
      <c r="B711" s="32">
        <v>45952</v>
      </c>
      <c r="C711" s="36" t="s">
        <v>844</v>
      </c>
      <c r="D711" s="43">
        <v>4</v>
      </c>
      <c r="E711" s="48" t="s">
        <v>26</v>
      </c>
      <c r="F711" s="48" t="s">
        <v>555</v>
      </c>
      <c r="G711" s="49" t="s">
        <v>79</v>
      </c>
      <c r="H711" s="10">
        <v>0</v>
      </c>
      <c r="I711" s="52">
        <v>5</v>
      </c>
      <c r="J711" s="10">
        <v>20</v>
      </c>
      <c r="K711" s="95" t="s">
        <v>346</v>
      </c>
      <c r="L711" s="57">
        <v>0.5</v>
      </c>
      <c r="M711" s="50">
        <v>20</v>
      </c>
      <c r="N711" s="64"/>
      <c r="O711" s="103"/>
      <c r="P711" s="52" t="s">
        <v>20</v>
      </c>
    </row>
    <row r="712" spans="1:16" ht="15" customHeight="1">
      <c r="A712" s="28">
        <v>10</v>
      </c>
      <c r="B712" s="32">
        <v>45952</v>
      </c>
      <c r="C712" s="36" t="s">
        <v>388</v>
      </c>
      <c r="D712" s="43">
        <v>3</v>
      </c>
      <c r="E712" s="48" t="s">
        <v>26</v>
      </c>
      <c r="F712" s="48" t="s">
        <v>555</v>
      </c>
      <c r="G712" s="49">
        <v>2.5</v>
      </c>
      <c r="H712" s="10">
        <v>7.5</v>
      </c>
      <c r="I712" s="52">
        <v>5</v>
      </c>
      <c r="J712" s="10">
        <v>15</v>
      </c>
      <c r="K712" s="95" t="s">
        <v>346</v>
      </c>
      <c r="L712" s="57">
        <v>0.8</v>
      </c>
      <c r="M712" s="50">
        <v>7.5</v>
      </c>
      <c r="N712" s="64"/>
      <c r="O712" s="103"/>
      <c r="P712" s="52" t="s">
        <v>20</v>
      </c>
    </row>
    <row r="713" spans="1:16" ht="15" customHeight="1">
      <c r="A713" s="28">
        <v>10</v>
      </c>
      <c r="B713" s="32">
        <v>45953</v>
      </c>
      <c r="C713" s="36" t="s">
        <v>562</v>
      </c>
      <c r="D713" s="43">
        <v>1</v>
      </c>
      <c r="E713" s="48" t="s">
        <v>821</v>
      </c>
      <c r="F713" s="48" t="s">
        <v>555</v>
      </c>
      <c r="G713" s="49">
        <v>18.5</v>
      </c>
      <c r="H713" s="10">
        <v>18.5</v>
      </c>
      <c r="I713" s="52">
        <v>30</v>
      </c>
      <c r="J713" s="10">
        <v>30</v>
      </c>
      <c r="K713" s="95" t="s">
        <v>346</v>
      </c>
      <c r="L713" s="57">
        <v>0.42857142857142855</v>
      </c>
      <c r="M713" s="50">
        <v>11.5</v>
      </c>
      <c r="N713" s="64"/>
      <c r="O713" s="103"/>
      <c r="P713" s="52" t="s">
        <v>20</v>
      </c>
    </row>
    <row r="714" spans="1:16" ht="15" customHeight="1">
      <c r="A714" s="28">
        <v>10</v>
      </c>
      <c r="B714" s="32">
        <v>45953</v>
      </c>
      <c r="C714" s="36" t="s">
        <v>323</v>
      </c>
      <c r="D714" s="43">
        <v>1</v>
      </c>
      <c r="E714" s="48" t="s">
        <v>58</v>
      </c>
      <c r="F714" s="48" t="s">
        <v>555</v>
      </c>
      <c r="G714" s="49">
        <v>7.0000000000000007E-2</v>
      </c>
      <c r="H714" s="10">
        <v>7.0000000000000007E-2</v>
      </c>
      <c r="I714" s="52">
        <v>1</v>
      </c>
      <c r="J714" s="10">
        <v>1</v>
      </c>
      <c r="K714" s="95" t="s">
        <v>346</v>
      </c>
      <c r="L714" s="57">
        <v>0.22222222222222221</v>
      </c>
      <c r="M714" s="50">
        <v>0.92999999999999994</v>
      </c>
      <c r="N714" s="64"/>
      <c r="O714" s="103"/>
      <c r="P714" s="52" t="s">
        <v>20</v>
      </c>
    </row>
    <row r="715" spans="1:16" ht="15" customHeight="1">
      <c r="A715" s="28">
        <v>10</v>
      </c>
      <c r="B715" s="32">
        <v>45953</v>
      </c>
      <c r="C715" s="36" t="s">
        <v>388</v>
      </c>
      <c r="D715" s="43">
        <v>1</v>
      </c>
      <c r="E715" s="48" t="s">
        <v>26</v>
      </c>
      <c r="F715" s="48" t="s">
        <v>555</v>
      </c>
      <c r="G715" s="49">
        <v>2.5</v>
      </c>
      <c r="H715" s="10">
        <v>2.5</v>
      </c>
      <c r="I715" s="52">
        <v>5</v>
      </c>
      <c r="J715" s="10">
        <v>5</v>
      </c>
      <c r="K715" s="95" t="s">
        <v>346</v>
      </c>
      <c r="L715" s="57">
        <v>0.33333333333333331</v>
      </c>
      <c r="M715" s="50">
        <v>2.5</v>
      </c>
      <c r="N715" s="64"/>
      <c r="O715" s="103"/>
      <c r="P715" s="52" t="s">
        <v>20</v>
      </c>
    </row>
    <row r="716" spans="1:16" ht="15" customHeight="1">
      <c r="A716" s="28">
        <v>10</v>
      </c>
      <c r="B716" s="32">
        <v>45954</v>
      </c>
      <c r="C716" s="36" t="s">
        <v>707</v>
      </c>
      <c r="D716" s="43">
        <v>1</v>
      </c>
      <c r="E716" s="48" t="s">
        <v>26</v>
      </c>
      <c r="F716" s="48" t="s">
        <v>555</v>
      </c>
      <c r="G716" s="49">
        <v>16</v>
      </c>
      <c r="H716" s="10">
        <v>16</v>
      </c>
      <c r="I716" s="52">
        <v>30</v>
      </c>
      <c r="J716" s="10">
        <v>30</v>
      </c>
      <c r="K716" s="95" t="s">
        <v>346</v>
      </c>
      <c r="L716" s="57">
        <v>0.14645460569913843</v>
      </c>
      <c r="M716" s="50">
        <v>14</v>
      </c>
      <c r="N716" s="64"/>
      <c r="O716" s="103"/>
      <c r="P716" s="52" t="s">
        <v>20</v>
      </c>
    </row>
    <row r="717" spans="1:16" ht="15" customHeight="1">
      <c r="A717" s="28">
        <v>10</v>
      </c>
      <c r="B717" s="32">
        <v>45954</v>
      </c>
      <c r="C717" s="36" t="s">
        <v>827</v>
      </c>
      <c r="D717" s="43">
        <v>1</v>
      </c>
      <c r="E717" s="48" t="s">
        <v>845</v>
      </c>
      <c r="F717" s="48" t="s">
        <v>22</v>
      </c>
      <c r="G717" s="49">
        <v>10</v>
      </c>
      <c r="H717" s="10">
        <v>10</v>
      </c>
      <c r="I717" s="52">
        <v>38.619999999999997</v>
      </c>
      <c r="J717" s="10">
        <v>38.619999999999997</v>
      </c>
      <c r="K717" s="95" t="s">
        <v>346</v>
      </c>
      <c r="L717" s="57">
        <v>0.45714285714285713</v>
      </c>
      <c r="M717" s="50">
        <v>28.619999999999997</v>
      </c>
      <c r="N717" s="64"/>
      <c r="O717" s="103"/>
      <c r="P717" s="52" t="s">
        <v>20</v>
      </c>
    </row>
    <row r="718" spans="1:16" ht="15" customHeight="1">
      <c r="A718" s="28">
        <v>10</v>
      </c>
      <c r="B718" s="32">
        <v>45954</v>
      </c>
      <c r="C718" s="36" t="s">
        <v>827</v>
      </c>
      <c r="D718" s="43">
        <v>1</v>
      </c>
      <c r="E718" s="48" t="s">
        <v>846</v>
      </c>
      <c r="F718" s="48" t="s">
        <v>22</v>
      </c>
      <c r="G718" s="49">
        <v>10</v>
      </c>
      <c r="H718" s="10">
        <v>10</v>
      </c>
      <c r="I718" s="52">
        <v>38.619999999999997</v>
      </c>
      <c r="J718" s="10">
        <v>38.619999999999997</v>
      </c>
      <c r="K718" s="95" t="s">
        <v>346</v>
      </c>
      <c r="L718" s="57">
        <v>1</v>
      </c>
      <c r="M718" s="50">
        <v>28.619999999999997</v>
      </c>
      <c r="N718" s="64"/>
      <c r="O718" s="103"/>
      <c r="P718" s="52" t="s">
        <v>20</v>
      </c>
    </row>
    <row r="719" spans="1:16" ht="15" customHeight="1">
      <c r="A719" s="28">
        <v>10</v>
      </c>
      <c r="B719" s="32">
        <v>45954</v>
      </c>
      <c r="C719" s="36" t="s">
        <v>827</v>
      </c>
      <c r="D719" s="43">
        <v>1</v>
      </c>
      <c r="E719" s="48" t="s">
        <v>847</v>
      </c>
      <c r="F719" s="48" t="s">
        <v>22</v>
      </c>
      <c r="G719" s="49">
        <v>10</v>
      </c>
      <c r="H719" s="10">
        <v>10</v>
      </c>
      <c r="I719" s="52">
        <v>38.619999999999997</v>
      </c>
      <c r="J719" s="10">
        <v>38.619999999999997</v>
      </c>
      <c r="K719" s="95" t="s">
        <v>346</v>
      </c>
      <c r="L719" s="57">
        <v>1</v>
      </c>
      <c r="M719" s="50">
        <v>28.619999999999997</v>
      </c>
      <c r="N719" s="64"/>
      <c r="O719" s="103"/>
      <c r="P719" s="52" t="s">
        <v>20</v>
      </c>
    </row>
    <row r="720" spans="1:16" ht="15" customHeight="1">
      <c r="A720" s="28">
        <v>10</v>
      </c>
      <c r="B720" s="32">
        <v>45954</v>
      </c>
      <c r="C720" s="36" t="s">
        <v>827</v>
      </c>
      <c r="D720" s="43">
        <v>1</v>
      </c>
      <c r="E720" s="48" t="s">
        <v>848</v>
      </c>
      <c r="F720" s="48" t="s">
        <v>22</v>
      </c>
      <c r="G720" s="49">
        <v>10</v>
      </c>
      <c r="H720" s="10">
        <v>10</v>
      </c>
      <c r="I720" s="52">
        <v>38.619999999999997</v>
      </c>
      <c r="J720" s="10">
        <v>38.619999999999997</v>
      </c>
      <c r="K720" s="97" t="s">
        <v>346</v>
      </c>
      <c r="L720" s="99">
        <v>0.625</v>
      </c>
      <c r="M720" s="50">
        <v>28.619999999999997</v>
      </c>
      <c r="N720" s="102"/>
      <c r="O720" s="106"/>
      <c r="P720" s="52" t="s">
        <v>20</v>
      </c>
    </row>
    <row r="721" spans="1:16" ht="15" customHeight="1">
      <c r="A721" s="28">
        <v>10</v>
      </c>
      <c r="B721" s="32">
        <v>45954</v>
      </c>
      <c r="C721" s="36" t="s">
        <v>828</v>
      </c>
      <c r="D721" s="43">
        <v>1</v>
      </c>
      <c r="E721" s="48" t="s">
        <v>849</v>
      </c>
      <c r="F721" s="48" t="s">
        <v>22</v>
      </c>
      <c r="G721" s="49">
        <v>7.5</v>
      </c>
      <c r="H721" s="10">
        <v>7.5</v>
      </c>
      <c r="I721" s="52">
        <v>9.17</v>
      </c>
      <c r="J721" s="10">
        <v>9.17</v>
      </c>
      <c r="K721" s="95" t="s">
        <v>346</v>
      </c>
      <c r="L721" s="57">
        <v>0.36666666666666664</v>
      </c>
      <c r="M721" s="50">
        <v>1.67</v>
      </c>
      <c r="N721" s="64"/>
      <c r="O721" s="103"/>
      <c r="P721" s="52" t="s">
        <v>20</v>
      </c>
    </row>
    <row r="722" spans="1:16" ht="15" customHeight="1">
      <c r="A722" s="28">
        <v>10</v>
      </c>
      <c r="B722" s="32">
        <v>45955</v>
      </c>
      <c r="C722" s="36" t="s">
        <v>787</v>
      </c>
      <c r="D722" s="43">
        <v>7</v>
      </c>
      <c r="E722" s="48" t="s">
        <v>26</v>
      </c>
      <c r="F722" s="48" t="s">
        <v>555</v>
      </c>
      <c r="G722" s="49">
        <v>1</v>
      </c>
      <c r="H722" s="10">
        <v>7</v>
      </c>
      <c r="I722" s="52">
        <v>2</v>
      </c>
      <c r="J722" s="10">
        <v>14</v>
      </c>
      <c r="K722" s="95" t="s">
        <v>346</v>
      </c>
      <c r="L722" s="57">
        <v>0.5</v>
      </c>
      <c r="M722" s="50">
        <v>7</v>
      </c>
      <c r="N722" s="64"/>
      <c r="O722" s="103"/>
      <c r="P722" s="52" t="s">
        <v>20</v>
      </c>
    </row>
    <row r="723" spans="1:16" ht="15" customHeight="1">
      <c r="A723" s="28">
        <v>10</v>
      </c>
      <c r="B723" s="32">
        <v>45955</v>
      </c>
      <c r="C723" s="36" t="s">
        <v>707</v>
      </c>
      <c r="D723" s="43">
        <v>1</v>
      </c>
      <c r="E723" s="48" t="s">
        <v>799</v>
      </c>
      <c r="F723" s="48" t="s">
        <v>555</v>
      </c>
      <c r="G723" s="49">
        <v>16</v>
      </c>
      <c r="H723" s="10">
        <v>16</v>
      </c>
      <c r="I723" s="52">
        <v>30</v>
      </c>
      <c r="J723" s="10">
        <v>30</v>
      </c>
      <c r="K723" s="95" t="s">
        <v>346</v>
      </c>
      <c r="L723" s="57">
        <v>0.73333333333333328</v>
      </c>
      <c r="M723" s="50">
        <v>14</v>
      </c>
      <c r="N723" s="64"/>
      <c r="O723" s="103"/>
      <c r="P723" s="52" t="s">
        <v>20</v>
      </c>
    </row>
    <row r="724" spans="1:16" ht="15" customHeight="1">
      <c r="A724" s="28">
        <v>10</v>
      </c>
      <c r="B724" s="32">
        <v>45955</v>
      </c>
      <c r="C724" s="36" t="s">
        <v>441</v>
      </c>
      <c r="D724" s="43">
        <v>1</v>
      </c>
      <c r="E724" s="48" t="s">
        <v>799</v>
      </c>
      <c r="F724" s="48" t="s">
        <v>555</v>
      </c>
      <c r="G724" s="49">
        <v>0</v>
      </c>
      <c r="H724" s="10">
        <v>0</v>
      </c>
      <c r="I724" s="52">
        <v>10</v>
      </c>
      <c r="J724" s="10">
        <v>10</v>
      </c>
      <c r="K724" s="95" t="s">
        <v>346</v>
      </c>
      <c r="L724" s="57">
        <v>0.5</v>
      </c>
      <c r="M724" s="50">
        <v>10</v>
      </c>
      <c r="N724" s="64"/>
      <c r="O724" s="103"/>
      <c r="P724" s="52" t="s">
        <v>20</v>
      </c>
    </row>
    <row r="725" spans="1:16" ht="15" customHeight="1">
      <c r="A725" s="28">
        <v>10</v>
      </c>
      <c r="B725" s="32">
        <v>45955</v>
      </c>
      <c r="C725" s="36" t="s">
        <v>733</v>
      </c>
      <c r="D725" s="43">
        <v>1</v>
      </c>
      <c r="E725" s="48" t="s">
        <v>799</v>
      </c>
      <c r="F725" s="48" t="s">
        <v>555</v>
      </c>
      <c r="G725" s="49">
        <v>40.369999999999997</v>
      </c>
      <c r="H725" s="10">
        <v>40.369999999999997</v>
      </c>
      <c r="I725" s="52">
        <v>100</v>
      </c>
      <c r="J725" s="10">
        <v>100</v>
      </c>
      <c r="K725" s="95" t="s">
        <v>346</v>
      </c>
      <c r="L725" s="57">
        <v>0.3</v>
      </c>
      <c r="M725" s="50">
        <v>59.63</v>
      </c>
      <c r="N725" s="64"/>
      <c r="O725" s="103"/>
      <c r="P725" s="52" t="s">
        <v>20</v>
      </c>
    </row>
    <row r="726" spans="1:16" ht="15" customHeight="1">
      <c r="A726" s="28">
        <v>10</v>
      </c>
      <c r="B726" s="32">
        <v>45955</v>
      </c>
      <c r="C726" s="36" t="s">
        <v>321</v>
      </c>
      <c r="D726" s="43">
        <v>1</v>
      </c>
      <c r="E726" s="48" t="s">
        <v>26</v>
      </c>
      <c r="F726" s="48" t="s">
        <v>555</v>
      </c>
      <c r="G726" s="49">
        <v>3</v>
      </c>
      <c r="H726" s="10">
        <v>3</v>
      </c>
      <c r="I726" s="52">
        <v>15</v>
      </c>
      <c r="J726" s="10">
        <v>15</v>
      </c>
      <c r="K726" s="95" t="s">
        <v>346</v>
      </c>
      <c r="L726" s="57">
        <v>1</v>
      </c>
      <c r="M726" s="50">
        <v>12</v>
      </c>
      <c r="N726" s="64"/>
      <c r="O726" s="103"/>
      <c r="P726" s="52" t="s">
        <v>20</v>
      </c>
    </row>
    <row r="727" spans="1:16" ht="15" customHeight="1">
      <c r="A727" s="28">
        <v>10</v>
      </c>
      <c r="B727" s="32">
        <v>45956</v>
      </c>
      <c r="C727" s="36" t="s">
        <v>827</v>
      </c>
      <c r="D727" s="43">
        <v>1</v>
      </c>
      <c r="E727" s="48" t="s">
        <v>26</v>
      </c>
      <c r="F727" s="48" t="s">
        <v>22</v>
      </c>
      <c r="G727" s="49">
        <v>12</v>
      </c>
      <c r="H727" s="10">
        <v>12</v>
      </c>
      <c r="I727" s="52">
        <v>42.5</v>
      </c>
      <c r="J727" s="10">
        <v>42.5</v>
      </c>
      <c r="K727" s="95" t="s">
        <v>346</v>
      </c>
      <c r="L727" s="57">
        <v>0.6</v>
      </c>
      <c r="M727" s="50">
        <v>30.5</v>
      </c>
      <c r="N727" s="64"/>
      <c r="O727" s="103"/>
      <c r="P727" s="52" t="s">
        <v>20</v>
      </c>
    </row>
    <row r="728" spans="1:16" ht="15" customHeight="1">
      <c r="A728" s="28">
        <v>10</v>
      </c>
      <c r="B728" s="32">
        <v>45956</v>
      </c>
      <c r="C728" s="36" t="s">
        <v>827</v>
      </c>
      <c r="D728" s="43">
        <v>1</v>
      </c>
      <c r="E728" s="48" t="s">
        <v>850</v>
      </c>
      <c r="F728" s="48" t="s">
        <v>22</v>
      </c>
      <c r="G728" s="49">
        <v>12</v>
      </c>
      <c r="H728" s="10">
        <v>12</v>
      </c>
      <c r="I728" s="52">
        <v>42.5</v>
      </c>
      <c r="J728" s="10">
        <v>42.5</v>
      </c>
      <c r="K728" s="95" t="s">
        <v>346</v>
      </c>
      <c r="L728" s="57">
        <v>0.5</v>
      </c>
      <c r="M728" s="50">
        <v>30.5</v>
      </c>
      <c r="N728" s="64"/>
      <c r="O728" s="103"/>
      <c r="P728" s="52" t="s">
        <v>311</v>
      </c>
    </row>
    <row r="729" spans="1:16" ht="15" customHeight="1">
      <c r="A729" s="28">
        <v>10</v>
      </c>
      <c r="B729" s="32">
        <v>45956</v>
      </c>
      <c r="C729" s="36" t="s">
        <v>827</v>
      </c>
      <c r="D729" s="43">
        <v>1</v>
      </c>
      <c r="E729" s="48" t="s">
        <v>851</v>
      </c>
      <c r="F729" s="48" t="s">
        <v>22</v>
      </c>
      <c r="G729" s="49">
        <v>12</v>
      </c>
      <c r="H729" s="10">
        <v>12</v>
      </c>
      <c r="I729" s="52">
        <v>42.5</v>
      </c>
      <c r="J729" s="10">
        <v>42.5</v>
      </c>
      <c r="K729" s="95" t="s">
        <v>346</v>
      </c>
      <c r="L729" s="57">
        <v>0.5</v>
      </c>
      <c r="M729" s="50">
        <v>30.5</v>
      </c>
      <c r="N729" s="64"/>
      <c r="O729" s="103"/>
      <c r="P729" s="52" t="s">
        <v>311</v>
      </c>
    </row>
    <row r="730" spans="1:16" ht="15" customHeight="1">
      <c r="A730" s="28">
        <v>10</v>
      </c>
      <c r="B730" s="32">
        <v>45956</v>
      </c>
      <c r="C730" s="36" t="s">
        <v>827</v>
      </c>
      <c r="D730" s="43">
        <v>1</v>
      </c>
      <c r="E730" s="48" t="s">
        <v>852</v>
      </c>
      <c r="F730" s="48" t="s">
        <v>22</v>
      </c>
      <c r="G730" s="49">
        <v>12</v>
      </c>
      <c r="H730" s="10">
        <v>12</v>
      </c>
      <c r="I730" s="52">
        <v>42.5</v>
      </c>
      <c r="J730" s="10">
        <v>42.5</v>
      </c>
      <c r="K730" s="95" t="s">
        <v>346</v>
      </c>
      <c r="L730" s="57">
        <v>0.5</v>
      </c>
      <c r="M730" s="50">
        <v>30.5</v>
      </c>
      <c r="N730" s="64"/>
      <c r="O730" s="103"/>
      <c r="P730" s="52" t="s">
        <v>20</v>
      </c>
    </row>
    <row r="731" spans="1:16" ht="15" customHeight="1">
      <c r="A731" s="28">
        <v>10</v>
      </c>
      <c r="B731" s="32">
        <v>45956</v>
      </c>
      <c r="C731" s="36" t="s">
        <v>853</v>
      </c>
      <c r="D731" s="43">
        <v>1</v>
      </c>
      <c r="E731" s="48" t="s">
        <v>854</v>
      </c>
      <c r="F731" s="48" t="s">
        <v>22</v>
      </c>
      <c r="G731" s="49" t="s">
        <v>79</v>
      </c>
      <c r="H731" s="10">
        <v>0</v>
      </c>
      <c r="I731" s="52">
        <v>102.1</v>
      </c>
      <c r="J731" s="10">
        <v>102.1</v>
      </c>
      <c r="K731" s="95" t="s">
        <v>346</v>
      </c>
      <c r="L731" s="57">
        <v>0.5</v>
      </c>
      <c r="M731" s="50">
        <v>102.1</v>
      </c>
      <c r="N731" s="64"/>
      <c r="O731" s="103"/>
      <c r="P731" s="52" t="s">
        <v>20</v>
      </c>
    </row>
    <row r="732" spans="1:16" ht="15" customHeight="1">
      <c r="A732" s="28">
        <v>10</v>
      </c>
      <c r="B732" s="32">
        <v>45957</v>
      </c>
      <c r="C732" s="36" t="s">
        <v>323</v>
      </c>
      <c r="D732" s="43">
        <v>1</v>
      </c>
      <c r="E732" s="48" t="s">
        <v>400</v>
      </c>
      <c r="F732" s="48" t="s">
        <v>555</v>
      </c>
      <c r="G732" s="49">
        <v>7.0000000000000007E-2</v>
      </c>
      <c r="H732" s="10">
        <v>7.0000000000000007E-2</v>
      </c>
      <c r="I732" s="52">
        <v>1</v>
      </c>
      <c r="J732" s="10">
        <v>1</v>
      </c>
      <c r="K732" s="95" t="s">
        <v>346</v>
      </c>
      <c r="L732" s="57">
        <v>0.45945945945945948</v>
      </c>
      <c r="M732" s="50">
        <v>0.92999999999999994</v>
      </c>
      <c r="N732" s="64"/>
      <c r="O732" s="103"/>
      <c r="P732" s="107" t="s">
        <v>20</v>
      </c>
    </row>
    <row r="733" spans="1:16" ht="15" customHeight="1">
      <c r="A733" s="28">
        <v>10</v>
      </c>
      <c r="B733" s="32">
        <v>45958</v>
      </c>
      <c r="C733" s="36" t="s">
        <v>827</v>
      </c>
      <c r="D733" s="43">
        <v>1</v>
      </c>
      <c r="E733" s="48" t="s">
        <v>855</v>
      </c>
      <c r="F733" s="48" t="s">
        <v>22</v>
      </c>
      <c r="G733" s="49">
        <v>20</v>
      </c>
      <c r="H733" s="10">
        <v>20</v>
      </c>
      <c r="I733" s="52">
        <v>42.5</v>
      </c>
      <c r="J733" s="10">
        <v>42.5</v>
      </c>
      <c r="K733" s="95" t="s">
        <v>346</v>
      </c>
      <c r="L733" s="57">
        <v>0.5714285714285714</v>
      </c>
      <c r="M733" s="50">
        <v>22.5</v>
      </c>
      <c r="N733" s="64"/>
      <c r="O733" s="103"/>
      <c r="P733" s="107" t="s">
        <v>20</v>
      </c>
    </row>
    <row r="734" spans="1:16" ht="15" customHeight="1">
      <c r="A734" s="28">
        <v>10</v>
      </c>
      <c r="B734" s="32">
        <v>45958</v>
      </c>
      <c r="C734" s="36" t="s">
        <v>827</v>
      </c>
      <c r="D734" s="43">
        <v>1</v>
      </c>
      <c r="E734" s="48" t="s">
        <v>856</v>
      </c>
      <c r="F734" s="48" t="s">
        <v>22</v>
      </c>
      <c r="G734" s="49">
        <v>20</v>
      </c>
      <c r="H734" s="10">
        <v>20</v>
      </c>
      <c r="I734" s="52">
        <v>42.5</v>
      </c>
      <c r="J734" s="10">
        <v>42.5</v>
      </c>
      <c r="K734" s="95" t="s">
        <v>346</v>
      </c>
      <c r="L734" s="57">
        <v>0.6</v>
      </c>
      <c r="M734" s="50">
        <v>22.5</v>
      </c>
      <c r="N734" s="64"/>
      <c r="O734" s="103"/>
      <c r="P734" s="107" t="s">
        <v>20</v>
      </c>
    </row>
    <row r="735" spans="1:16" ht="15" customHeight="1">
      <c r="A735" s="28">
        <v>10</v>
      </c>
      <c r="B735" s="32">
        <v>45958</v>
      </c>
      <c r="C735" s="36" t="s">
        <v>857</v>
      </c>
      <c r="D735" s="43">
        <v>1</v>
      </c>
      <c r="E735" s="48" t="s">
        <v>821</v>
      </c>
      <c r="F735" s="48" t="s">
        <v>555</v>
      </c>
      <c r="G735" s="49">
        <v>7.5</v>
      </c>
      <c r="H735" s="10">
        <v>7.5</v>
      </c>
      <c r="I735" s="52">
        <v>15</v>
      </c>
      <c r="J735" s="10">
        <v>15</v>
      </c>
      <c r="K735" s="95" t="s">
        <v>346</v>
      </c>
      <c r="L735" s="57">
        <v>0.92999999999999994</v>
      </c>
      <c r="M735" s="50">
        <v>7.5</v>
      </c>
      <c r="N735" s="64"/>
      <c r="O735" s="103"/>
      <c r="P735" s="107" t="s">
        <v>20</v>
      </c>
    </row>
    <row r="736" spans="1:16" ht="15" customHeight="1">
      <c r="A736" s="28">
        <v>10</v>
      </c>
      <c r="B736" s="32">
        <v>45959</v>
      </c>
      <c r="C736" s="36" t="s">
        <v>827</v>
      </c>
      <c r="D736" s="43">
        <v>1</v>
      </c>
      <c r="E736" s="48" t="s">
        <v>858</v>
      </c>
      <c r="F736" s="48" t="s">
        <v>22</v>
      </c>
      <c r="G736" s="49">
        <v>20</v>
      </c>
      <c r="H736" s="10">
        <v>20</v>
      </c>
      <c r="I736" s="52">
        <v>41.72</v>
      </c>
      <c r="J736" s="10">
        <v>41.72</v>
      </c>
      <c r="K736" s="95" t="s">
        <v>346</v>
      </c>
      <c r="L736" s="57">
        <v>0.8</v>
      </c>
      <c r="M736" s="50">
        <v>21.72</v>
      </c>
      <c r="N736" s="64"/>
      <c r="O736" s="103"/>
      <c r="P736" s="107" t="s">
        <v>20</v>
      </c>
    </row>
    <row r="737" spans="1:16" ht="15" customHeight="1">
      <c r="A737" s="28">
        <v>10</v>
      </c>
      <c r="B737" s="32">
        <v>45959</v>
      </c>
      <c r="C737" s="36" t="s">
        <v>859</v>
      </c>
      <c r="D737" s="43">
        <v>1</v>
      </c>
      <c r="E737" s="48" t="s">
        <v>860</v>
      </c>
      <c r="F737" s="48" t="s">
        <v>22</v>
      </c>
      <c r="G737" s="49" t="s">
        <v>79</v>
      </c>
      <c r="H737" s="10">
        <v>0</v>
      </c>
      <c r="I737" s="52">
        <v>44.75</v>
      </c>
      <c r="J737" s="10">
        <v>44.75</v>
      </c>
      <c r="K737" s="95" t="s">
        <v>346</v>
      </c>
      <c r="L737" s="57">
        <v>0.5</v>
      </c>
      <c r="M737" s="50">
        <v>44.75</v>
      </c>
      <c r="N737" s="64"/>
      <c r="O737" s="103"/>
      <c r="P737" s="107" t="s">
        <v>20</v>
      </c>
    </row>
    <row r="738" spans="1:16" ht="15" customHeight="1">
      <c r="A738" s="28">
        <v>10</v>
      </c>
      <c r="B738" s="32">
        <v>45960</v>
      </c>
      <c r="C738" s="36" t="s">
        <v>861</v>
      </c>
      <c r="D738" s="43">
        <v>1</v>
      </c>
      <c r="E738" s="48" t="s">
        <v>862</v>
      </c>
      <c r="F738" s="48" t="s">
        <v>22</v>
      </c>
      <c r="G738" s="49">
        <v>14</v>
      </c>
      <c r="H738" s="10">
        <v>14</v>
      </c>
      <c r="I738" s="52">
        <v>85.16</v>
      </c>
      <c r="J738" s="10">
        <v>85.16</v>
      </c>
      <c r="K738" s="95" t="s">
        <v>346</v>
      </c>
      <c r="L738" s="57">
        <v>0.4</v>
      </c>
      <c r="M738" s="50">
        <v>71.16</v>
      </c>
      <c r="N738" s="64"/>
      <c r="O738" s="103"/>
      <c r="P738" s="107" t="s">
        <v>20</v>
      </c>
    </row>
    <row r="739" spans="1:16" ht="15" customHeight="1">
      <c r="A739" s="28">
        <v>10</v>
      </c>
      <c r="B739" s="32">
        <v>45960</v>
      </c>
      <c r="C739" s="36" t="s">
        <v>827</v>
      </c>
      <c r="D739" s="43">
        <v>1</v>
      </c>
      <c r="E739" s="48" t="s">
        <v>858</v>
      </c>
      <c r="F739" s="48" t="s">
        <v>22</v>
      </c>
      <c r="G739" s="49">
        <v>20</v>
      </c>
      <c r="H739" s="10">
        <v>20</v>
      </c>
      <c r="I739" s="52">
        <v>41.72</v>
      </c>
      <c r="J739" s="10">
        <v>41.72</v>
      </c>
      <c r="K739" s="95" t="s">
        <v>346</v>
      </c>
      <c r="L739" s="57">
        <v>0.375</v>
      </c>
      <c r="M739" s="50">
        <v>21.72</v>
      </c>
      <c r="N739" s="64"/>
      <c r="O739" s="103"/>
      <c r="P739" s="107" t="s">
        <v>20</v>
      </c>
    </row>
    <row r="740" spans="1:16" ht="15" customHeight="1">
      <c r="A740" s="28">
        <v>10</v>
      </c>
      <c r="B740" s="32">
        <v>45961</v>
      </c>
      <c r="C740" s="36" t="s">
        <v>863</v>
      </c>
      <c r="D740" s="43">
        <v>1</v>
      </c>
      <c r="E740" s="48" t="s">
        <v>26</v>
      </c>
      <c r="F740" s="48" t="s">
        <v>555</v>
      </c>
      <c r="G740" s="49">
        <v>15</v>
      </c>
      <c r="H740" s="10">
        <v>15</v>
      </c>
      <c r="I740" s="52">
        <v>30</v>
      </c>
      <c r="J740" s="10">
        <v>30</v>
      </c>
      <c r="K740" s="95" t="s">
        <v>346</v>
      </c>
      <c r="L740" s="57">
        <v>0.6</v>
      </c>
      <c r="M740" s="50">
        <v>15</v>
      </c>
      <c r="N740" s="64"/>
      <c r="O740" s="103"/>
      <c r="P740" s="107" t="s">
        <v>20</v>
      </c>
    </row>
    <row r="741" spans="1:16" ht="15" customHeight="1">
      <c r="A741" s="28">
        <v>11</v>
      </c>
      <c r="B741" s="32">
        <v>45962</v>
      </c>
      <c r="C741" s="36" t="s">
        <v>864</v>
      </c>
      <c r="D741" s="43">
        <v>1</v>
      </c>
      <c r="E741" s="48" t="s">
        <v>822</v>
      </c>
      <c r="F741" s="48" t="s">
        <v>22</v>
      </c>
      <c r="G741" s="49">
        <v>2</v>
      </c>
      <c r="H741" s="10">
        <v>2</v>
      </c>
      <c r="I741" s="52">
        <v>5</v>
      </c>
      <c r="J741" s="10">
        <v>5</v>
      </c>
      <c r="K741" s="95" t="s">
        <v>346</v>
      </c>
      <c r="L741" s="57">
        <v>1</v>
      </c>
      <c r="M741" s="50">
        <v>3</v>
      </c>
      <c r="N741" s="64"/>
      <c r="O741" s="103"/>
      <c r="P741" s="107" t="s">
        <v>20</v>
      </c>
    </row>
    <row r="742" spans="1:16" ht="15" customHeight="1">
      <c r="A742" s="28">
        <v>11</v>
      </c>
      <c r="B742" s="32">
        <v>45962</v>
      </c>
      <c r="C742" s="36" t="s">
        <v>865</v>
      </c>
      <c r="D742" s="43">
        <v>3</v>
      </c>
      <c r="E742" s="48" t="s">
        <v>26</v>
      </c>
      <c r="F742" s="48" t="s">
        <v>555</v>
      </c>
      <c r="G742" s="49">
        <v>1</v>
      </c>
      <c r="H742" s="10">
        <v>3</v>
      </c>
      <c r="I742" s="52">
        <v>5</v>
      </c>
      <c r="J742" s="10">
        <v>15</v>
      </c>
      <c r="K742" s="95" t="s">
        <v>346</v>
      </c>
      <c r="L742" s="57">
        <v>0.2857142857142857</v>
      </c>
      <c r="M742" s="50">
        <v>12</v>
      </c>
      <c r="N742" s="64"/>
      <c r="O742" s="103"/>
      <c r="P742" s="107" t="s">
        <v>20</v>
      </c>
    </row>
    <row r="743" spans="1:16" ht="15" customHeight="1">
      <c r="A743" s="28">
        <v>11</v>
      </c>
      <c r="B743" s="32">
        <v>45962</v>
      </c>
      <c r="C743" s="36" t="s">
        <v>837</v>
      </c>
      <c r="D743" s="43">
        <v>1</v>
      </c>
      <c r="E743" s="48" t="s">
        <v>866</v>
      </c>
      <c r="F743" s="48" t="s">
        <v>22</v>
      </c>
      <c r="G743" s="49">
        <v>7</v>
      </c>
      <c r="H743" s="10">
        <v>7</v>
      </c>
      <c r="I743" s="52">
        <v>41.9</v>
      </c>
      <c r="J743" s="10">
        <v>41.9</v>
      </c>
      <c r="K743" s="95" t="s">
        <v>346</v>
      </c>
      <c r="L743" s="57">
        <v>0.4</v>
      </c>
      <c r="M743" s="50">
        <v>34.9</v>
      </c>
      <c r="N743" s="64"/>
      <c r="O743" s="103"/>
      <c r="P743" s="107" t="s">
        <v>20</v>
      </c>
    </row>
    <row r="744" spans="1:16" ht="15" customHeight="1">
      <c r="A744" s="28">
        <v>11</v>
      </c>
      <c r="B744" s="32">
        <v>45962</v>
      </c>
      <c r="C744" s="36" t="s">
        <v>867</v>
      </c>
      <c r="D744" s="43">
        <v>1</v>
      </c>
      <c r="E744" s="48" t="s">
        <v>868</v>
      </c>
      <c r="F744" s="48" t="s">
        <v>22</v>
      </c>
      <c r="G744" s="49">
        <v>0</v>
      </c>
      <c r="H744" s="10">
        <v>0</v>
      </c>
      <c r="I744" s="52">
        <v>40</v>
      </c>
      <c r="J744" s="10">
        <v>40</v>
      </c>
      <c r="K744" s="95" t="s">
        <v>346</v>
      </c>
      <c r="L744" s="57">
        <v>0.625</v>
      </c>
      <c r="M744" s="50">
        <v>40</v>
      </c>
      <c r="N744" s="64"/>
      <c r="O744" s="103"/>
      <c r="P744" s="107" t="s">
        <v>20</v>
      </c>
    </row>
    <row r="745" spans="1:16" ht="15" customHeight="1">
      <c r="A745" s="28">
        <v>11</v>
      </c>
      <c r="B745" s="32">
        <v>45963</v>
      </c>
      <c r="C745" s="36" t="s">
        <v>869</v>
      </c>
      <c r="D745" s="43">
        <v>1</v>
      </c>
      <c r="E745" s="48" t="s">
        <v>870</v>
      </c>
      <c r="F745" s="48" t="s">
        <v>22</v>
      </c>
      <c r="G745" s="49">
        <v>20</v>
      </c>
      <c r="H745" s="10">
        <v>20</v>
      </c>
      <c r="I745" s="52">
        <v>53.37</v>
      </c>
      <c r="J745" s="10">
        <v>53.37</v>
      </c>
      <c r="K745" s="95" t="s">
        <v>346</v>
      </c>
      <c r="L745" s="57">
        <v>0.6</v>
      </c>
      <c r="M745" s="50">
        <v>33.369999999999997</v>
      </c>
      <c r="N745" s="64"/>
      <c r="O745" s="103"/>
      <c r="P745" s="107" t="s">
        <v>20</v>
      </c>
    </row>
    <row r="746" spans="1:16" ht="15" customHeight="1">
      <c r="A746" s="28">
        <v>11</v>
      </c>
      <c r="B746" s="32">
        <v>45964</v>
      </c>
      <c r="C746" s="36" t="s">
        <v>835</v>
      </c>
      <c r="D746" s="43">
        <v>1</v>
      </c>
      <c r="E746" s="48" t="s">
        <v>871</v>
      </c>
      <c r="F746" s="48" t="s">
        <v>22</v>
      </c>
      <c r="G746" s="49">
        <v>2</v>
      </c>
      <c r="H746" s="10">
        <v>2</v>
      </c>
      <c r="I746" s="52">
        <v>5.74</v>
      </c>
      <c r="J746" s="10">
        <v>5.74</v>
      </c>
      <c r="K746" s="95" t="s">
        <v>346</v>
      </c>
      <c r="L746" s="57">
        <v>1</v>
      </c>
      <c r="M746" s="50">
        <v>3.74</v>
      </c>
      <c r="N746" s="64"/>
      <c r="O746" s="103"/>
      <c r="P746" s="107" t="s">
        <v>20</v>
      </c>
    </row>
    <row r="747" spans="1:16" ht="15" customHeight="1">
      <c r="A747" s="28">
        <v>11</v>
      </c>
      <c r="B747" s="32">
        <v>45964</v>
      </c>
      <c r="C747" s="36" t="s">
        <v>697</v>
      </c>
      <c r="D747" s="43">
        <v>1</v>
      </c>
      <c r="E747" s="48" t="s">
        <v>26</v>
      </c>
      <c r="F747" s="48" t="s">
        <v>555</v>
      </c>
      <c r="G747" s="49">
        <v>7.5</v>
      </c>
      <c r="H747" s="10">
        <v>7.5</v>
      </c>
      <c r="I747" s="52">
        <v>20</v>
      </c>
      <c r="J747" s="10">
        <v>20</v>
      </c>
      <c r="K747" s="95" t="s">
        <v>346</v>
      </c>
      <c r="L747" s="57">
        <v>1</v>
      </c>
      <c r="M747" s="50">
        <v>12.5</v>
      </c>
      <c r="N747" s="64"/>
      <c r="O747" s="103"/>
      <c r="P747" s="107" t="s">
        <v>20</v>
      </c>
    </row>
    <row r="748" spans="1:16" ht="15" customHeight="1">
      <c r="A748" s="28">
        <v>11</v>
      </c>
      <c r="B748" s="32">
        <v>45964</v>
      </c>
      <c r="C748" s="36" t="s">
        <v>872</v>
      </c>
      <c r="D748" s="43">
        <v>1</v>
      </c>
      <c r="E748" s="48" t="s">
        <v>873</v>
      </c>
      <c r="F748" s="48" t="s">
        <v>22</v>
      </c>
      <c r="G748" s="49">
        <v>18</v>
      </c>
      <c r="H748" s="10">
        <v>18</v>
      </c>
      <c r="I748" s="52">
        <v>19.71</v>
      </c>
      <c r="J748" s="10">
        <v>19.71</v>
      </c>
      <c r="K748" s="95" t="s">
        <v>346</v>
      </c>
      <c r="L748" s="57">
        <v>0.4</v>
      </c>
      <c r="M748" s="50">
        <v>1.7100000000000009</v>
      </c>
      <c r="N748" s="64"/>
      <c r="O748" s="103"/>
      <c r="P748" s="107" t="s">
        <v>20</v>
      </c>
    </row>
    <row r="749" spans="1:16" ht="15" customHeight="1">
      <c r="A749" s="28">
        <v>11</v>
      </c>
      <c r="B749" s="32">
        <v>45964</v>
      </c>
      <c r="C749" s="36" t="s">
        <v>869</v>
      </c>
      <c r="D749" s="43">
        <v>1</v>
      </c>
      <c r="E749" s="48" t="s">
        <v>873</v>
      </c>
      <c r="F749" s="48" t="s">
        <v>22</v>
      </c>
      <c r="G749" s="49">
        <v>20</v>
      </c>
      <c r="H749" s="10">
        <v>20</v>
      </c>
      <c r="I749" s="52">
        <v>53.37</v>
      </c>
      <c r="J749" s="10">
        <v>53.37</v>
      </c>
      <c r="K749" s="95" t="s">
        <v>346</v>
      </c>
      <c r="L749" s="57">
        <v>0.8</v>
      </c>
      <c r="M749" s="50">
        <v>33.369999999999997</v>
      </c>
      <c r="N749" s="64"/>
      <c r="O749" s="103"/>
      <c r="P749" s="107" t="s">
        <v>20</v>
      </c>
    </row>
    <row r="750" spans="1:16" ht="15" customHeight="1">
      <c r="A750" s="28">
        <v>11</v>
      </c>
      <c r="B750" s="32">
        <v>45964</v>
      </c>
      <c r="C750" s="36" t="s">
        <v>827</v>
      </c>
      <c r="D750" s="43">
        <v>1</v>
      </c>
      <c r="E750" s="48" t="s">
        <v>874</v>
      </c>
      <c r="F750" s="48" t="s">
        <v>22</v>
      </c>
      <c r="G750" s="49">
        <v>7</v>
      </c>
      <c r="H750" s="10">
        <v>7</v>
      </c>
      <c r="I750" s="52">
        <v>41.9</v>
      </c>
      <c r="J750" s="10">
        <v>41.9</v>
      </c>
      <c r="K750" s="95" t="s">
        <v>346</v>
      </c>
      <c r="L750" s="57">
        <v>0.55000000000000004</v>
      </c>
      <c r="M750" s="50">
        <v>34.9</v>
      </c>
      <c r="N750" s="64"/>
      <c r="O750" s="103"/>
      <c r="P750" s="107" t="s">
        <v>20</v>
      </c>
    </row>
    <row r="751" spans="1:16" ht="15" customHeight="1">
      <c r="A751" s="28">
        <v>11</v>
      </c>
      <c r="B751" s="32">
        <v>45965</v>
      </c>
      <c r="C751" s="36" t="s">
        <v>875</v>
      </c>
      <c r="D751" s="43">
        <v>1</v>
      </c>
      <c r="E751" s="48" t="s">
        <v>26</v>
      </c>
      <c r="F751" s="48" t="s">
        <v>555</v>
      </c>
      <c r="G751" s="49">
        <v>5</v>
      </c>
      <c r="H751" s="10">
        <v>5</v>
      </c>
      <c r="I751" s="52">
        <v>15</v>
      </c>
      <c r="J751" s="10">
        <v>15</v>
      </c>
      <c r="K751" s="95" t="s">
        <v>346</v>
      </c>
      <c r="L751" s="57">
        <v>0.6</v>
      </c>
      <c r="M751" s="50">
        <v>10</v>
      </c>
      <c r="N751" s="64"/>
      <c r="O751" s="103"/>
      <c r="P751" s="107" t="s">
        <v>20</v>
      </c>
    </row>
    <row r="752" spans="1:16" ht="15" customHeight="1">
      <c r="A752" s="28">
        <v>11</v>
      </c>
      <c r="B752" s="32">
        <v>45965</v>
      </c>
      <c r="C752" s="36" t="s">
        <v>876</v>
      </c>
      <c r="D752" s="43">
        <v>1</v>
      </c>
      <c r="E752" s="48" t="s">
        <v>877</v>
      </c>
      <c r="F752" s="48" t="s">
        <v>832</v>
      </c>
      <c r="G752" s="49" t="s">
        <v>79</v>
      </c>
      <c r="H752" s="10">
        <v>0</v>
      </c>
      <c r="I752" s="52">
        <v>32</v>
      </c>
      <c r="J752" s="10">
        <v>32</v>
      </c>
      <c r="K752" s="95" t="s">
        <v>346</v>
      </c>
      <c r="L752" s="57">
        <v>1</v>
      </c>
      <c r="M752" s="50">
        <v>32</v>
      </c>
      <c r="N752" s="64"/>
      <c r="O752" s="103"/>
      <c r="P752" s="107" t="s">
        <v>20</v>
      </c>
    </row>
    <row r="753" spans="1:16" ht="15" customHeight="1">
      <c r="A753" s="28">
        <v>11</v>
      </c>
      <c r="B753" s="32">
        <v>45965</v>
      </c>
      <c r="C753" s="36" t="s">
        <v>725</v>
      </c>
      <c r="D753" s="43">
        <v>1</v>
      </c>
      <c r="E753" s="48" t="s">
        <v>26</v>
      </c>
      <c r="F753" s="48" t="s">
        <v>555</v>
      </c>
      <c r="G753" s="49">
        <v>7.5</v>
      </c>
      <c r="H753" s="10">
        <v>7.5</v>
      </c>
      <c r="I753" s="52">
        <v>10</v>
      </c>
      <c r="J753" s="10">
        <v>10</v>
      </c>
      <c r="K753" s="95" t="s">
        <v>346</v>
      </c>
      <c r="L753" s="57">
        <v>0.4</v>
      </c>
      <c r="M753" s="50">
        <v>2.5</v>
      </c>
      <c r="N753" s="64"/>
      <c r="O753" s="103"/>
      <c r="P753" s="107" t="s">
        <v>20</v>
      </c>
    </row>
    <row r="754" spans="1:16" ht="15" customHeight="1">
      <c r="A754" s="28">
        <v>11</v>
      </c>
      <c r="B754" s="32">
        <v>45966</v>
      </c>
      <c r="C754" s="36" t="s">
        <v>697</v>
      </c>
      <c r="D754" s="43">
        <v>1</v>
      </c>
      <c r="E754" s="48" t="s">
        <v>26</v>
      </c>
      <c r="F754" s="48" t="s">
        <v>555</v>
      </c>
      <c r="G754" s="49">
        <v>7.5</v>
      </c>
      <c r="H754" s="10">
        <v>7.5</v>
      </c>
      <c r="I754" s="52">
        <v>20</v>
      </c>
      <c r="J754" s="10">
        <v>20</v>
      </c>
      <c r="K754" s="95" t="s">
        <v>346</v>
      </c>
      <c r="L754" s="57">
        <v>0.75</v>
      </c>
      <c r="M754" s="50">
        <v>12.5</v>
      </c>
      <c r="N754" s="64"/>
      <c r="O754" s="103"/>
      <c r="P754" s="107" t="s">
        <v>20</v>
      </c>
    </row>
    <row r="755" spans="1:16" ht="15" customHeight="1">
      <c r="A755" s="28">
        <v>11</v>
      </c>
      <c r="B755" s="32">
        <v>45966</v>
      </c>
      <c r="C755" s="36" t="s">
        <v>323</v>
      </c>
      <c r="D755" s="43">
        <v>1</v>
      </c>
      <c r="E755" s="48" t="s">
        <v>26</v>
      </c>
      <c r="F755" s="48" t="s">
        <v>555</v>
      </c>
      <c r="G755" s="49">
        <v>7.0000000000000007E-2</v>
      </c>
      <c r="H755" s="10">
        <v>7.0000000000000007E-2</v>
      </c>
      <c r="I755" s="52">
        <v>1</v>
      </c>
      <c r="J755" s="10">
        <v>1</v>
      </c>
      <c r="K755" s="95" t="s">
        <v>346</v>
      </c>
      <c r="L755" s="57">
        <v>0.5</v>
      </c>
      <c r="M755" s="50">
        <v>0.92999999999999994</v>
      </c>
      <c r="N755" s="64"/>
      <c r="O755" s="103"/>
      <c r="P755" s="107" t="s">
        <v>20</v>
      </c>
    </row>
    <row r="756" spans="1:16" ht="15" customHeight="1">
      <c r="A756" s="28">
        <v>11</v>
      </c>
      <c r="B756" s="32">
        <v>45966</v>
      </c>
      <c r="C756" s="36" t="s">
        <v>725</v>
      </c>
      <c r="D756" s="43">
        <v>1</v>
      </c>
      <c r="E756" s="48" t="s">
        <v>26</v>
      </c>
      <c r="F756" s="48" t="s">
        <v>555</v>
      </c>
      <c r="G756" s="49">
        <v>5</v>
      </c>
      <c r="H756" s="10">
        <v>5</v>
      </c>
      <c r="I756" s="52">
        <v>10</v>
      </c>
      <c r="J756" s="10">
        <v>10</v>
      </c>
      <c r="K756" s="95" t="s">
        <v>346</v>
      </c>
      <c r="L756" s="57">
        <v>0.5</v>
      </c>
      <c r="M756" s="50">
        <v>5</v>
      </c>
      <c r="N756" s="64"/>
      <c r="O756" s="103"/>
      <c r="P756" s="107" t="s">
        <v>20</v>
      </c>
    </row>
    <row r="757" spans="1:16" ht="15" customHeight="1">
      <c r="A757" s="28">
        <v>11</v>
      </c>
      <c r="B757" s="32">
        <v>45966</v>
      </c>
      <c r="C757" s="36" t="s">
        <v>725</v>
      </c>
      <c r="D757" s="43">
        <v>4</v>
      </c>
      <c r="E757" s="48" t="s">
        <v>26</v>
      </c>
      <c r="F757" s="48" t="s">
        <v>555</v>
      </c>
      <c r="G757" s="49">
        <v>5</v>
      </c>
      <c r="H757" s="10">
        <v>20</v>
      </c>
      <c r="I757" s="52">
        <v>10</v>
      </c>
      <c r="J757" s="10">
        <v>50</v>
      </c>
      <c r="K757" s="95" t="s">
        <v>346</v>
      </c>
      <c r="L757" s="57">
        <v>0.5</v>
      </c>
      <c r="M757" s="50">
        <v>30</v>
      </c>
      <c r="N757" s="64"/>
      <c r="O757" s="103"/>
      <c r="P757" s="107" t="s">
        <v>20</v>
      </c>
    </row>
    <row r="758" spans="1:16" ht="15" customHeight="1">
      <c r="A758" s="28">
        <v>11</v>
      </c>
      <c r="B758" s="32">
        <v>45966</v>
      </c>
      <c r="C758" s="36" t="s">
        <v>878</v>
      </c>
      <c r="D758" s="43">
        <v>1</v>
      </c>
      <c r="E758" s="48" t="s">
        <v>26</v>
      </c>
      <c r="F758" s="48" t="s">
        <v>832</v>
      </c>
      <c r="G758" s="49">
        <v>25</v>
      </c>
      <c r="H758" s="10">
        <v>25</v>
      </c>
      <c r="I758" s="52">
        <v>25</v>
      </c>
      <c r="J758" s="10">
        <v>25</v>
      </c>
      <c r="K758" s="95" t="s">
        <v>346</v>
      </c>
      <c r="L758" s="57">
        <v>0.51666666666666672</v>
      </c>
      <c r="M758" s="50">
        <v>0</v>
      </c>
      <c r="N758" s="64"/>
      <c r="O758" s="103"/>
      <c r="P758" s="107" t="s">
        <v>20</v>
      </c>
    </row>
    <row r="759" spans="1:16" ht="15" customHeight="1">
      <c r="A759" s="28">
        <v>11</v>
      </c>
      <c r="B759" s="32">
        <v>45966</v>
      </c>
      <c r="C759" s="36" t="s">
        <v>869</v>
      </c>
      <c r="D759" s="43">
        <v>1</v>
      </c>
      <c r="E759" s="48" t="s">
        <v>26</v>
      </c>
      <c r="F759" s="48" t="s">
        <v>832</v>
      </c>
      <c r="G759" s="49">
        <v>25</v>
      </c>
      <c r="H759" s="10">
        <v>25</v>
      </c>
      <c r="I759" s="52">
        <v>123.12</v>
      </c>
      <c r="J759" s="10">
        <v>123.12</v>
      </c>
      <c r="K759" s="95" t="s">
        <v>346</v>
      </c>
      <c r="L759" s="57">
        <v>0.81203007518796988</v>
      </c>
      <c r="M759" s="50">
        <v>98.12</v>
      </c>
      <c r="N759" s="64"/>
      <c r="O759" s="103"/>
      <c r="P759" s="107" t="s">
        <v>20</v>
      </c>
    </row>
    <row r="760" spans="1:16" ht="15" customHeight="1">
      <c r="A760" s="28">
        <v>11</v>
      </c>
      <c r="B760" s="32">
        <v>45967</v>
      </c>
      <c r="C760" s="36" t="s">
        <v>725</v>
      </c>
      <c r="D760" s="43">
        <v>2</v>
      </c>
      <c r="E760" s="48" t="s">
        <v>26</v>
      </c>
      <c r="F760" s="48" t="s">
        <v>555</v>
      </c>
      <c r="G760" s="49">
        <v>5</v>
      </c>
      <c r="H760" s="10">
        <v>10</v>
      </c>
      <c r="I760" s="52">
        <v>10</v>
      </c>
      <c r="J760" s="10">
        <v>20</v>
      </c>
      <c r="K760" s="95" t="s">
        <v>346</v>
      </c>
      <c r="L760" s="57">
        <v>0.375</v>
      </c>
      <c r="M760" s="50">
        <v>10</v>
      </c>
      <c r="N760" s="64"/>
      <c r="O760" s="103"/>
      <c r="P760" s="107" t="s">
        <v>20</v>
      </c>
    </row>
    <row r="761" spans="1:16" ht="15" customHeight="1">
      <c r="A761" s="28">
        <v>11</v>
      </c>
      <c r="B761" s="32">
        <v>45967</v>
      </c>
      <c r="C761" s="36" t="s">
        <v>321</v>
      </c>
      <c r="D761" s="43">
        <v>2</v>
      </c>
      <c r="E761" s="48" t="s">
        <v>40</v>
      </c>
      <c r="F761" s="48" t="s">
        <v>555</v>
      </c>
      <c r="G761" s="49">
        <v>3</v>
      </c>
      <c r="H761" s="10">
        <v>6</v>
      </c>
      <c r="I761" s="52">
        <v>7</v>
      </c>
      <c r="J761" s="10">
        <v>14</v>
      </c>
      <c r="K761" s="95" t="s">
        <v>346</v>
      </c>
      <c r="L761" s="57">
        <v>0.37777777777777777</v>
      </c>
      <c r="M761" s="50">
        <v>8</v>
      </c>
      <c r="N761" s="64"/>
      <c r="O761" s="103"/>
      <c r="P761" s="107" t="s">
        <v>20</v>
      </c>
    </row>
    <row r="762" spans="1:16" ht="15" customHeight="1">
      <c r="A762" s="28">
        <v>11</v>
      </c>
      <c r="B762" s="32">
        <v>45967</v>
      </c>
      <c r="C762" s="36" t="s">
        <v>760</v>
      </c>
      <c r="D762" s="43">
        <v>2</v>
      </c>
      <c r="E762" s="48" t="s">
        <v>40</v>
      </c>
      <c r="F762" s="48" t="s">
        <v>555</v>
      </c>
      <c r="G762" s="49">
        <v>5</v>
      </c>
      <c r="H762" s="10">
        <v>10</v>
      </c>
      <c r="I762" s="52">
        <v>15</v>
      </c>
      <c r="J762" s="10">
        <v>30</v>
      </c>
      <c r="K762" s="95" t="s">
        <v>346</v>
      </c>
      <c r="L762" s="57">
        <v>0.33333333333333331</v>
      </c>
      <c r="M762" s="50">
        <v>20</v>
      </c>
      <c r="N762" s="64"/>
      <c r="O762" s="103"/>
      <c r="P762" s="107" t="s">
        <v>20</v>
      </c>
    </row>
    <row r="763" spans="1:16" ht="15" customHeight="1">
      <c r="A763" s="28">
        <v>11</v>
      </c>
      <c r="B763" s="32">
        <v>45967</v>
      </c>
      <c r="C763" s="36" t="s">
        <v>682</v>
      </c>
      <c r="D763" s="43">
        <v>1</v>
      </c>
      <c r="E763" s="48" t="s">
        <v>40</v>
      </c>
      <c r="F763" s="48" t="s">
        <v>555</v>
      </c>
      <c r="G763" s="49">
        <v>5</v>
      </c>
      <c r="H763" s="10">
        <v>5</v>
      </c>
      <c r="I763" s="52">
        <v>10</v>
      </c>
      <c r="J763" s="10">
        <v>10</v>
      </c>
      <c r="K763" s="95" t="s">
        <v>346</v>
      </c>
      <c r="L763" s="57">
        <v>0.8</v>
      </c>
      <c r="M763" s="50">
        <v>5</v>
      </c>
      <c r="N763" s="64"/>
      <c r="O763" s="103"/>
      <c r="P763" s="107" t="s">
        <v>20</v>
      </c>
    </row>
    <row r="764" spans="1:16" ht="15" customHeight="1">
      <c r="A764" s="28">
        <v>11</v>
      </c>
      <c r="B764" s="32">
        <v>45967</v>
      </c>
      <c r="C764" s="36" t="s">
        <v>725</v>
      </c>
      <c r="D764" s="43">
        <v>1</v>
      </c>
      <c r="E764" s="48" t="s">
        <v>26</v>
      </c>
      <c r="F764" s="48" t="s">
        <v>555</v>
      </c>
      <c r="G764" s="49">
        <v>5</v>
      </c>
      <c r="H764" s="10">
        <v>5</v>
      </c>
      <c r="I764" s="52">
        <v>10</v>
      </c>
      <c r="J764" s="10">
        <v>10</v>
      </c>
      <c r="K764" s="95" t="s">
        <v>346</v>
      </c>
      <c r="L764" s="57">
        <v>0.7</v>
      </c>
      <c r="M764" s="50">
        <v>5</v>
      </c>
      <c r="N764" s="64"/>
      <c r="O764" s="103"/>
      <c r="P764" s="107" t="s">
        <v>20</v>
      </c>
    </row>
    <row r="765" spans="1:16" ht="15" customHeight="1">
      <c r="A765" s="28">
        <v>11</v>
      </c>
      <c r="B765" s="32">
        <v>45967</v>
      </c>
      <c r="C765" s="36" t="s">
        <v>253</v>
      </c>
      <c r="D765" s="43">
        <v>1</v>
      </c>
      <c r="E765" s="48" t="s">
        <v>26</v>
      </c>
      <c r="F765" s="48" t="s">
        <v>555</v>
      </c>
      <c r="G765" s="49">
        <v>3.5</v>
      </c>
      <c r="H765" s="10">
        <v>3.5</v>
      </c>
      <c r="I765" s="52">
        <v>10</v>
      </c>
      <c r="J765" s="10">
        <v>10</v>
      </c>
      <c r="K765" s="95" t="s">
        <v>346</v>
      </c>
      <c r="L765" s="57">
        <v>0.5</v>
      </c>
      <c r="M765" s="50">
        <v>6.5</v>
      </c>
      <c r="N765" s="64"/>
      <c r="O765" s="103"/>
      <c r="P765" s="107" t="s">
        <v>20</v>
      </c>
    </row>
    <row r="766" spans="1:16" ht="15" customHeight="1">
      <c r="A766" s="28">
        <v>11</v>
      </c>
      <c r="B766" s="32">
        <v>45968</v>
      </c>
      <c r="C766" s="36" t="s">
        <v>253</v>
      </c>
      <c r="D766" s="43">
        <v>1</v>
      </c>
      <c r="E766" s="48" t="s">
        <v>26</v>
      </c>
      <c r="F766" s="48" t="s">
        <v>555</v>
      </c>
      <c r="G766" s="49">
        <v>10</v>
      </c>
      <c r="H766" s="10">
        <v>10</v>
      </c>
      <c r="I766" s="52">
        <v>20</v>
      </c>
      <c r="J766" s="10">
        <v>20</v>
      </c>
      <c r="K766" s="95" t="s">
        <v>346</v>
      </c>
      <c r="L766" s="57">
        <v>0.5</v>
      </c>
      <c r="M766" s="50">
        <v>10</v>
      </c>
      <c r="N766" s="64"/>
      <c r="O766" s="103"/>
      <c r="P766" s="107" t="s">
        <v>20</v>
      </c>
    </row>
    <row r="767" spans="1:16" ht="15" customHeight="1">
      <c r="A767" s="28">
        <v>11</v>
      </c>
      <c r="B767" s="32">
        <v>45968</v>
      </c>
      <c r="C767" s="36" t="s">
        <v>865</v>
      </c>
      <c r="D767" s="43">
        <v>3</v>
      </c>
      <c r="E767" s="48" t="s">
        <v>26</v>
      </c>
      <c r="F767" s="48" t="s">
        <v>555</v>
      </c>
      <c r="G767" s="49">
        <v>1</v>
      </c>
      <c r="H767" s="10">
        <v>3</v>
      </c>
      <c r="I767" s="52">
        <v>5</v>
      </c>
      <c r="J767" s="10">
        <v>15</v>
      </c>
      <c r="K767" s="95" t="s">
        <v>346</v>
      </c>
      <c r="L767" s="57">
        <v>0.22857142857142856</v>
      </c>
      <c r="M767" s="50">
        <v>12</v>
      </c>
      <c r="N767" s="64"/>
      <c r="O767" s="103"/>
      <c r="P767" s="107" t="s">
        <v>20</v>
      </c>
    </row>
    <row r="768" spans="1:16" ht="15" customHeight="1">
      <c r="A768" s="28">
        <v>11</v>
      </c>
      <c r="B768" s="32">
        <v>45968</v>
      </c>
      <c r="C768" s="36" t="s">
        <v>879</v>
      </c>
      <c r="D768" s="43">
        <v>1</v>
      </c>
      <c r="E768" s="48" t="s">
        <v>26</v>
      </c>
      <c r="F768" s="48" t="s">
        <v>555</v>
      </c>
      <c r="G768" s="49">
        <v>20</v>
      </c>
      <c r="H768" s="10">
        <v>20</v>
      </c>
      <c r="I768" s="52">
        <v>40</v>
      </c>
      <c r="J768" s="10">
        <v>40</v>
      </c>
      <c r="K768" s="95" t="s">
        <v>346</v>
      </c>
      <c r="L768" s="57">
        <v>0.25</v>
      </c>
      <c r="M768" s="50">
        <v>20</v>
      </c>
      <c r="N768" s="64"/>
      <c r="O768" s="103"/>
      <c r="P768" s="107" t="s">
        <v>20</v>
      </c>
    </row>
    <row r="769" spans="1:16" ht="15" customHeight="1">
      <c r="A769" s="28">
        <v>11</v>
      </c>
      <c r="B769" s="32">
        <v>45968</v>
      </c>
      <c r="C769" s="36" t="s">
        <v>880</v>
      </c>
      <c r="D769" s="43">
        <v>1</v>
      </c>
      <c r="E769" s="48" t="s">
        <v>756</v>
      </c>
      <c r="F769" s="48" t="s">
        <v>555</v>
      </c>
      <c r="G769" s="49">
        <v>20</v>
      </c>
      <c r="H769" s="10">
        <v>20</v>
      </c>
      <c r="I769" s="52">
        <v>50</v>
      </c>
      <c r="J769" s="10">
        <v>50</v>
      </c>
      <c r="K769" s="95" t="s">
        <v>346</v>
      </c>
      <c r="L769" s="57">
        <v>0.81203007518796988</v>
      </c>
      <c r="M769" s="50">
        <v>30</v>
      </c>
      <c r="N769" s="64"/>
      <c r="O769" s="103"/>
      <c r="P769" s="107" t="s">
        <v>20</v>
      </c>
    </row>
    <row r="770" spans="1:16" ht="15" customHeight="1">
      <c r="A770" s="28">
        <v>11</v>
      </c>
      <c r="B770" s="32">
        <v>45968</v>
      </c>
      <c r="C770" s="36" t="s">
        <v>881</v>
      </c>
      <c r="D770" s="43">
        <v>1</v>
      </c>
      <c r="E770" s="48" t="s">
        <v>579</v>
      </c>
      <c r="F770" s="48" t="s">
        <v>555</v>
      </c>
      <c r="G770" s="49" t="s">
        <v>79</v>
      </c>
      <c r="H770" s="10">
        <v>0</v>
      </c>
      <c r="I770" s="52">
        <v>90</v>
      </c>
      <c r="J770" s="10">
        <v>90</v>
      </c>
      <c r="K770" s="95" t="s">
        <v>346</v>
      </c>
      <c r="L770" s="57">
        <v>0.45945945945945948</v>
      </c>
      <c r="M770" s="50">
        <v>90</v>
      </c>
      <c r="N770" s="64"/>
      <c r="O770" s="103"/>
      <c r="P770" s="107" t="s">
        <v>20</v>
      </c>
    </row>
    <row r="771" spans="1:16" ht="15" customHeight="1">
      <c r="A771" s="28">
        <v>11</v>
      </c>
      <c r="B771" s="32">
        <v>45975</v>
      </c>
      <c r="C771" s="36" t="s">
        <v>882</v>
      </c>
      <c r="D771" s="43">
        <v>2</v>
      </c>
      <c r="E771" s="48" t="s">
        <v>26</v>
      </c>
      <c r="F771" s="48" t="s">
        <v>555</v>
      </c>
      <c r="G771" s="49">
        <v>1</v>
      </c>
      <c r="H771" s="10">
        <v>2</v>
      </c>
      <c r="I771" s="52">
        <v>5</v>
      </c>
      <c r="J771" s="10">
        <v>10</v>
      </c>
      <c r="K771" s="95" t="s">
        <v>346</v>
      </c>
      <c r="L771" s="57">
        <v>0.5</v>
      </c>
      <c r="M771" s="50">
        <v>8</v>
      </c>
      <c r="N771" s="64"/>
      <c r="O771" s="103"/>
      <c r="P771" s="107" t="s">
        <v>20</v>
      </c>
    </row>
    <row r="772" spans="1:16" ht="15" customHeight="1">
      <c r="A772" s="28">
        <v>11</v>
      </c>
      <c r="B772" s="32">
        <v>45975</v>
      </c>
      <c r="C772" s="36" t="s">
        <v>827</v>
      </c>
      <c r="D772" s="43">
        <v>1</v>
      </c>
      <c r="E772" s="48" t="s">
        <v>883</v>
      </c>
      <c r="F772" s="48" t="s">
        <v>555</v>
      </c>
      <c r="G772" s="49">
        <v>7</v>
      </c>
      <c r="H772" s="10">
        <v>7</v>
      </c>
      <c r="I772" s="52">
        <v>37.24</v>
      </c>
      <c r="J772" s="10">
        <v>37.24</v>
      </c>
      <c r="K772" s="95" t="s">
        <v>346</v>
      </c>
      <c r="L772" s="57" t="s">
        <v>436</v>
      </c>
      <c r="M772" s="50">
        <v>30.240000000000002</v>
      </c>
      <c r="N772" s="64"/>
      <c r="O772" s="103"/>
      <c r="P772" s="107" t="s">
        <v>311</v>
      </c>
    </row>
    <row r="773" spans="1:16" ht="15" customHeight="1">
      <c r="A773" s="28">
        <v>11</v>
      </c>
      <c r="B773" s="32">
        <v>45975</v>
      </c>
      <c r="C773" s="36" t="s">
        <v>828</v>
      </c>
      <c r="D773" s="43">
        <v>1</v>
      </c>
      <c r="E773" s="48" t="s">
        <v>884</v>
      </c>
      <c r="F773" s="48" t="s">
        <v>555</v>
      </c>
      <c r="G773" s="49">
        <v>7.5</v>
      </c>
      <c r="H773" s="10">
        <v>7.5</v>
      </c>
      <c r="I773" s="52">
        <v>14.74</v>
      </c>
      <c r="J773" s="10">
        <v>14.74</v>
      </c>
      <c r="K773" s="95" t="s">
        <v>346</v>
      </c>
      <c r="L773" s="57" t="s">
        <v>436</v>
      </c>
      <c r="M773" s="50">
        <v>7.24</v>
      </c>
      <c r="N773" s="64"/>
      <c r="O773" s="103"/>
      <c r="P773" s="107" t="s">
        <v>311</v>
      </c>
    </row>
    <row r="774" spans="1:16" ht="15" customHeight="1">
      <c r="A774" s="28">
        <v>11</v>
      </c>
      <c r="B774" s="32">
        <v>45975</v>
      </c>
      <c r="C774" s="36" t="s">
        <v>867</v>
      </c>
      <c r="D774" s="43">
        <v>1</v>
      </c>
      <c r="E774" s="48" t="s">
        <v>885</v>
      </c>
      <c r="F774" s="48" t="s">
        <v>555</v>
      </c>
      <c r="G774" s="49">
        <v>0</v>
      </c>
      <c r="H774" s="10">
        <v>0</v>
      </c>
      <c r="I774" s="52">
        <v>42</v>
      </c>
      <c r="J774" s="10">
        <v>42</v>
      </c>
      <c r="K774" s="95" t="s">
        <v>346</v>
      </c>
      <c r="L774" s="57" t="s">
        <v>436</v>
      </c>
      <c r="M774" s="50">
        <v>42</v>
      </c>
      <c r="N774" s="64"/>
      <c r="O774" s="103"/>
      <c r="P774" s="107" t="s">
        <v>20</v>
      </c>
    </row>
    <row r="775" spans="1:16" ht="15" customHeight="1">
      <c r="A775" s="28">
        <v>11</v>
      </c>
      <c r="B775" s="32">
        <v>45976</v>
      </c>
      <c r="C775" s="36" t="s">
        <v>886</v>
      </c>
      <c r="D775" s="43">
        <v>1</v>
      </c>
      <c r="E775" s="48" t="s">
        <v>26</v>
      </c>
      <c r="F775" s="48" t="s">
        <v>555</v>
      </c>
      <c r="G775" s="49">
        <v>5</v>
      </c>
      <c r="H775" s="10">
        <v>5</v>
      </c>
      <c r="I775" s="52">
        <v>20</v>
      </c>
      <c r="J775" s="10">
        <v>20</v>
      </c>
      <c r="K775" s="95" t="s">
        <v>346</v>
      </c>
      <c r="L775" s="57">
        <v>0.5</v>
      </c>
      <c r="M775" s="50">
        <v>15</v>
      </c>
      <c r="N775" s="64"/>
      <c r="O775" s="103"/>
      <c r="P775" s="107" t="s">
        <v>20</v>
      </c>
    </row>
    <row r="776" spans="1:16" ht="15" customHeight="1">
      <c r="A776" s="28">
        <v>11</v>
      </c>
      <c r="B776" s="32">
        <v>45977</v>
      </c>
      <c r="C776" s="36" t="s">
        <v>223</v>
      </c>
      <c r="D776" s="43">
        <v>1</v>
      </c>
      <c r="E776" s="48" t="s">
        <v>887</v>
      </c>
      <c r="F776" s="48" t="s">
        <v>555</v>
      </c>
      <c r="G776" s="49">
        <v>0</v>
      </c>
      <c r="H776" s="10">
        <v>0</v>
      </c>
      <c r="I776" s="52">
        <v>50</v>
      </c>
      <c r="J776" s="10">
        <v>50</v>
      </c>
      <c r="K776" s="95" t="s">
        <v>346</v>
      </c>
      <c r="L776" s="57">
        <v>0.8</v>
      </c>
      <c r="M776" s="50">
        <v>50</v>
      </c>
      <c r="N776" s="64"/>
      <c r="O776" s="103"/>
      <c r="P776" s="107" t="s">
        <v>20</v>
      </c>
    </row>
    <row r="777" spans="1:16" ht="15" customHeight="1">
      <c r="A777" s="28">
        <v>11</v>
      </c>
      <c r="B777" s="32">
        <v>45977</v>
      </c>
      <c r="C777" s="36" t="s">
        <v>888</v>
      </c>
      <c r="D777" s="43">
        <v>1</v>
      </c>
      <c r="E777" s="48" t="s">
        <v>887</v>
      </c>
      <c r="F777" s="48" t="s">
        <v>555</v>
      </c>
      <c r="G777" s="49">
        <v>1</v>
      </c>
      <c r="H777" s="10">
        <v>1</v>
      </c>
      <c r="I777" s="52">
        <v>50</v>
      </c>
      <c r="J777" s="10">
        <v>50</v>
      </c>
      <c r="K777" s="95" t="s">
        <v>346</v>
      </c>
      <c r="L777" s="57" t="s">
        <v>436</v>
      </c>
      <c r="M777" s="50">
        <v>49</v>
      </c>
      <c r="N777" s="64"/>
      <c r="O777" s="103"/>
      <c r="P777" s="107" t="s">
        <v>20</v>
      </c>
    </row>
    <row r="778" spans="1:16" ht="15" customHeight="1">
      <c r="A778" s="28">
        <v>11</v>
      </c>
      <c r="B778" s="32">
        <v>45978</v>
      </c>
      <c r="C778" s="36" t="s">
        <v>889</v>
      </c>
      <c r="D778" s="43">
        <v>1</v>
      </c>
      <c r="E778" s="48" t="s">
        <v>26</v>
      </c>
      <c r="F778" s="48" t="s">
        <v>555</v>
      </c>
      <c r="G778" s="49">
        <v>1</v>
      </c>
      <c r="H778" s="10">
        <v>1</v>
      </c>
      <c r="I778" s="52">
        <v>100</v>
      </c>
      <c r="J778" s="10">
        <v>100</v>
      </c>
      <c r="K778" s="95" t="s">
        <v>346</v>
      </c>
      <c r="L778" s="57">
        <v>0.5</v>
      </c>
      <c r="M778" s="50">
        <v>99</v>
      </c>
      <c r="N778" s="64"/>
      <c r="O778" s="103"/>
      <c r="P778" s="107" t="s">
        <v>20</v>
      </c>
    </row>
    <row r="779" spans="1:16" ht="15" customHeight="1">
      <c r="A779" s="28">
        <v>11</v>
      </c>
      <c r="B779" s="32">
        <v>45978</v>
      </c>
      <c r="C779" s="36" t="s">
        <v>890</v>
      </c>
      <c r="D779" s="43">
        <v>1</v>
      </c>
      <c r="E779" s="48" t="s">
        <v>26</v>
      </c>
      <c r="F779" s="48" t="s">
        <v>555</v>
      </c>
      <c r="G779" s="49">
        <v>4</v>
      </c>
      <c r="H779" s="10">
        <v>4</v>
      </c>
      <c r="I779" s="52">
        <v>15</v>
      </c>
      <c r="J779" s="10">
        <v>15</v>
      </c>
      <c r="K779" s="95" t="s">
        <v>346</v>
      </c>
      <c r="L779" s="57" t="s">
        <v>436</v>
      </c>
      <c r="M779" s="50">
        <v>11</v>
      </c>
      <c r="N779" s="64"/>
      <c r="O779" s="103"/>
      <c r="P779" s="107" t="s">
        <v>20</v>
      </c>
    </row>
    <row r="780" spans="1:16" ht="15" customHeight="1">
      <c r="A780" s="28">
        <v>11</v>
      </c>
      <c r="B780" s="32">
        <v>45978</v>
      </c>
      <c r="C780" s="36" t="s">
        <v>891</v>
      </c>
      <c r="D780" s="43">
        <v>1</v>
      </c>
      <c r="E780" s="48" t="s">
        <v>26</v>
      </c>
      <c r="F780" s="48" t="s">
        <v>555</v>
      </c>
      <c r="G780" s="49">
        <v>5</v>
      </c>
      <c r="H780" s="10">
        <v>5</v>
      </c>
      <c r="I780" s="52">
        <v>15</v>
      </c>
      <c r="J780" s="10">
        <v>15</v>
      </c>
      <c r="K780" s="97" t="s">
        <v>346</v>
      </c>
      <c r="L780" s="99" t="s">
        <v>436</v>
      </c>
      <c r="M780" s="50">
        <v>10</v>
      </c>
      <c r="N780" s="102"/>
      <c r="O780" s="106"/>
      <c r="P780" s="107" t="s">
        <v>20</v>
      </c>
    </row>
    <row r="781" spans="1:16" ht="15" customHeight="1">
      <c r="A781" s="28">
        <v>11</v>
      </c>
      <c r="B781" s="32">
        <v>45979</v>
      </c>
      <c r="C781" s="36" t="s">
        <v>865</v>
      </c>
      <c r="D781" s="43">
        <v>3</v>
      </c>
      <c r="E781" s="48" t="s">
        <v>26</v>
      </c>
      <c r="F781" s="48" t="s">
        <v>555</v>
      </c>
      <c r="G781" s="49">
        <v>1</v>
      </c>
      <c r="H781" s="10">
        <v>3</v>
      </c>
      <c r="I781" s="52">
        <v>5</v>
      </c>
      <c r="J781" s="10">
        <v>15</v>
      </c>
      <c r="K781" s="95" t="s">
        <v>346</v>
      </c>
      <c r="L781" s="57" t="s">
        <v>436</v>
      </c>
      <c r="M781" s="50">
        <v>12</v>
      </c>
      <c r="N781" s="64"/>
      <c r="O781" s="103"/>
      <c r="P781" s="107" t="s">
        <v>20</v>
      </c>
    </row>
    <row r="782" spans="1:16" ht="15" customHeight="1">
      <c r="A782" s="28">
        <v>11</v>
      </c>
      <c r="B782" s="32">
        <v>45980</v>
      </c>
      <c r="C782" s="36" t="s">
        <v>725</v>
      </c>
      <c r="D782" s="43">
        <v>2</v>
      </c>
      <c r="E782" s="48" t="s">
        <v>26</v>
      </c>
      <c r="F782" s="48" t="s">
        <v>555</v>
      </c>
      <c r="G782" s="49">
        <v>5</v>
      </c>
      <c r="H782" s="10">
        <v>10</v>
      </c>
      <c r="I782" s="52">
        <v>10</v>
      </c>
      <c r="J782" s="10">
        <v>20</v>
      </c>
      <c r="K782" s="95" t="s">
        <v>346</v>
      </c>
      <c r="L782" s="57" t="s">
        <v>436</v>
      </c>
      <c r="M782" s="50">
        <v>10</v>
      </c>
      <c r="N782" s="64"/>
      <c r="O782" s="103"/>
      <c r="P782" s="107" t="s">
        <v>20</v>
      </c>
    </row>
    <row r="783" spans="1:16" ht="15" customHeight="1">
      <c r="A783" s="28">
        <v>11</v>
      </c>
      <c r="B783" s="32">
        <v>45980</v>
      </c>
      <c r="C783" s="36" t="s">
        <v>269</v>
      </c>
      <c r="D783" s="43">
        <v>1</v>
      </c>
      <c r="E783" s="48" t="s">
        <v>26</v>
      </c>
      <c r="F783" s="48" t="s">
        <v>555</v>
      </c>
      <c r="G783" s="49">
        <v>18</v>
      </c>
      <c r="H783" s="10">
        <v>18</v>
      </c>
      <c r="I783" s="52">
        <v>30</v>
      </c>
      <c r="J783" s="10">
        <v>30</v>
      </c>
      <c r="K783" s="95" t="s">
        <v>346</v>
      </c>
      <c r="L783" s="57" t="s">
        <v>436</v>
      </c>
      <c r="M783" s="50">
        <v>12</v>
      </c>
      <c r="N783" s="64"/>
      <c r="O783" s="103"/>
      <c r="P783" s="107" t="s">
        <v>20</v>
      </c>
    </row>
    <row r="784" spans="1:16" ht="15" customHeight="1">
      <c r="A784" s="28">
        <v>11</v>
      </c>
      <c r="B784" s="32">
        <v>45980</v>
      </c>
      <c r="C784" s="36" t="s">
        <v>882</v>
      </c>
      <c r="D784" s="43">
        <v>1</v>
      </c>
      <c r="E784" s="48" t="s">
        <v>26</v>
      </c>
      <c r="F784" s="48" t="s">
        <v>555</v>
      </c>
      <c r="G784" s="49">
        <v>1</v>
      </c>
      <c r="H784" s="10">
        <v>1</v>
      </c>
      <c r="I784" s="52">
        <v>5</v>
      </c>
      <c r="J784" s="10">
        <v>5</v>
      </c>
      <c r="K784" s="95" t="s">
        <v>346</v>
      </c>
      <c r="L784" s="57" t="s">
        <v>436</v>
      </c>
      <c r="M784" s="50">
        <v>4</v>
      </c>
      <c r="N784" s="64"/>
      <c r="O784" s="103"/>
      <c r="P784" s="107" t="s">
        <v>20</v>
      </c>
    </row>
    <row r="785" spans="1:16" ht="15" customHeight="1">
      <c r="A785" s="28">
        <v>11</v>
      </c>
      <c r="B785" s="32">
        <v>45980</v>
      </c>
      <c r="C785" s="36" t="s">
        <v>892</v>
      </c>
      <c r="D785" s="43">
        <v>1</v>
      </c>
      <c r="E785" s="48" t="s">
        <v>893</v>
      </c>
      <c r="F785" s="48" t="s">
        <v>555</v>
      </c>
      <c r="G785" s="49">
        <v>1</v>
      </c>
      <c r="H785" s="10">
        <v>1</v>
      </c>
      <c r="I785" s="52">
        <v>50</v>
      </c>
      <c r="J785" s="10">
        <v>50</v>
      </c>
      <c r="K785" s="95" t="s">
        <v>346</v>
      </c>
      <c r="L785" s="57" t="s">
        <v>436</v>
      </c>
      <c r="M785" s="50">
        <v>49</v>
      </c>
      <c r="N785" s="64"/>
      <c r="O785" s="103"/>
      <c r="P785" s="107" t="s">
        <v>20</v>
      </c>
    </row>
    <row r="786" spans="1:16" ht="15" customHeight="1">
      <c r="A786" s="28">
        <v>11</v>
      </c>
      <c r="B786" s="32">
        <v>45981</v>
      </c>
      <c r="C786" s="36" t="s">
        <v>894</v>
      </c>
      <c r="D786" s="43">
        <v>3</v>
      </c>
      <c r="E786" s="48" t="s">
        <v>26</v>
      </c>
      <c r="F786" s="48" t="s">
        <v>555</v>
      </c>
      <c r="G786" s="49">
        <v>5</v>
      </c>
      <c r="H786" s="10">
        <v>15</v>
      </c>
      <c r="I786" s="52">
        <v>10</v>
      </c>
      <c r="J786" s="10">
        <v>30</v>
      </c>
      <c r="K786" s="95" t="s">
        <v>346</v>
      </c>
      <c r="L786" s="57" t="s">
        <v>436</v>
      </c>
      <c r="M786" s="50">
        <v>15</v>
      </c>
      <c r="N786" s="64"/>
      <c r="O786" s="103"/>
      <c r="P786" s="107" t="s">
        <v>20</v>
      </c>
    </row>
    <row r="787" spans="1:16" ht="15" customHeight="1">
      <c r="A787" s="28">
        <v>11</v>
      </c>
      <c r="B787" s="32">
        <v>45981</v>
      </c>
      <c r="C787" s="36" t="s">
        <v>820</v>
      </c>
      <c r="D787" s="43">
        <v>1</v>
      </c>
      <c r="E787" s="48" t="s">
        <v>26</v>
      </c>
      <c r="F787" s="48" t="s">
        <v>555</v>
      </c>
      <c r="G787" s="49">
        <v>5</v>
      </c>
      <c r="H787" s="10">
        <v>5</v>
      </c>
      <c r="I787" s="52">
        <v>10</v>
      </c>
      <c r="J787" s="10">
        <v>10</v>
      </c>
      <c r="K787" s="95" t="s">
        <v>346</v>
      </c>
      <c r="L787" s="57" t="s">
        <v>436</v>
      </c>
      <c r="M787" s="50">
        <v>5</v>
      </c>
      <c r="N787" s="64"/>
      <c r="O787" s="103"/>
      <c r="P787" s="107" t="s">
        <v>20</v>
      </c>
    </row>
    <row r="788" spans="1:16" ht="15" customHeight="1">
      <c r="A788" s="28">
        <v>11</v>
      </c>
      <c r="B788" s="32">
        <v>45981</v>
      </c>
      <c r="C788" s="36" t="s">
        <v>895</v>
      </c>
      <c r="D788" s="43">
        <v>1</v>
      </c>
      <c r="E788" s="48" t="s">
        <v>26</v>
      </c>
      <c r="F788" s="48" t="s">
        <v>555</v>
      </c>
      <c r="G788" s="49">
        <v>5</v>
      </c>
      <c r="H788" s="10">
        <v>5</v>
      </c>
      <c r="I788" s="52">
        <v>10</v>
      </c>
      <c r="J788" s="10">
        <v>10</v>
      </c>
      <c r="K788" s="95" t="s">
        <v>346</v>
      </c>
      <c r="L788" s="57" t="s">
        <v>436</v>
      </c>
      <c r="M788" s="50">
        <v>5</v>
      </c>
      <c r="N788" s="64"/>
      <c r="O788" s="103"/>
      <c r="P788" s="107" t="s">
        <v>20</v>
      </c>
    </row>
    <row r="789" spans="1:16" ht="15" customHeight="1">
      <c r="A789" s="28">
        <v>11</v>
      </c>
      <c r="B789" s="32">
        <v>45981</v>
      </c>
      <c r="C789" s="36" t="s">
        <v>697</v>
      </c>
      <c r="D789" s="43">
        <v>2</v>
      </c>
      <c r="E789" s="48" t="s">
        <v>26</v>
      </c>
      <c r="F789" s="48" t="s">
        <v>555</v>
      </c>
      <c r="G789" s="49">
        <v>7.5</v>
      </c>
      <c r="H789" s="10">
        <v>15</v>
      </c>
      <c r="I789" s="52">
        <v>20</v>
      </c>
      <c r="J789" s="10">
        <v>40</v>
      </c>
      <c r="K789" s="95" t="s">
        <v>346</v>
      </c>
      <c r="L789" s="57" t="s">
        <v>436</v>
      </c>
      <c r="M789" s="50">
        <v>25</v>
      </c>
      <c r="N789" s="64"/>
      <c r="O789" s="103"/>
      <c r="P789" s="107" t="s">
        <v>20</v>
      </c>
    </row>
    <row r="790" spans="1:16" ht="15" customHeight="1">
      <c r="A790" s="28">
        <v>11</v>
      </c>
      <c r="B790" s="32">
        <v>45981</v>
      </c>
      <c r="C790" s="36" t="s">
        <v>777</v>
      </c>
      <c r="D790" s="43">
        <v>1</v>
      </c>
      <c r="E790" s="48" t="s">
        <v>273</v>
      </c>
      <c r="F790" s="48" t="s">
        <v>555</v>
      </c>
      <c r="G790" s="49">
        <v>99.9</v>
      </c>
      <c r="H790" s="10">
        <v>99.9</v>
      </c>
      <c r="I790" s="52">
        <v>250</v>
      </c>
      <c r="J790" s="10">
        <v>250</v>
      </c>
      <c r="K790" s="95" t="s">
        <v>346</v>
      </c>
      <c r="L790" s="57" t="s">
        <v>436</v>
      </c>
      <c r="M790" s="50">
        <v>150.1</v>
      </c>
      <c r="N790" s="64"/>
      <c r="O790" s="103"/>
      <c r="P790" s="107" t="s">
        <v>20</v>
      </c>
    </row>
    <row r="791" spans="1:16" ht="15" customHeight="1">
      <c r="A791" s="28">
        <v>11</v>
      </c>
      <c r="B791" s="32">
        <v>45981</v>
      </c>
      <c r="C791" s="36" t="s">
        <v>896</v>
      </c>
      <c r="D791" s="43">
        <v>1</v>
      </c>
      <c r="E791" s="48" t="s">
        <v>897</v>
      </c>
      <c r="F791" s="48" t="s">
        <v>555</v>
      </c>
      <c r="G791" s="49">
        <v>5</v>
      </c>
      <c r="H791" s="10">
        <v>5</v>
      </c>
      <c r="I791" s="52">
        <v>10</v>
      </c>
      <c r="J791" s="10">
        <v>10</v>
      </c>
      <c r="K791" s="95" t="s">
        <v>346</v>
      </c>
      <c r="L791" s="57" t="s">
        <v>436</v>
      </c>
      <c r="M791" s="50">
        <v>5</v>
      </c>
      <c r="N791" s="64"/>
      <c r="O791" s="103"/>
      <c r="P791" s="107" t="s">
        <v>20</v>
      </c>
    </row>
    <row r="792" spans="1:16" ht="15" customHeight="1">
      <c r="A792" s="28">
        <v>11</v>
      </c>
      <c r="B792" s="32">
        <v>45982</v>
      </c>
      <c r="C792" s="36" t="s">
        <v>898</v>
      </c>
      <c r="D792" s="43">
        <v>1</v>
      </c>
      <c r="E792" s="48" t="s">
        <v>26</v>
      </c>
      <c r="F792" s="48" t="s">
        <v>555</v>
      </c>
      <c r="G792" s="49">
        <v>5</v>
      </c>
      <c r="H792" s="10">
        <v>5</v>
      </c>
      <c r="I792" s="52">
        <v>10</v>
      </c>
      <c r="J792" s="10">
        <v>10</v>
      </c>
      <c r="K792" s="95" t="s">
        <v>346</v>
      </c>
      <c r="L792" s="57" t="s">
        <v>436</v>
      </c>
      <c r="M792" s="50">
        <v>5</v>
      </c>
      <c r="N792" s="64"/>
      <c r="O792" s="103"/>
      <c r="P792" s="107" t="s">
        <v>20</v>
      </c>
    </row>
    <row r="793" spans="1:16" ht="15" customHeight="1">
      <c r="A793" s="28">
        <v>11</v>
      </c>
      <c r="B793" s="32">
        <v>45982</v>
      </c>
      <c r="C793" s="36" t="s">
        <v>735</v>
      </c>
      <c r="D793" s="43">
        <v>1</v>
      </c>
      <c r="E793" s="48" t="s">
        <v>776</v>
      </c>
      <c r="F793" s="48" t="s">
        <v>555</v>
      </c>
      <c r="G793" s="49">
        <v>2</v>
      </c>
      <c r="H793" s="10">
        <v>2</v>
      </c>
      <c r="I793" s="52">
        <v>5</v>
      </c>
      <c r="J793" s="10">
        <v>5</v>
      </c>
      <c r="K793" s="95" t="s">
        <v>346</v>
      </c>
      <c r="L793" s="57" t="s">
        <v>436</v>
      </c>
      <c r="M793" s="50">
        <v>3</v>
      </c>
      <c r="N793" s="64"/>
      <c r="O793" s="103"/>
      <c r="P793" s="107" t="s">
        <v>20</v>
      </c>
    </row>
    <row r="794" spans="1:16" ht="15" customHeight="1">
      <c r="A794" s="28">
        <v>11</v>
      </c>
      <c r="B794" s="32">
        <v>45983</v>
      </c>
      <c r="C794" s="36" t="s">
        <v>899</v>
      </c>
      <c r="D794" s="43">
        <v>1</v>
      </c>
      <c r="E794" s="48" t="s">
        <v>26</v>
      </c>
      <c r="F794" s="48" t="s">
        <v>555</v>
      </c>
      <c r="G794" s="49">
        <v>25</v>
      </c>
      <c r="H794" s="10">
        <v>25</v>
      </c>
      <c r="I794" s="52">
        <v>50</v>
      </c>
      <c r="J794" s="10">
        <v>50</v>
      </c>
      <c r="K794" s="95" t="s">
        <v>346</v>
      </c>
      <c r="L794" s="57" t="s">
        <v>436</v>
      </c>
      <c r="M794" s="50">
        <v>25</v>
      </c>
      <c r="N794" s="64"/>
      <c r="O794" s="103"/>
      <c r="P794" s="107" t="s">
        <v>20</v>
      </c>
    </row>
    <row r="795" spans="1:16" ht="15" customHeight="1">
      <c r="A795" s="28">
        <v>11</v>
      </c>
      <c r="B795" s="32">
        <v>45983</v>
      </c>
      <c r="C795" s="36" t="s">
        <v>900</v>
      </c>
      <c r="D795" s="43">
        <v>1</v>
      </c>
      <c r="E795" s="48" t="s">
        <v>26</v>
      </c>
      <c r="F795" s="48" t="s">
        <v>555</v>
      </c>
      <c r="G795" s="49">
        <v>23.1</v>
      </c>
      <c r="H795" s="10">
        <v>23.1</v>
      </c>
      <c r="I795" s="52">
        <v>50</v>
      </c>
      <c r="J795" s="10">
        <v>50</v>
      </c>
      <c r="K795" s="95" t="s">
        <v>346</v>
      </c>
      <c r="L795" s="57" t="s">
        <v>436</v>
      </c>
      <c r="M795" s="50">
        <v>26.9</v>
      </c>
      <c r="N795" s="64"/>
      <c r="O795" s="103"/>
      <c r="P795" s="107" t="s">
        <v>20</v>
      </c>
    </row>
    <row r="796" spans="1:16" ht="15" customHeight="1">
      <c r="A796" s="28">
        <v>11</v>
      </c>
      <c r="B796" s="32">
        <v>45985</v>
      </c>
      <c r="C796" s="36" t="s">
        <v>323</v>
      </c>
      <c r="D796" s="43">
        <v>2</v>
      </c>
      <c r="E796" s="48" t="s">
        <v>26</v>
      </c>
      <c r="F796" s="48" t="s">
        <v>555</v>
      </c>
      <c r="G796" s="49">
        <v>7.0000000000000007E-2</v>
      </c>
      <c r="H796" s="10">
        <v>0.14000000000000001</v>
      </c>
      <c r="I796" s="52">
        <v>1</v>
      </c>
      <c r="J796" s="10">
        <v>2</v>
      </c>
      <c r="K796" s="95" t="s">
        <v>346</v>
      </c>
      <c r="L796" s="57" t="s">
        <v>436</v>
      </c>
      <c r="M796" s="50">
        <v>1.8599999999999999</v>
      </c>
      <c r="N796" s="64"/>
      <c r="O796" s="103"/>
      <c r="P796" s="107" t="s">
        <v>20</v>
      </c>
    </row>
    <row r="797" spans="1:16" ht="15" customHeight="1">
      <c r="A797" s="28">
        <v>11</v>
      </c>
      <c r="B797" s="32">
        <v>45985</v>
      </c>
      <c r="C797" s="36" t="s">
        <v>901</v>
      </c>
      <c r="D797" s="43">
        <v>1</v>
      </c>
      <c r="E797" s="48" t="s">
        <v>26</v>
      </c>
      <c r="F797" s="48" t="s">
        <v>555</v>
      </c>
      <c r="G797" s="49">
        <v>7.5</v>
      </c>
      <c r="H797" s="10">
        <v>7.5</v>
      </c>
      <c r="I797" s="52">
        <v>20</v>
      </c>
      <c r="J797" s="10">
        <v>20</v>
      </c>
      <c r="K797" s="95" t="s">
        <v>346</v>
      </c>
      <c r="L797" s="57" t="s">
        <v>436</v>
      </c>
      <c r="M797" s="50">
        <v>12.5</v>
      </c>
      <c r="N797" s="64"/>
      <c r="O797" s="103"/>
      <c r="P797" s="107" t="s">
        <v>20</v>
      </c>
    </row>
    <row r="798" spans="1:16" ht="15" customHeight="1">
      <c r="A798" s="28">
        <v>11</v>
      </c>
      <c r="B798" s="32">
        <v>45985</v>
      </c>
      <c r="C798" s="36" t="s">
        <v>494</v>
      </c>
      <c r="D798" s="43">
        <v>1</v>
      </c>
      <c r="E798" s="48" t="s">
        <v>239</v>
      </c>
      <c r="F798" s="48" t="s">
        <v>555</v>
      </c>
      <c r="G798" s="49">
        <v>8</v>
      </c>
      <c r="H798" s="10">
        <v>8</v>
      </c>
      <c r="I798" s="52">
        <v>20</v>
      </c>
      <c r="J798" s="10">
        <v>20</v>
      </c>
      <c r="K798" s="95" t="s">
        <v>346</v>
      </c>
      <c r="L798" s="57" t="s">
        <v>436</v>
      </c>
      <c r="M798" s="50">
        <v>12</v>
      </c>
      <c r="N798" s="64"/>
      <c r="O798" s="103"/>
      <c r="P798" s="107" t="s">
        <v>20</v>
      </c>
    </row>
    <row r="799" spans="1:16" ht="15" customHeight="1">
      <c r="A799" s="28">
        <v>11</v>
      </c>
      <c r="B799" s="32">
        <v>45985</v>
      </c>
      <c r="C799" s="36" t="s">
        <v>902</v>
      </c>
      <c r="D799" s="43">
        <v>2</v>
      </c>
      <c r="E799" s="48" t="s">
        <v>239</v>
      </c>
      <c r="F799" s="48" t="s">
        <v>555</v>
      </c>
      <c r="G799" s="49">
        <v>3</v>
      </c>
      <c r="H799" s="10">
        <v>6</v>
      </c>
      <c r="I799" s="52">
        <v>5</v>
      </c>
      <c r="J799" s="10">
        <v>10</v>
      </c>
      <c r="K799" s="95" t="s">
        <v>346</v>
      </c>
      <c r="L799" s="57" t="s">
        <v>436</v>
      </c>
      <c r="M799" s="50">
        <v>4</v>
      </c>
      <c r="N799" s="64"/>
      <c r="O799" s="103"/>
      <c r="P799" s="107" t="s">
        <v>20</v>
      </c>
    </row>
    <row r="800" spans="1:16" ht="15" customHeight="1">
      <c r="A800" s="28">
        <v>11</v>
      </c>
      <c r="B800" s="32">
        <v>45985</v>
      </c>
      <c r="C800" s="36" t="s">
        <v>682</v>
      </c>
      <c r="D800" s="43">
        <v>1</v>
      </c>
      <c r="E800" s="48" t="s">
        <v>26</v>
      </c>
      <c r="F800" s="48" t="s">
        <v>555</v>
      </c>
      <c r="G800" s="49">
        <v>4</v>
      </c>
      <c r="H800" s="10">
        <v>4</v>
      </c>
      <c r="I800" s="52">
        <v>15</v>
      </c>
      <c r="J800" s="10">
        <v>15</v>
      </c>
      <c r="K800" s="95" t="s">
        <v>346</v>
      </c>
      <c r="L800" s="57" t="s">
        <v>436</v>
      </c>
      <c r="M800" s="50">
        <v>11</v>
      </c>
      <c r="N800" s="64"/>
      <c r="O800" s="103"/>
      <c r="P800" s="107" t="s">
        <v>20</v>
      </c>
    </row>
    <row r="801" spans="1:16" ht="15" customHeight="1">
      <c r="A801" s="28">
        <v>11</v>
      </c>
      <c r="B801" s="32">
        <v>45986</v>
      </c>
      <c r="C801" s="36" t="s">
        <v>269</v>
      </c>
      <c r="D801" s="43">
        <v>1</v>
      </c>
      <c r="E801" s="48" t="s">
        <v>26</v>
      </c>
      <c r="F801" s="48" t="s">
        <v>555</v>
      </c>
      <c r="G801" s="49">
        <v>18</v>
      </c>
      <c r="H801" s="10">
        <v>18</v>
      </c>
      <c r="I801" s="52">
        <v>30</v>
      </c>
      <c r="J801" s="10">
        <v>30</v>
      </c>
      <c r="K801" s="95" t="s">
        <v>346</v>
      </c>
      <c r="L801" s="57" t="s">
        <v>436</v>
      </c>
      <c r="M801" s="50">
        <v>12</v>
      </c>
      <c r="N801" s="64"/>
      <c r="O801" s="103"/>
      <c r="P801" s="107" t="s">
        <v>20</v>
      </c>
    </row>
    <row r="802" spans="1:16" ht="15" customHeight="1">
      <c r="A802" s="28">
        <v>11</v>
      </c>
      <c r="B802" s="32">
        <v>45986</v>
      </c>
      <c r="C802" s="36" t="s">
        <v>903</v>
      </c>
      <c r="D802" s="43">
        <v>1</v>
      </c>
      <c r="E802" s="48" t="s">
        <v>897</v>
      </c>
      <c r="F802" s="48" t="s">
        <v>555</v>
      </c>
      <c r="G802" s="49">
        <v>8.5</v>
      </c>
      <c r="H802" s="10">
        <v>8.5</v>
      </c>
      <c r="I802" s="52">
        <v>20</v>
      </c>
      <c r="J802" s="10">
        <v>20</v>
      </c>
      <c r="K802" s="95" t="s">
        <v>346</v>
      </c>
      <c r="L802" s="57" t="s">
        <v>436</v>
      </c>
      <c r="M802" s="50">
        <v>11.5</v>
      </c>
      <c r="N802" s="64"/>
      <c r="O802" s="103"/>
      <c r="P802" s="107" t="s">
        <v>20</v>
      </c>
    </row>
    <row r="803" spans="1:16" ht="15" customHeight="1">
      <c r="A803" s="28">
        <v>11</v>
      </c>
      <c r="B803" s="32">
        <v>45986</v>
      </c>
      <c r="C803" s="36" t="s">
        <v>902</v>
      </c>
      <c r="D803" s="43">
        <v>2</v>
      </c>
      <c r="E803" s="48" t="s">
        <v>897</v>
      </c>
      <c r="F803" s="48" t="s">
        <v>555</v>
      </c>
      <c r="G803" s="49">
        <v>3</v>
      </c>
      <c r="H803" s="10">
        <v>6</v>
      </c>
      <c r="I803" s="52">
        <v>5</v>
      </c>
      <c r="J803" s="10">
        <v>10</v>
      </c>
      <c r="K803" s="95" t="s">
        <v>346</v>
      </c>
      <c r="L803" s="57" t="s">
        <v>436</v>
      </c>
      <c r="M803" s="50">
        <v>4</v>
      </c>
      <c r="N803" s="64"/>
      <c r="O803" s="103"/>
      <c r="P803" s="107" t="s">
        <v>20</v>
      </c>
    </row>
    <row r="804" spans="1:16" ht="15" customHeight="1">
      <c r="A804" s="28">
        <v>11</v>
      </c>
      <c r="B804" s="32">
        <v>45986</v>
      </c>
      <c r="C804" s="36" t="s">
        <v>904</v>
      </c>
      <c r="D804" s="43">
        <v>1</v>
      </c>
      <c r="E804" s="48" t="s">
        <v>821</v>
      </c>
      <c r="F804" s="48" t="s">
        <v>555</v>
      </c>
      <c r="G804" s="49">
        <v>38</v>
      </c>
      <c r="H804" s="10">
        <v>38</v>
      </c>
      <c r="I804" s="52">
        <v>60</v>
      </c>
      <c r="J804" s="10">
        <v>60</v>
      </c>
      <c r="K804" s="95" t="s">
        <v>346</v>
      </c>
      <c r="L804" s="57" t="s">
        <v>436</v>
      </c>
      <c r="M804" s="50">
        <v>22</v>
      </c>
      <c r="N804" s="64"/>
      <c r="O804" s="103"/>
      <c r="P804" s="107" t="s">
        <v>20</v>
      </c>
    </row>
    <row r="805" spans="1:16" ht="15" customHeight="1">
      <c r="A805" s="28">
        <v>11</v>
      </c>
      <c r="B805" s="32">
        <v>45986</v>
      </c>
      <c r="C805" s="36" t="s">
        <v>902</v>
      </c>
      <c r="D805" s="43">
        <v>3</v>
      </c>
      <c r="E805" s="48" t="s">
        <v>897</v>
      </c>
      <c r="F805" s="48" t="s">
        <v>555</v>
      </c>
      <c r="G805" s="49">
        <v>3</v>
      </c>
      <c r="H805" s="10">
        <v>9</v>
      </c>
      <c r="I805" s="52">
        <v>6</v>
      </c>
      <c r="J805" s="10">
        <v>18</v>
      </c>
      <c r="K805" s="95" t="s">
        <v>346</v>
      </c>
      <c r="L805" s="57" t="s">
        <v>436</v>
      </c>
      <c r="M805" s="50">
        <v>9</v>
      </c>
      <c r="N805" s="64"/>
      <c r="O805" s="103"/>
      <c r="P805" s="107" t="s">
        <v>20</v>
      </c>
    </row>
    <row r="806" spans="1:16" ht="15" customHeight="1">
      <c r="A806" s="28">
        <v>11</v>
      </c>
      <c r="B806" s="32">
        <v>45986</v>
      </c>
      <c r="C806" s="36" t="s">
        <v>903</v>
      </c>
      <c r="D806" s="43">
        <v>1</v>
      </c>
      <c r="E806" s="48" t="s">
        <v>239</v>
      </c>
      <c r="F806" s="48" t="s">
        <v>555</v>
      </c>
      <c r="G806" s="49">
        <v>8.5</v>
      </c>
      <c r="H806" s="10">
        <v>8.5</v>
      </c>
      <c r="I806" s="52">
        <v>20</v>
      </c>
      <c r="J806" s="10">
        <v>20</v>
      </c>
      <c r="K806" s="95" t="s">
        <v>346</v>
      </c>
      <c r="L806" s="57" t="s">
        <v>436</v>
      </c>
      <c r="M806" s="50">
        <v>11.5</v>
      </c>
      <c r="N806" s="64"/>
      <c r="O806" s="103"/>
      <c r="P806" s="107" t="s">
        <v>20</v>
      </c>
    </row>
    <row r="807" spans="1:16" ht="15" customHeight="1">
      <c r="A807" s="28">
        <v>11</v>
      </c>
      <c r="B807" s="32">
        <v>45986</v>
      </c>
      <c r="C807" s="36" t="s">
        <v>902</v>
      </c>
      <c r="D807" s="43">
        <v>2</v>
      </c>
      <c r="E807" s="48" t="s">
        <v>239</v>
      </c>
      <c r="F807" s="48" t="s">
        <v>555</v>
      </c>
      <c r="G807" s="49">
        <v>3</v>
      </c>
      <c r="H807" s="10">
        <v>6</v>
      </c>
      <c r="I807" s="52">
        <v>5</v>
      </c>
      <c r="J807" s="10">
        <v>10</v>
      </c>
      <c r="K807" s="95" t="s">
        <v>346</v>
      </c>
      <c r="L807" s="57" t="s">
        <v>436</v>
      </c>
      <c r="M807" s="50">
        <v>4</v>
      </c>
      <c r="N807" s="64"/>
      <c r="O807" s="103"/>
      <c r="P807" s="107" t="s">
        <v>20</v>
      </c>
    </row>
    <row r="808" spans="1:16" ht="15" customHeight="1">
      <c r="A808" s="28">
        <v>11</v>
      </c>
      <c r="B808" s="32">
        <v>45986</v>
      </c>
      <c r="C808" s="36" t="s">
        <v>828</v>
      </c>
      <c r="D808" s="43">
        <v>1</v>
      </c>
      <c r="E808" s="48" t="s">
        <v>905</v>
      </c>
      <c r="F808" s="48" t="s">
        <v>22</v>
      </c>
      <c r="G808" s="49">
        <v>7.5</v>
      </c>
      <c r="H808" s="10">
        <v>7.5</v>
      </c>
      <c r="I808" s="52">
        <v>13.8</v>
      </c>
      <c r="J808" s="10">
        <v>13.8</v>
      </c>
      <c r="K808" s="95" t="s">
        <v>346</v>
      </c>
      <c r="L808" s="57" t="s">
        <v>436</v>
      </c>
      <c r="M808" s="50">
        <v>6.3000000000000007</v>
      </c>
      <c r="N808" s="64"/>
      <c r="O808" s="103"/>
      <c r="P808" s="107" t="s">
        <v>20</v>
      </c>
    </row>
    <row r="809" spans="1:16" ht="15" customHeight="1">
      <c r="A809" s="28">
        <v>11</v>
      </c>
      <c r="B809" s="32">
        <v>45986</v>
      </c>
      <c r="C809" s="36" t="s">
        <v>828</v>
      </c>
      <c r="D809" s="43">
        <v>1</v>
      </c>
      <c r="E809" s="48" t="s">
        <v>906</v>
      </c>
      <c r="F809" s="48" t="s">
        <v>22</v>
      </c>
      <c r="G809" s="49">
        <v>7.5</v>
      </c>
      <c r="H809" s="10">
        <v>7.5</v>
      </c>
      <c r="I809" s="52">
        <v>13.8</v>
      </c>
      <c r="J809" s="10">
        <v>13.8</v>
      </c>
      <c r="K809" s="95" t="s">
        <v>346</v>
      </c>
      <c r="L809" s="57" t="s">
        <v>436</v>
      </c>
      <c r="M809" s="50">
        <v>6.3000000000000007</v>
      </c>
      <c r="N809" s="64"/>
      <c r="O809" s="103"/>
      <c r="P809" s="107" t="s">
        <v>20</v>
      </c>
    </row>
    <row r="810" spans="1:16" ht="15" customHeight="1">
      <c r="A810" s="28">
        <v>11</v>
      </c>
      <c r="B810" s="32">
        <v>45987</v>
      </c>
      <c r="C810" s="82" t="s">
        <v>837</v>
      </c>
      <c r="D810" s="43">
        <v>1</v>
      </c>
      <c r="E810" s="48" t="s">
        <v>907</v>
      </c>
      <c r="F810" s="48" t="s">
        <v>22</v>
      </c>
      <c r="G810" s="49">
        <v>7</v>
      </c>
      <c r="H810" s="10">
        <v>7</v>
      </c>
      <c r="I810" s="52">
        <v>41</v>
      </c>
      <c r="J810" s="10">
        <v>41</v>
      </c>
      <c r="K810" s="95" t="s">
        <v>346</v>
      </c>
      <c r="L810" s="57" t="s">
        <v>436</v>
      </c>
      <c r="M810" s="50">
        <v>34</v>
      </c>
      <c r="N810" s="64"/>
      <c r="O810" s="103"/>
      <c r="P810" s="107" t="s">
        <v>20</v>
      </c>
    </row>
    <row r="811" spans="1:16" ht="15" customHeight="1">
      <c r="A811" s="28">
        <v>11</v>
      </c>
      <c r="B811" s="32">
        <v>45987</v>
      </c>
      <c r="C811" s="36" t="s">
        <v>904</v>
      </c>
      <c r="D811" s="43">
        <v>1</v>
      </c>
      <c r="E811" s="48" t="s">
        <v>821</v>
      </c>
      <c r="F811" s="48" t="s">
        <v>555</v>
      </c>
      <c r="G811" s="49">
        <v>38</v>
      </c>
      <c r="H811" s="10">
        <v>38</v>
      </c>
      <c r="I811" s="52">
        <v>60</v>
      </c>
      <c r="J811" s="10">
        <v>60</v>
      </c>
      <c r="K811" s="95" t="s">
        <v>346</v>
      </c>
      <c r="L811" s="57" t="s">
        <v>436</v>
      </c>
      <c r="M811" s="50">
        <v>22</v>
      </c>
      <c r="N811" s="64"/>
      <c r="O811" s="103"/>
      <c r="P811" s="107" t="s">
        <v>20</v>
      </c>
    </row>
    <row r="812" spans="1:16" ht="15" customHeight="1">
      <c r="A812" s="28">
        <v>11</v>
      </c>
      <c r="B812" s="32">
        <v>45987</v>
      </c>
      <c r="C812" s="36" t="s">
        <v>562</v>
      </c>
      <c r="D812" s="43">
        <v>1</v>
      </c>
      <c r="E812" s="48" t="s">
        <v>26</v>
      </c>
      <c r="F812" s="48" t="s">
        <v>555</v>
      </c>
      <c r="G812" s="49">
        <v>18.5</v>
      </c>
      <c r="H812" s="10">
        <v>18.5</v>
      </c>
      <c r="I812" s="52">
        <v>30</v>
      </c>
      <c r="J812" s="10">
        <v>30</v>
      </c>
      <c r="K812" s="95" t="s">
        <v>346</v>
      </c>
      <c r="L812" s="57" t="s">
        <v>436</v>
      </c>
      <c r="M812" s="50">
        <v>11.5</v>
      </c>
      <c r="N812" s="64"/>
      <c r="O812" s="103"/>
      <c r="P812" s="107" t="s">
        <v>20</v>
      </c>
    </row>
    <row r="813" spans="1:16" ht="15" customHeight="1">
      <c r="A813" s="28">
        <v>11</v>
      </c>
      <c r="B813" s="32">
        <v>45988</v>
      </c>
      <c r="C813" s="36" t="s">
        <v>682</v>
      </c>
      <c r="D813" s="43">
        <v>1</v>
      </c>
      <c r="E813" s="48" t="s">
        <v>26</v>
      </c>
      <c r="F813" s="48" t="s">
        <v>555</v>
      </c>
      <c r="G813" s="49">
        <v>4</v>
      </c>
      <c r="H813" s="10">
        <v>4</v>
      </c>
      <c r="I813" s="52">
        <v>10</v>
      </c>
      <c r="J813" s="10">
        <v>10</v>
      </c>
      <c r="K813" s="95" t="s">
        <v>346</v>
      </c>
      <c r="L813" s="57" t="s">
        <v>436</v>
      </c>
      <c r="M813" s="50">
        <v>6</v>
      </c>
      <c r="N813" s="64"/>
      <c r="O813" s="103"/>
      <c r="P813" s="107" t="s">
        <v>20</v>
      </c>
    </row>
    <row r="814" spans="1:16" ht="15" customHeight="1">
      <c r="A814" s="28">
        <v>11</v>
      </c>
      <c r="B814" s="32">
        <v>45988</v>
      </c>
      <c r="C814" s="36" t="s">
        <v>908</v>
      </c>
      <c r="D814" s="43">
        <v>1</v>
      </c>
      <c r="E814" s="48" t="s">
        <v>26</v>
      </c>
      <c r="F814" s="48" t="s">
        <v>555</v>
      </c>
      <c r="G814" s="49">
        <v>8</v>
      </c>
      <c r="H814" s="10">
        <v>8</v>
      </c>
      <c r="I814" s="52">
        <v>15</v>
      </c>
      <c r="J814" s="10">
        <v>15</v>
      </c>
      <c r="K814" s="95" t="s">
        <v>346</v>
      </c>
      <c r="L814" s="57" t="s">
        <v>436</v>
      </c>
      <c r="M814" s="50">
        <v>7</v>
      </c>
      <c r="N814" s="64"/>
      <c r="O814" s="103"/>
      <c r="P814" s="107" t="s">
        <v>20</v>
      </c>
    </row>
    <row r="815" spans="1:16" ht="15" customHeight="1">
      <c r="A815" s="28">
        <v>11</v>
      </c>
      <c r="B815" s="32">
        <v>45988</v>
      </c>
      <c r="C815" s="36" t="s">
        <v>441</v>
      </c>
      <c r="D815" s="43">
        <v>1</v>
      </c>
      <c r="E815" s="48" t="s">
        <v>26</v>
      </c>
      <c r="F815" s="48" t="s">
        <v>555</v>
      </c>
      <c r="G815" s="49">
        <v>0</v>
      </c>
      <c r="H815" s="10">
        <v>0</v>
      </c>
      <c r="I815" s="52">
        <v>10</v>
      </c>
      <c r="J815" s="10">
        <v>10</v>
      </c>
      <c r="K815" s="95" t="s">
        <v>346</v>
      </c>
      <c r="L815" s="57" t="s">
        <v>436</v>
      </c>
      <c r="M815" s="50">
        <v>10</v>
      </c>
      <c r="N815" s="64"/>
      <c r="O815" s="103"/>
      <c r="P815" s="107" t="s">
        <v>20</v>
      </c>
    </row>
    <row r="816" spans="1:16" ht="15" customHeight="1">
      <c r="A816" s="28">
        <v>11</v>
      </c>
      <c r="B816" s="32">
        <v>45988</v>
      </c>
      <c r="C816" s="36" t="s">
        <v>771</v>
      </c>
      <c r="D816" s="43">
        <v>1</v>
      </c>
      <c r="E816" s="48" t="s">
        <v>534</v>
      </c>
      <c r="F816" s="48" t="s">
        <v>555</v>
      </c>
      <c r="G816" s="49">
        <v>5</v>
      </c>
      <c r="H816" s="10">
        <v>5</v>
      </c>
      <c r="I816" s="52">
        <v>15</v>
      </c>
      <c r="J816" s="10">
        <v>15</v>
      </c>
      <c r="K816" s="95" t="s">
        <v>346</v>
      </c>
      <c r="L816" s="57" t="s">
        <v>436</v>
      </c>
      <c r="M816" s="50">
        <v>10</v>
      </c>
      <c r="N816" s="64"/>
      <c r="O816" s="103"/>
      <c r="P816" s="107" t="s">
        <v>20</v>
      </c>
    </row>
    <row r="817" spans="1:16" ht="15" customHeight="1">
      <c r="A817" s="28">
        <v>11</v>
      </c>
      <c r="B817" s="32">
        <v>45988</v>
      </c>
      <c r="C817" s="36" t="s">
        <v>223</v>
      </c>
      <c r="D817" s="43">
        <v>1</v>
      </c>
      <c r="E817" s="48" t="s">
        <v>26</v>
      </c>
      <c r="F817" s="48" t="s">
        <v>555</v>
      </c>
      <c r="G817" s="49">
        <v>0</v>
      </c>
      <c r="H817" s="10">
        <v>0</v>
      </c>
      <c r="I817" s="52">
        <v>70</v>
      </c>
      <c r="J817" s="10">
        <v>70</v>
      </c>
      <c r="K817" s="95" t="s">
        <v>346</v>
      </c>
      <c r="L817" s="57" t="s">
        <v>436</v>
      </c>
      <c r="M817" s="50">
        <v>70</v>
      </c>
      <c r="N817" s="64"/>
      <c r="O817" s="103"/>
      <c r="P817" s="107" t="s">
        <v>20</v>
      </c>
    </row>
    <row r="818" spans="1:16" ht="15" customHeight="1">
      <c r="A818" s="28">
        <v>11</v>
      </c>
      <c r="B818" s="32">
        <v>45988</v>
      </c>
      <c r="C818" s="36" t="s">
        <v>867</v>
      </c>
      <c r="D818" s="43">
        <v>1</v>
      </c>
      <c r="E818" s="48" t="s">
        <v>909</v>
      </c>
      <c r="F818" s="48" t="s">
        <v>22</v>
      </c>
      <c r="G818" s="49">
        <v>0</v>
      </c>
      <c r="H818" s="10">
        <v>0</v>
      </c>
      <c r="I818" s="52">
        <v>21</v>
      </c>
      <c r="J818" s="10">
        <v>21</v>
      </c>
      <c r="K818" s="95" t="s">
        <v>346</v>
      </c>
      <c r="L818" s="57" t="s">
        <v>436</v>
      </c>
      <c r="M818" s="50">
        <v>21</v>
      </c>
      <c r="N818" s="64"/>
      <c r="O818" s="103"/>
      <c r="P818" s="107" t="s">
        <v>20</v>
      </c>
    </row>
    <row r="819" spans="1:16" ht="15" customHeight="1">
      <c r="A819" s="28">
        <v>11</v>
      </c>
      <c r="B819" s="32">
        <v>45988</v>
      </c>
      <c r="C819" s="36" t="s">
        <v>678</v>
      </c>
      <c r="D819" s="43">
        <v>1</v>
      </c>
      <c r="E819" s="48" t="s">
        <v>910</v>
      </c>
      <c r="F819" s="48" t="s">
        <v>832</v>
      </c>
      <c r="G819" s="49">
        <v>275</v>
      </c>
      <c r="H819" s="10">
        <v>275</v>
      </c>
      <c r="I819" s="52">
        <v>352.88</v>
      </c>
      <c r="J819" s="10">
        <v>352.88</v>
      </c>
      <c r="K819" s="95" t="s">
        <v>346</v>
      </c>
      <c r="L819" s="57" t="s">
        <v>436</v>
      </c>
      <c r="M819" s="50">
        <v>77.88</v>
      </c>
      <c r="N819" s="64"/>
      <c r="O819" s="103"/>
      <c r="P819" s="107" t="s">
        <v>20</v>
      </c>
    </row>
    <row r="820" spans="1:16" ht="15" customHeight="1">
      <c r="A820" s="28">
        <v>11</v>
      </c>
      <c r="B820" s="32">
        <v>45988</v>
      </c>
      <c r="C820" s="36" t="s">
        <v>321</v>
      </c>
      <c r="D820" s="43">
        <v>1</v>
      </c>
      <c r="E820" s="48" t="s">
        <v>26</v>
      </c>
      <c r="F820" s="48" t="s">
        <v>555</v>
      </c>
      <c r="G820" s="49">
        <v>3</v>
      </c>
      <c r="H820" s="10">
        <v>3</v>
      </c>
      <c r="I820" s="52">
        <v>15</v>
      </c>
      <c r="J820" s="10">
        <v>15</v>
      </c>
      <c r="K820" s="95" t="s">
        <v>346</v>
      </c>
      <c r="L820" s="57" t="s">
        <v>436</v>
      </c>
      <c r="M820" s="50">
        <v>12</v>
      </c>
      <c r="N820" s="64"/>
      <c r="O820" s="103"/>
      <c r="P820" s="107" t="s">
        <v>20</v>
      </c>
    </row>
    <row r="821" spans="1:16" ht="15" customHeight="1">
      <c r="A821" s="28">
        <v>11</v>
      </c>
      <c r="B821" s="32">
        <v>45989</v>
      </c>
      <c r="C821" s="36" t="s">
        <v>911</v>
      </c>
      <c r="D821" s="43">
        <v>1</v>
      </c>
      <c r="E821" s="48" t="s">
        <v>26</v>
      </c>
      <c r="F821" s="48" t="s">
        <v>555</v>
      </c>
      <c r="G821" s="49">
        <v>15</v>
      </c>
      <c r="H821" s="10">
        <v>15</v>
      </c>
      <c r="I821" s="52">
        <v>60</v>
      </c>
      <c r="J821" s="10">
        <v>60</v>
      </c>
      <c r="K821" s="95" t="s">
        <v>346</v>
      </c>
      <c r="L821" s="57" t="s">
        <v>436</v>
      </c>
      <c r="M821" s="50">
        <v>45</v>
      </c>
      <c r="N821" s="64"/>
      <c r="O821" s="103"/>
      <c r="P821" s="107" t="s">
        <v>20</v>
      </c>
    </row>
    <row r="822" spans="1:16" ht="15" customHeight="1">
      <c r="A822" s="28">
        <v>11</v>
      </c>
      <c r="B822" s="32">
        <v>45990</v>
      </c>
      <c r="C822" s="36" t="s">
        <v>912</v>
      </c>
      <c r="D822" s="43">
        <v>1</v>
      </c>
      <c r="E822" s="48" t="s">
        <v>26</v>
      </c>
      <c r="F822" s="48" t="s">
        <v>555</v>
      </c>
      <c r="G822" s="49">
        <v>4</v>
      </c>
      <c r="H822" s="10">
        <v>4</v>
      </c>
      <c r="I822" s="52">
        <v>10</v>
      </c>
      <c r="J822" s="10">
        <v>10</v>
      </c>
      <c r="K822" s="95" t="s">
        <v>346</v>
      </c>
      <c r="L822" s="57" t="s">
        <v>436</v>
      </c>
      <c r="M822" s="50">
        <v>6</v>
      </c>
      <c r="N822" s="64"/>
      <c r="O822" s="103"/>
      <c r="P822" s="107" t="s">
        <v>20</v>
      </c>
    </row>
    <row r="823" spans="1:16" ht="15" customHeight="1">
      <c r="A823" s="28">
        <v>12</v>
      </c>
      <c r="B823" s="32">
        <v>45992</v>
      </c>
      <c r="C823" s="36" t="s">
        <v>865</v>
      </c>
      <c r="D823" s="43">
        <v>2</v>
      </c>
      <c r="E823" s="48" t="s">
        <v>26</v>
      </c>
      <c r="F823" s="48" t="s">
        <v>555</v>
      </c>
      <c r="G823" s="49">
        <v>1</v>
      </c>
      <c r="H823" s="10">
        <v>2</v>
      </c>
      <c r="I823" s="52">
        <v>5</v>
      </c>
      <c r="J823" s="10">
        <v>10</v>
      </c>
      <c r="K823" s="95" t="s">
        <v>346</v>
      </c>
      <c r="L823" s="57" t="s">
        <v>436</v>
      </c>
      <c r="M823" s="50">
        <v>8</v>
      </c>
      <c r="N823" s="64"/>
      <c r="O823" s="103"/>
      <c r="P823" s="107" t="s">
        <v>20</v>
      </c>
    </row>
    <row r="824" spans="1:16" ht="15" customHeight="1">
      <c r="A824" s="28">
        <v>12</v>
      </c>
      <c r="B824" s="32">
        <v>45992</v>
      </c>
      <c r="C824" s="36" t="s">
        <v>841</v>
      </c>
      <c r="D824" s="43">
        <v>1</v>
      </c>
      <c r="E824" s="48" t="s">
        <v>26</v>
      </c>
      <c r="F824" s="48" t="s">
        <v>555</v>
      </c>
      <c r="G824" s="49">
        <v>4</v>
      </c>
      <c r="H824" s="10">
        <v>4</v>
      </c>
      <c r="I824" s="52">
        <v>10</v>
      </c>
      <c r="J824" s="10">
        <v>10</v>
      </c>
      <c r="K824" s="95" t="s">
        <v>346</v>
      </c>
      <c r="L824" s="57" t="s">
        <v>436</v>
      </c>
      <c r="M824" s="50">
        <v>6</v>
      </c>
      <c r="N824" s="64"/>
      <c r="O824" s="103"/>
      <c r="P824" s="107" t="s">
        <v>20</v>
      </c>
    </row>
    <row r="825" spans="1:16" ht="15" customHeight="1">
      <c r="A825" s="28">
        <v>12</v>
      </c>
      <c r="B825" s="32">
        <v>45992</v>
      </c>
      <c r="C825" s="36" t="s">
        <v>913</v>
      </c>
      <c r="D825" s="43">
        <v>1</v>
      </c>
      <c r="E825" s="48" t="s">
        <v>26</v>
      </c>
      <c r="F825" s="48" t="s">
        <v>555</v>
      </c>
      <c r="G825" s="49">
        <v>20</v>
      </c>
      <c r="H825" s="10">
        <v>20</v>
      </c>
      <c r="I825" s="52">
        <v>40</v>
      </c>
      <c r="J825" s="10">
        <v>40</v>
      </c>
      <c r="K825" s="95" t="s">
        <v>346</v>
      </c>
      <c r="L825" s="57" t="s">
        <v>436</v>
      </c>
      <c r="M825" s="50">
        <v>20</v>
      </c>
      <c r="N825" s="64"/>
      <c r="O825" s="103"/>
      <c r="P825" s="107" t="s">
        <v>20</v>
      </c>
    </row>
    <row r="826" spans="1:16" ht="15" customHeight="1">
      <c r="A826" s="28">
        <v>12</v>
      </c>
      <c r="B826" s="32">
        <v>45993</v>
      </c>
      <c r="C826" s="36" t="s">
        <v>323</v>
      </c>
      <c r="D826" s="43">
        <v>1</v>
      </c>
      <c r="E826" s="48" t="s">
        <v>773</v>
      </c>
      <c r="F826" s="48" t="s">
        <v>555</v>
      </c>
      <c r="G826" s="49">
        <v>7.0000000000000007E-2</v>
      </c>
      <c r="H826" s="10">
        <v>7.0000000000000007E-2</v>
      </c>
      <c r="I826" s="52">
        <v>1</v>
      </c>
      <c r="J826" s="10">
        <v>1</v>
      </c>
      <c r="K826" s="95" t="s">
        <v>346</v>
      </c>
      <c r="L826" s="57" t="s">
        <v>436</v>
      </c>
      <c r="M826" s="50">
        <v>0.92999999999999994</v>
      </c>
      <c r="N826" s="64"/>
      <c r="O826" s="103"/>
      <c r="P826" s="107" t="s">
        <v>20</v>
      </c>
    </row>
    <row r="827" spans="1:16" ht="15" customHeight="1">
      <c r="A827" s="28">
        <v>12</v>
      </c>
      <c r="B827" s="32">
        <v>45993</v>
      </c>
      <c r="C827" s="36" t="s">
        <v>697</v>
      </c>
      <c r="D827" s="43">
        <v>1</v>
      </c>
      <c r="E827" s="48" t="s">
        <v>26</v>
      </c>
      <c r="F827" s="48" t="s">
        <v>555</v>
      </c>
      <c r="G827" s="49">
        <v>7</v>
      </c>
      <c r="H827" s="10">
        <v>7</v>
      </c>
      <c r="I827" s="52">
        <v>20</v>
      </c>
      <c r="J827" s="10">
        <v>20</v>
      </c>
      <c r="K827" s="95" t="s">
        <v>346</v>
      </c>
      <c r="L827" s="57" t="s">
        <v>436</v>
      </c>
      <c r="M827" s="50">
        <v>13</v>
      </c>
      <c r="N827" s="64"/>
      <c r="O827" s="103"/>
      <c r="P827" s="107" t="s">
        <v>20</v>
      </c>
    </row>
    <row r="828" spans="1:16" ht="15" customHeight="1">
      <c r="A828" s="28">
        <v>12</v>
      </c>
      <c r="B828" s="32">
        <v>45993</v>
      </c>
      <c r="C828" s="36" t="s">
        <v>559</v>
      </c>
      <c r="D828" s="43">
        <v>1</v>
      </c>
      <c r="E828" s="48" t="s">
        <v>26</v>
      </c>
      <c r="F828" s="48" t="s">
        <v>555</v>
      </c>
      <c r="G828" s="49">
        <v>1</v>
      </c>
      <c r="H828" s="10">
        <v>1</v>
      </c>
      <c r="I828" s="52">
        <v>10</v>
      </c>
      <c r="J828" s="10">
        <v>10</v>
      </c>
      <c r="K828" s="95" t="s">
        <v>346</v>
      </c>
      <c r="L828" s="57" t="s">
        <v>436</v>
      </c>
      <c r="M828" s="50">
        <v>9</v>
      </c>
      <c r="N828" s="64"/>
      <c r="O828" s="103"/>
      <c r="P828" s="107" t="s">
        <v>20</v>
      </c>
    </row>
    <row r="829" spans="1:16" ht="15" customHeight="1">
      <c r="A829" s="28">
        <v>12</v>
      </c>
      <c r="B829" s="32">
        <v>45993</v>
      </c>
      <c r="C829" s="36" t="s">
        <v>323</v>
      </c>
      <c r="D829" s="43">
        <v>1</v>
      </c>
      <c r="E829" s="48" t="s">
        <v>26</v>
      </c>
      <c r="F829" s="48" t="s">
        <v>555</v>
      </c>
      <c r="G829" s="49">
        <v>7.0000000000000007E-2</v>
      </c>
      <c r="H829" s="10">
        <v>7.0000000000000007E-2</v>
      </c>
      <c r="I829" s="52">
        <v>1</v>
      </c>
      <c r="J829" s="10">
        <v>1</v>
      </c>
      <c r="K829" s="95" t="s">
        <v>346</v>
      </c>
      <c r="L829" s="57" t="s">
        <v>436</v>
      </c>
      <c r="M829" s="50">
        <v>0.92999999999999994</v>
      </c>
      <c r="N829" s="64"/>
      <c r="O829" s="103"/>
      <c r="P829" s="107" t="s">
        <v>20</v>
      </c>
    </row>
    <row r="830" spans="1:16" ht="15" customHeight="1">
      <c r="A830" s="28">
        <v>12</v>
      </c>
      <c r="B830" s="32">
        <v>45993</v>
      </c>
      <c r="C830" s="36" t="s">
        <v>725</v>
      </c>
      <c r="D830" s="43">
        <v>1</v>
      </c>
      <c r="E830" s="48" t="s">
        <v>26</v>
      </c>
      <c r="F830" s="48" t="s">
        <v>555</v>
      </c>
      <c r="G830" s="49">
        <v>5</v>
      </c>
      <c r="H830" s="10">
        <v>5</v>
      </c>
      <c r="I830" s="52">
        <v>10</v>
      </c>
      <c r="J830" s="10">
        <v>10</v>
      </c>
      <c r="K830" s="95" t="s">
        <v>346</v>
      </c>
      <c r="L830" s="57" t="s">
        <v>436</v>
      </c>
      <c r="M830" s="50">
        <v>5</v>
      </c>
      <c r="N830" s="64"/>
      <c r="O830" s="103"/>
      <c r="P830" s="107" t="s">
        <v>20</v>
      </c>
    </row>
    <row r="831" spans="1:16" ht="15" customHeight="1">
      <c r="A831" s="28">
        <v>12</v>
      </c>
      <c r="B831" s="32">
        <v>45994</v>
      </c>
      <c r="C831" s="36" t="s">
        <v>914</v>
      </c>
      <c r="D831" s="43">
        <v>1</v>
      </c>
      <c r="E831" s="48" t="s">
        <v>26</v>
      </c>
      <c r="F831" s="48" t="s">
        <v>555</v>
      </c>
      <c r="G831" s="49">
        <v>18</v>
      </c>
      <c r="H831" s="10">
        <v>18</v>
      </c>
      <c r="I831" s="52">
        <v>30</v>
      </c>
      <c r="J831" s="10">
        <v>30</v>
      </c>
      <c r="K831" s="95" t="s">
        <v>346</v>
      </c>
      <c r="L831" s="57" t="s">
        <v>436</v>
      </c>
      <c r="M831" s="50">
        <v>12</v>
      </c>
      <c r="N831" s="64"/>
      <c r="O831" s="103"/>
      <c r="P831" s="107" t="s">
        <v>20</v>
      </c>
    </row>
    <row r="832" spans="1:16" ht="15" customHeight="1">
      <c r="A832" s="28">
        <v>12</v>
      </c>
      <c r="B832" s="32">
        <v>45994</v>
      </c>
      <c r="C832" s="36" t="s">
        <v>904</v>
      </c>
      <c r="D832" s="43">
        <v>1</v>
      </c>
      <c r="E832" s="48" t="s">
        <v>821</v>
      </c>
      <c r="F832" s="48" t="s">
        <v>555</v>
      </c>
      <c r="G832" s="49">
        <v>38</v>
      </c>
      <c r="H832" s="10">
        <v>38</v>
      </c>
      <c r="I832" s="52">
        <v>60</v>
      </c>
      <c r="J832" s="10">
        <v>60</v>
      </c>
      <c r="K832" s="95" t="s">
        <v>346</v>
      </c>
      <c r="L832" s="57" t="s">
        <v>436</v>
      </c>
      <c r="M832" s="50">
        <v>22</v>
      </c>
      <c r="N832" s="64"/>
      <c r="O832" s="103"/>
      <c r="P832" s="107" t="s">
        <v>20</v>
      </c>
    </row>
    <row r="833" spans="1:16" ht="15" customHeight="1">
      <c r="A833" s="28">
        <v>12</v>
      </c>
      <c r="B833" s="32">
        <v>45994</v>
      </c>
      <c r="C833" s="36" t="s">
        <v>915</v>
      </c>
      <c r="D833" s="43">
        <v>1</v>
      </c>
      <c r="E833" s="48" t="s">
        <v>821</v>
      </c>
      <c r="F833" s="48" t="s">
        <v>555</v>
      </c>
      <c r="G833" s="49">
        <v>6</v>
      </c>
      <c r="H833" s="10">
        <v>6</v>
      </c>
      <c r="I833" s="52">
        <v>15</v>
      </c>
      <c r="J833" s="10">
        <v>15</v>
      </c>
      <c r="K833" s="95" t="s">
        <v>346</v>
      </c>
      <c r="L833" s="57" t="s">
        <v>436</v>
      </c>
      <c r="M833" s="50">
        <v>9</v>
      </c>
      <c r="N833" s="102"/>
      <c r="O833" s="106"/>
      <c r="P833" s="107" t="s">
        <v>20</v>
      </c>
    </row>
    <row r="834" spans="1:16" ht="15" customHeight="1">
      <c r="A834" s="28">
        <v>12</v>
      </c>
      <c r="B834" s="32">
        <v>45994</v>
      </c>
      <c r="C834" s="36" t="s">
        <v>725</v>
      </c>
      <c r="D834" s="43">
        <v>2</v>
      </c>
      <c r="E834" s="48" t="s">
        <v>26</v>
      </c>
      <c r="F834" s="48" t="s">
        <v>555</v>
      </c>
      <c r="G834" s="49">
        <v>5</v>
      </c>
      <c r="H834" s="10">
        <v>10</v>
      </c>
      <c r="I834" s="52">
        <v>10</v>
      </c>
      <c r="J834" s="10">
        <v>20</v>
      </c>
      <c r="K834" s="95" t="s">
        <v>346</v>
      </c>
      <c r="L834" s="57" t="s">
        <v>436</v>
      </c>
      <c r="M834" s="50">
        <v>10</v>
      </c>
      <c r="N834" s="64"/>
      <c r="O834" s="103"/>
      <c r="P834" s="107" t="s">
        <v>20</v>
      </c>
    </row>
    <row r="835" spans="1:16" ht="15" customHeight="1">
      <c r="A835" s="28">
        <v>12</v>
      </c>
      <c r="B835" s="32">
        <v>45994</v>
      </c>
      <c r="C835" s="36" t="s">
        <v>678</v>
      </c>
      <c r="D835" s="43">
        <v>1</v>
      </c>
      <c r="E835" s="48" t="s">
        <v>916</v>
      </c>
      <c r="F835" s="48" t="s">
        <v>555</v>
      </c>
      <c r="G835" s="49">
        <v>280</v>
      </c>
      <c r="H835" s="10">
        <v>280</v>
      </c>
      <c r="I835" s="52">
        <v>350</v>
      </c>
      <c r="J835" s="10">
        <v>350</v>
      </c>
      <c r="K835" s="95" t="s">
        <v>346</v>
      </c>
      <c r="L835" s="57" t="s">
        <v>436</v>
      </c>
      <c r="M835" s="50">
        <v>70</v>
      </c>
      <c r="N835" s="64"/>
      <c r="O835" s="103"/>
      <c r="P835" s="107" t="s">
        <v>20</v>
      </c>
    </row>
    <row r="836" spans="1:16" ht="15" customHeight="1">
      <c r="A836" s="28">
        <v>12</v>
      </c>
      <c r="B836" s="32">
        <v>45994</v>
      </c>
      <c r="C836" s="36" t="s">
        <v>917</v>
      </c>
      <c r="D836" s="43">
        <v>1</v>
      </c>
      <c r="E836" s="48" t="s">
        <v>918</v>
      </c>
      <c r="F836" s="48" t="s">
        <v>22</v>
      </c>
      <c r="G836" s="49">
        <v>10</v>
      </c>
      <c r="H836" s="10">
        <v>10</v>
      </c>
      <c r="I836" s="52">
        <v>14</v>
      </c>
      <c r="J836" s="10">
        <v>14</v>
      </c>
      <c r="K836" s="95" t="s">
        <v>346</v>
      </c>
      <c r="L836" s="57" t="s">
        <v>436</v>
      </c>
      <c r="M836" s="50">
        <v>4</v>
      </c>
      <c r="N836" s="64"/>
      <c r="O836" s="103"/>
      <c r="P836" s="107" t="s">
        <v>20</v>
      </c>
    </row>
    <row r="837" spans="1:16" ht="15" customHeight="1">
      <c r="A837" s="28">
        <v>12</v>
      </c>
      <c r="B837" s="32">
        <v>45994</v>
      </c>
      <c r="C837" s="36" t="s">
        <v>853</v>
      </c>
      <c r="D837" s="43">
        <v>2</v>
      </c>
      <c r="E837" s="48" t="s">
        <v>919</v>
      </c>
      <c r="F837" s="48" t="s">
        <v>22</v>
      </c>
      <c r="G837" s="49" t="s">
        <v>79</v>
      </c>
      <c r="H837" s="10">
        <v>0</v>
      </c>
      <c r="I837" s="52">
        <v>42</v>
      </c>
      <c r="J837" s="10">
        <v>84</v>
      </c>
      <c r="K837" s="95"/>
      <c r="L837" s="57"/>
      <c r="M837" s="50">
        <v>84</v>
      </c>
      <c r="N837" s="64"/>
      <c r="O837" s="103"/>
      <c r="P837" s="107" t="s">
        <v>20</v>
      </c>
    </row>
    <row r="838" spans="1:16" ht="15" customHeight="1">
      <c r="A838" s="28">
        <v>12</v>
      </c>
      <c r="B838" s="32">
        <v>45994</v>
      </c>
      <c r="C838" s="36" t="s">
        <v>853</v>
      </c>
      <c r="D838" s="43">
        <v>1</v>
      </c>
      <c r="E838" s="48" t="s">
        <v>920</v>
      </c>
      <c r="F838" s="48" t="s">
        <v>22</v>
      </c>
      <c r="G838" s="49" t="s">
        <v>79</v>
      </c>
      <c r="H838" s="10">
        <v>0</v>
      </c>
      <c r="I838" s="52">
        <v>21</v>
      </c>
      <c r="J838" s="10">
        <v>21</v>
      </c>
      <c r="K838" s="95"/>
      <c r="L838" s="57"/>
      <c r="M838" s="50">
        <v>21</v>
      </c>
      <c r="N838" s="64"/>
      <c r="O838" s="103"/>
      <c r="P838" s="107" t="s">
        <v>20</v>
      </c>
    </row>
    <row r="839" spans="1:16" ht="15" customHeight="1">
      <c r="A839" s="28">
        <v>12</v>
      </c>
      <c r="B839" s="32">
        <v>45998</v>
      </c>
      <c r="C839" s="36" t="s">
        <v>827</v>
      </c>
      <c r="D839" s="43">
        <v>1</v>
      </c>
      <c r="E839" s="48" t="s">
        <v>921</v>
      </c>
      <c r="F839" s="48" t="s">
        <v>22</v>
      </c>
      <c r="G839" s="49">
        <v>7</v>
      </c>
      <c r="H839" s="10">
        <v>7</v>
      </c>
      <c r="I839" s="52">
        <v>37.24</v>
      </c>
      <c r="J839" s="10">
        <v>37.24</v>
      </c>
      <c r="K839" s="95" t="s">
        <v>346</v>
      </c>
      <c r="L839" s="57" t="s">
        <v>436</v>
      </c>
      <c r="M839" s="50">
        <v>30.240000000000002</v>
      </c>
      <c r="N839" s="64"/>
      <c r="O839" s="103"/>
      <c r="P839" s="107" t="s">
        <v>20</v>
      </c>
    </row>
    <row r="840" spans="1:16" ht="15" customHeight="1">
      <c r="A840" s="28">
        <v>12</v>
      </c>
      <c r="B840" s="32">
        <v>45998</v>
      </c>
      <c r="C840" s="36" t="s">
        <v>853</v>
      </c>
      <c r="D840" s="43">
        <v>1</v>
      </c>
      <c r="E840" s="48" t="s">
        <v>922</v>
      </c>
      <c r="F840" s="48" t="s">
        <v>22</v>
      </c>
      <c r="G840" s="49" t="s">
        <v>79</v>
      </c>
      <c r="H840" s="10">
        <v>0</v>
      </c>
      <c r="I840" s="52">
        <v>9</v>
      </c>
      <c r="J840" s="10">
        <v>9</v>
      </c>
      <c r="K840" s="95" t="s">
        <v>346</v>
      </c>
      <c r="L840" s="57" t="s">
        <v>436</v>
      </c>
      <c r="M840" s="50">
        <v>9</v>
      </c>
      <c r="N840" s="64"/>
      <c r="O840" s="103"/>
      <c r="P840" s="107" t="s">
        <v>20</v>
      </c>
    </row>
    <row r="841" spans="1:16" ht="15" customHeight="1">
      <c r="A841" s="28">
        <v>12</v>
      </c>
      <c r="B841" s="32">
        <v>45998</v>
      </c>
      <c r="C841" s="36" t="s">
        <v>827</v>
      </c>
      <c r="D841" s="43">
        <v>1</v>
      </c>
      <c r="E841" s="48" t="s">
        <v>923</v>
      </c>
      <c r="F841" s="48" t="s">
        <v>22</v>
      </c>
      <c r="G841" s="49">
        <v>7</v>
      </c>
      <c r="H841" s="10">
        <v>7</v>
      </c>
      <c r="I841" s="52">
        <v>37.24</v>
      </c>
      <c r="J841" s="10">
        <v>37.24</v>
      </c>
      <c r="K841" s="95" t="s">
        <v>346</v>
      </c>
      <c r="L841" s="57" t="s">
        <v>436</v>
      </c>
      <c r="M841" s="50">
        <v>30.240000000000002</v>
      </c>
      <c r="N841" s="64"/>
      <c r="O841" s="103"/>
      <c r="P841" s="107" t="s">
        <v>20</v>
      </c>
    </row>
    <row r="842" spans="1:16" ht="15" customHeight="1">
      <c r="A842" s="28">
        <v>12</v>
      </c>
      <c r="B842" s="32">
        <v>45998</v>
      </c>
      <c r="C842" s="36" t="s">
        <v>827</v>
      </c>
      <c r="D842" s="43">
        <v>1</v>
      </c>
      <c r="E842" s="48" t="s">
        <v>924</v>
      </c>
      <c r="F842" s="48" t="s">
        <v>22</v>
      </c>
      <c r="G842" s="49">
        <v>7</v>
      </c>
      <c r="H842" s="10">
        <v>7</v>
      </c>
      <c r="I842" s="52">
        <v>37.24</v>
      </c>
      <c r="J842" s="10">
        <v>37.24</v>
      </c>
      <c r="K842" s="95" t="s">
        <v>346</v>
      </c>
      <c r="L842" s="57" t="s">
        <v>436</v>
      </c>
      <c r="M842" s="50">
        <v>30.240000000000002</v>
      </c>
      <c r="N842" s="64"/>
      <c r="O842" s="103"/>
      <c r="P842" s="107" t="s">
        <v>20</v>
      </c>
    </row>
    <row r="843" spans="1:16" ht="15" customHeight="1">
      <c r="A843" s="28">
        <v>12</v>
      </c>
      <c r="B843" s="32">
        <v>45998</v>
      </c>
      <c r="C843" s="36" t="s">
        <v>827</v>
      </c>
      <c r="D843" s="43">
        <v>1</v>
      </c>
      <c r="E843" s="48" t="s">
        <v>925</v>
      </c>
      <c r="F843" s="48" t="s">
        <v>22</v>
      </c>
      <c r="G843" s="49">
        <v>7</v>
      </c>
      <c r="H843" s="10">
        <v>7</v>
      </c>
      <c r="I843" s="52">
        <v>37.24</v>
      </c>
      <c r="J843" s="10">
        <v>37.24</v>
      </c>
      <c r="K843" s="95" t="s">
        <v>346</v>
      </c>
      <c r="L843" s="57" t="s">
        <v>436</v>
      </c>
      <c r="M843" s="50">
        <v>30.240000000000002</v>
      </c>
      <c r="N843" s="64"/>
      <c r="O843" s="103"/>
      <c r="P843" s="107" t="s">
        <v>20</v>
      </c>
    </row>
    <row r="844" spans="1:16" ht="15" customHeight="1">
      <c r="A844" s="28">
        <v>12</v>
      </c>
      <c r="B844" s="32">
        <v>45998</v>
      </c>
      <c r="C844" s="36" t="s">
        <v>853</v>
      </c>
      <c r="D844" s="43">
        <v>1</v>
      </c>
      <c r="E844" s="48" t="s">
        <v>909</v>
      </c>
      <c r="F844" s="48" t="s">
        <v>22</v>
      </c>
      <c r="G844" s="49" t="s">
        <v>79</v>
      </c>
      <c r="H844" s="10">
        <v>0</v>
      </c>
      <c r="I844" s="52">
        <v>21</v>
      </c>
      <c r="J844" s="10">
        <v>21</v>
      </c>
      <c r="K844" s="95" t="s">
        <v>346</v>
      </c>
      <c r="L844" s="57" t="s">
        <v>436</v>
      </c>
      <c r="M844" s="50">
        <v>21</v>
      </c>
      <c r="N844" s="64"/>
      <c r="O844" s="103"/>
      <c r="P844" s="107" t="s">
        <v>20</v>
      </c>
    </row>
    <row r="845" spans="1:16" ht="15" customHeight="1">
      <c r="A845" s="28">
        <v>12</v>
      </c>
      <c r="B845" s="32">
        <v>45999</v>
      </c>
      <c r="C845" s="36" t="s">
        <v>926</v>
      </c>
      <c r="D845" s="43">
        <v>1</v>
      </c>
      <c r="E845" s="48" t="s">
        <v>927</v>
      </c>
      <c r="F845" s="48" t="s">
        <v>22</v>
      </c>
      <c r="G845" s="49">
        <v>19</v>
      </c>
      <c r="H845" s="10">
        <v>19</v>
      </c>
      <c r="I845" s="52">
        <v>29.74</v>
      </c>
      <c r="J845" s="10">
        <v>29.74</v>
      </c>
      <c r="K845" s="95" t="s">
        <v>346</v>
      </c>
      <c r="L845" s="57" t="s">
        <v>436</v>
      </c>
      <c r="M845" s="50">
        <v>10.739999999999998</v>
      </c>
      <c r="N845" s="64"/>
      <c r="O845" s="103"/>
      <c r="P845" s="107" t="s">
        <v>20</v>
      </c>
    </row>
    <row r="846" spans="1:16" ht="15" customHeight="1">
      <c r="A846" s="28">
        <v>12</v>
      </c>
      <c r="B846" s="32">
        <v>45999</v>
      </c>
      <c r="C846" s="36" t="s">
        <v>928</v>
      </c>
      <c r="D846" s="43">
        <v>1</v>
      </c>
      <c r="E846" s="48" t="s">
        <v>929</v>
      </c>
      <c r="F846" s="48" t="s">
        <v>22</v>
      </c>
      <c r="G846" s="49">
        <v>18</v>
      </c>
      <c r="H846" s="10">
        <v>18</v>
      </c>
      <c r="I846" s="52">
        <v>22.24</v>
      </c>
      <c r="J846" s="10">
        <v>22.24</v>
      </c>
      <c r="K846" s="95" t="s">
        <v>346</v>
      </c>
      <c r="L846" s="57" t="s">
        <v>436</v>
      </c>
      <c r="M846" s="50">
        <v>4.2399999999999984</v>
      </c>
      <c r="N846" s="64"/>
      <c r="O846" s="103"/>
      <c r="P846" s="107" t="s">
        <v>20</v>
      </c>
    </row>
    <row r="847" spans="1:16" ht="15" customHeight="1">
      <c r="A847" s="28">
        <v>12</v>
      </c>
      <c r="B847" s="32">
        <v>45999</v>
      </c>
      <c r="C847" s="36" t="s">
        <v>928</v>
      </c>
      <c r="D847" s="43">
        <v>1</v>
      </c>
      <c r="E847" s="48" t="s">
        <v>930</v>
      </c>
      <c r="F847" s="48" t="s">
        <v>22</v>
      </c>
      <c r="G847" s="49">
        <v>18</v>
      </c>
      <c r="H847" s="10">
        <v>18</v>
      </c>
      <c r="I847" s="52">
        <v>29.74</v>
      </c>
      <c r="J847" s="10">
        <v>29.74</v>
      </c>
      <c r="K847" s="95" t="s">
        <v>346</v>
      </c>
      <c r="L847" s="57" t="s">
        <v>436</v>
      </c>
      <c r="M847" s="50">
        <v>11.739999999999998</v>
      </c>
      <c r="N847" s="64"/>
      <c r="O847" s="103"/>
      <c r="P847" s="107" t="s">
        <v>20</v>
      </c>
    </row>
    <row r="848" spans="1:16" ht="15" customHeight="1">
      <c r="A848" s="28">
        <v>12</v>
      </c>
      <c r="B848" s="32">
        <v>45999</v>
      </c>
      <c r="C848" s="36" t="s">
        <v>828</v>
      </c>
      <c r="D848" s="43">
        <v>1</v>
      </c>
      <c r="E848" s="48" t="s">
        <v>931</v>
      </c>
      <c r="F848" s="48" t="s">
        <v>22</v>
      </c>
      <c r="G848" s="49">
        <v>7.5</v>
      </c>
      <c r="H848" s="10">
        <v>7.5</v>
      </c>
      <c r="I848" s="52">
        <v>13.8</v>
      </c>
      <c r="J848" s="10">
        <v>13.8</v>
      </c>
      <c r="K848" s="95" t="s">
        <v>346</v>
      </c>
      <c r="L848" s="57" t="s">
        <v>436</v>
      </c>
      <c r="M848" s="50">
        <v>6.3000000000000007</v>
      </c>
      <c r="N848" s="64"/>
      <c r="O848" s="103"/>
      <c r="P848" s="107" t="s">
        <v>20</v>
      </c>
    </row>
    <row r="849" spans="1:16" ht="15" customHeight="1">
      <c r="A849" s="28">
        <v>12</v>
      </c>
      <c r="B849" s="32">
        <v>45999</v>
      </c>
      <c r="C849" s="36" t="s">
        <v>932</v>
      </c>
      <c r="D849" s="43">
        <v>1</v>
      </c>
      <c r="E849" s="48" t="s">
        <v>933</v>
      </c>
      <c r="F849" s="48" t="s">
        <v>22</v>
      </c>
      <c r="G849" s="49">
        <v>0</v>
      </c>
      <c r="H849" s="10">
        <v>0</v>
      </c>
      <c r="I849" s="52">
        <v>21</v>
      </c>
      <c r="J849" s="10">
        <v>21</v>
      </c>
      <c r="K849" s="95" t="s">
        <v>346</v>
      </c>
      <c r="L849" s="57" t="s">
        <v>436</v>
      </c>
      <c r="M849" s="50">
        <v>21</v>
      </c>
      <c r="N849" s="64"/>
      <c r="O849" s="103"/>
      <c r="P849" s="107" t="s">
        <v>20</v>
      </c>
    </row>
    <row r="850" spans="1:16" ht="15" customHeight="1">
      <c r="A850" s="28">
        <v>12</v>
      </c>
      <c r="B850" s="32">
        <v>45999</v>
      </c>
      <c r="C850" s="36" t="s">
        <v>934</v>
      </c>
      <c r="D850" s="43">
        <v>1</v>
      </c>
      <c r="E850" s="48" t="s">
        <v>935</v>
      </c>
      <c r="F850" s="48" t="s">
        <v>22</v>
      </c>
      <c r="G850" s="49">
        <v>7.5</v>
      </c>
      <c r="H850" s="10">
        <v>7.5</v>
      </c>
      <c r="I850" s="52">
        <v>15.13</v>
      </c>
      <c r="J850" s="10">
        <v>15.13</v>
      </c>
      <c r="K850" s="95" t="s">
        <v>346</v>
      </c>
      <c r="L850" s="57" t="s">
        <v>436</v>
      </c>
      <c r="M850" s="50">
        <v>7.6300000000000008</v>
      </c>
      <c r="N850" s="64"/>
      <c r="O850" s="103"/>
      <c r="P850" s="107" t="s">
        <v>20</v>
      </c>
    </row>
    <row r="851" spans="1:16" ht="15" customHeight="1">
      <c r="A851" s="28">
        <v>12</v>
      </c>
      <c r="B851" s="32">
        <v>45999</v>
      </c>
      <c r="C851" s="36" t="s">
        <v>828</v>
      </c>
      <c r="D851" s="43">
        <v>1</v>
      </c>
      <c r="E851" s="48" t="s">
        <v>936</v>
      </c>
      <c r="F851" s="48" t="s">
        <v>22</v>
      </c>
      <c r="G851" s="49">
        <v>7.5</v>
      </c>
      <c r="H851" s="10">
        <v>7.5</v>
      </c>
      <c r="I851" s="52">
        <v>13.8</v>
      </c>
      <c r="J851" s="10">
        <v>13.8</v>
      </c>
      <c r="K851" s="95" t="s">
        <v>346</v>
      </c>
      <c r="L851" s="57" t="s">
        <v>436</v>
      </c>
      <c r="M851" s="50">
        <v>6.3000000000000007</v>
      </c>
      <c r="N851" s="64"/>
      <c r="O851" s="103"/>
      <c r="P851" s="107" t="s">
        <v>20</v>
      </c>
    </row>
    <row r="852" spans="1:16" ht="15" customHeight="1">
      <c r="A852" s="28">
        <v>12</v>
      </c>
      <c r="B852" s="32">
        <v>46000</v>
      </c>
      <c r="C852" s="36" t="s">
        <v>937</v>
      </c>
      <c r="D852" s="43">
        <v>1</v>
      </c>
      <c r="E852" s="48" t="s">
        <v>938</v>
      </c>
      <c r="F852" s="48" t="s">
        <v>22</v>
      </c>
      <c r="G852" s="49">
        <v>3</v>
      </c>
      <c r="H852" s="10">
        <v>3</v>
      </c>
      <c r="I852" s="52">
        <v>4.43</v>
      </c>
      <c r="J852" s="10">
        <v>4.43</v>
      </c>
      <c r="K852" s="95" t="s">
        <v>346</v>
      </c>
      <c r="L852" s="57" t="s">
        <v>436</v>
      </c>
      <c r="M852" s="50">
        <v>1.4299999999999997</v>
      </c>
      <c r="N852" s="64"/>
      <c r="O852" s="103"/>
      <c r="P852" s="107" t="s">
        <v>20</v>
      </c>
    </row>
    <row r="853" spans="1:16" ht="15" customHeight="1">
      <c r="A853" s="28">
        <v>12</v>
      </c>
      <c r="B853" s="32">
        <v>46000</v>
      </c>
      <c r="C853" s="36" t="s">
        <v>939</v>
      </c>
      <c r="D853" s="43">
        <v>1</v>
      </c>
      <c r="E853" s="48" t="s">
        <v>26</v>
      </c>
      <c r="F853" s="48" t="s">
        <v>22</v>
      </c>
      <c r="G853" s="49">
        <v>15</v>
      </c>
      <c r="H853" s="10">
        <v>15</v>
      </c>
      <c r="I853" s="52">
        <v>34</v>
      </c>
      <c r="J853" s="10">
        <v>34</v>
      </c>
      <c r="K853" s="95" t="s">
        <v>346</v>
      </c>
      <c r="L853" s="57" t="s">
        <v>436</v>
      </c>
      <c r="M853" s="50">
        <v>19</v>
      </c>
      <c r="N853" s="64"/>
      <c r="O853" s="103"/>
      <c r="P853" s="107" t="s">
        <v>20</v>
      </c>
    </row>
    <row r="854" spans="1:16" ht="15" customHeight="1">
      <c r="A854" s="28">
        <v>12</v>
      </c>
      <c r="B854" s="32">
        <v>46000</v>
      </c>
      <c r="C854" s="36" t="s">
        <v>940</v>
      </c>
      <c r="D854" s="43">
        <v>1</v>
      </c>
      <c r="E854" s="48" t="s">
        <v>26</v>
      </c>
      <c r="F854" s="48" t="s">
        <v>555</v>
      </c>
      <c r="G854" s="49">
        <v>15</v>
      </c>
      <c r="H854" s="10">
        <v>15</v>
      </c>
      <c r="I854" s="52">
        <v>30</v>
      </c>
      <c r="J854" s="10">
        <v>30</v>
      </c>
      <c r="K854" s="95" t="s">
        <v>346</v>
      </c>
      <c r="L854" s="57" t="s">
        <v>436</v>
      </c>
      <c r="M854" s="50">
        <v>15</v>
      </c>
      <c r="N854" s="64"/>
      <c r="O854" s="103"/>
      <c r="P854" s="107" t="s">
        <v>20</v>
      </c>
    </row>
    <row r="855" spans="1:16" ht="15" customHeight="1">
      <c r="A855" s="28">
        <v>12</v>
      </c>
      <c r="B855" s="32">
        <v>46000</v>
      </c>
      <c r="C855" s="36" t="s">
        <v>725</v>
      </c>
      <c r="D855" s="43">
        <v>10</v>
      </c>
      <c r="E855" s="48" t="s">
        <v>26</v>
      </c>
      <c r="F855" s="48" t="s">
        <v>555</v>
      </c>
      <c r="G855" s="49">
        <v>5</v>
      </c>
      <c r="H855" s="10">
        <v>50</v>
      </c>
      <c r="I855" s="52">
        <v>10</v>
      </c>
      <c r="J855" s="10">
        <v>100</v>
      </c>
      <c r="K855" s="95" t="s">
        <v>346</v>
      </c>
      <c r="L855" s="57" t="s">
        <v>436</v>
      </c>
      <c r="M855" s="50">
        <v>50</v>
      </c>
      <c r="N855" s="64"/>
      <c r="O855" s="103"/>
      <c r="P855" s="107" t="s">
        <v>20</v>
      </c>
    </row>
    <row r="856" spans="1:16" ht="15" customHeight="1">
      <c r="A856" s="28">
        <v>12</v>
      </c>
      <c r="B856" s="32">
        <v>46000</v>
      </c>
      <c r="C856" s="36" t="s">
        <v>865</v>
      </c>
      <c r="D856" s="43">
        <v>5</v>
      </c>
      <c r="E856" s="48" t="s">
        <v>26</v>
      </c>
      <c r="F856" s="48" t="s">
        <v>555</v>
      </c>
      <c r="G856" s="49">
        <v>1</v>
      </c>
      <c r="H856" s="10">
        <v>5</v>
      </c>
      <c r="I856" s="52">
        <v>5</v>
      </c>
      <c r="J856" s="10">
        <v>25</v>
      </c>
      <c r="K856" s="95" t="s">
        <v>346</v>
      </c>
      <c r="L856" s="57" t="s">
        <v>436</v>
      </c>
      <c r="M856" s="50">
        <v>20</v>
      </c>
      <c r="N856" s="64"/>
      <c r="O856" s="103"/>
      <c r="P856" s="107" t="s">
        <v>20</v>
      </c>
    </row>
    <row r="857" spans="1:16" ht="15" customHeight="1">
      <c r="A857" s="28">
        <v>12</v>
      </c>
      <c r="B857" s="32">
        <v>46000</v>
      </c>
      <c r="C857" s="36" t="s">
        <v>941</v>
      </c>
      <c r="D857" s="43">
        <v>2</v>
      </c>
      <c r="E857" s="48" t="s">
        <v>139</v>
      </c>
      <c r="F857" s="48" t="s">
        <v>555</v>
      </c>
      <c r="G857" s="49">
        <v>20</v>
      </c>
      <c r="H857" s="10">
        <v>40</v>
      </c>
      <c r="I857" s="52">
        <v>35</v>
      </c>
      <c r="J857" s="10">
        <v>70</v>
      </c>
      <c r="K857" s="95" t="s">
        <v>346</v>
      </c>
      <c r="L857" s="57" t="s">
        <v>436</v>
      </c>
      <c r="M857" s="50">
        <v>30</v>
      </c>
      <c r="N857" s="64"/>
      <c r="O857" s="103"/>
      <c r="P857" s="107" t="s">
        <v>20</v>
      </c>
    </row>
    <row r="858" spans="1:16" ht="15" customHeight="1">
      <c r="A858" s="28">
        <v>12</v>
      </c>
      <c r="B858" s="32">
        <v>46000</v>
      </c>
      <c r="C858" s="36" t="s">
        <v>942</v>
      </c>
      <c r="D858" s="43">
        <v>1</v>
      </c>
      <c r="E858" s="48" t="s">
        <v>139</v>
      </c>
      <c r="F858" s="48" t="s">
        <v>555</v>
      </c>
      <c r="G858" s="49">
        <v>35</v>
      </c>
      <c r="H858" s="10">
        <v>35</v>
      </c>
      <c r="I858" s="52">
        <v>45</v>
      </c>
      <c r="J858" s="10">
        <v>45</v>
      </c>
      <c r="K858" s="95" t="s">
        <v>346</v>
      </c>
      <c r="L858" s="57" t="s">
        <v>436</v>
      </c>
      <c r="M858" s="50">
        <v>10</v>
      </c>
      <c r="N858" s="64"/>
      <c r="O858" s="103"/>
      <c r="P858" s="107" t="s">
        <v>20</v>
      </c>
    </row>
    <row r="859" spans="1:16" ht="15" customHeight="1">
      <c r="A859" s="28">
        <v>12</v>
      </c>
      <c r="B859" s="32">
        <v>46000</v>
      </c>
      <c r="C859" s="36" t="s">
        <v>943</v>
      </c>
      <c r="D859" s="43">
        <v>1</v>
      </c>
      <c r="E859" s="48" t="s">
        <v>139</v>
      </c>
      <c r="F859" s="48" t="s">
        <v>555</v>
      </c>
      <c r="G859" s="49">
        <v>20</v>
      </c>
      <c r="H859" s="10">
        <v>20</v>
      </c>
      <c r="I859" s="52">
        <v>30</v>
      </c>
      <c r="J859" s="10">
        <v>30</v>
      </c>
      <c r="K859" s="95" t="s">
        <v>346</v>
      </c>
      <c r="L859" s="57" t="s">
        <v>436</v>
      </c>
      <c r="M859" s="50">
        <v>10</v>
      </c>
      <c r="N859" s="64"/>
      <c r="O859" s="103"/>
      <c r="P859" s="107" t="s">
        <v>20</v>
      </c>
    </row>
    <row r="860" spans="1:16" ht="15" customHeight="1">
      <c r="A860" s="28">
        <v>12</v>
      </c>
      <c r="B860" s="32">
        <v>46000</v>
      </c>
      <c r="C860" s="36" t="s">
        <v>944</v>
      </c>
      <c r="D860" s="43">
        <v>1</v>
      </c>
      <c r="E860" s="48" t="s">
        <v>139</v>
      </c>
      <c r="F860" s="48" t="s">
        <v>555</v>
      </c>
      <c r="G860" s="49">
        <v>12.88</v>
      </c>
      <c r="H860" s="10">
        <v>12.88</v>
      </c>
      <c r="I860" s="52">
        <v>15.09</v>
      </c>
      <c r="J860" s="10">
        <v>15.09</v>
      </c>
      <c r="K860" s="95" t="s">
        <v>346</v>
      </c>
      <c r="L860" s="57" t="s">
        <v>436</v>
      </c>
      <c r="M860" s="50">
        <v>2.2099999999999991</v>
      </c>
      <c r="N860" s="64"/>
      <c r="O860" s="103"/>
      <c r="P860" s="107" t="s">
        <v>20</v>
      </c>
    </row>
    <row r="861" spans="1:16" ht="15" customHeight="1">
      <c r="A861" s="28">
        <v>12</v>
      </c>
      <c r="B861" s="32">
        <v>46000</v>
      </c>
      <c r="C861" s="36" t="s">
        <v>736</v>
      </c>
      <c r="D861" s="43">
        <v>1</v>
      </c>
      <c r="E861" s="48" t="s">
        <v>945</v>
      </c>
      <c r="F861" s="48" t="s">
        <v>555</v>
      </c>
      <c r="G861" s="49">
        <v>19</v>
      </c>
      <c r="H861" s="10">
        <v>19</v>
      </c>
      <c r="I861" s="52">
        <v>35</v>
      </c>
      <c r="J861" s="10">
        <v>35</v>
      </c>
      <c r="K861" s="95" t="s">
        <v>346</v>
      </c>
      <c r="L861" s="57" t="s">
        <v>436</v>
      </c>
      <c r="M861" s="50">
        <v>16</v>
      </c>
      <c r="N861" s="64"/>
      <c r="O861" s="103"/>
      <c r="P861" s="107" t="s">
        <v>20</v>
      </c>
    </row>
    <row r="862" spans="1:16" ht="15" customHeight="1">
      <c r="A862" s="28">
        <v>12</v>
      </c>
      <c r="B862" s="32">
        <v>46000</v>
      </c>
      <c r="C862" s="36" t="s">
        <v>223</v>
      </c>
      <c r="D862" s="43">
        <v>1</v>
      </c>
      <c r="E862" s="48" t="s">
        <v>946</v>
      </c>
      <c r="F862" s="48" t="s">
        <v>555</v>
      </c>
      <c r="G862" s="49">
        <v>0</v>
      </c>
      <c r="H862" s="10">
        <v>0</v>
      </c>
      <c r="I862" s="52">
        <v>50</v>
      </c>
      <c r="J862" s="10">
        <v>50</v>
      </c>
      <c r="K862" s="95" t="s">
        <v>346</v>
      </c>
      <c r="L862" s="57" t="s">
        <v>436</v>
      </c>
      <c r="M862" s="50">
        <v>50</v>
      </c>
      <c r="N862" s="64"/>
      <c r="O862" s="103"/>
      <c r="P862" s="107" t="s">
        <v>20</v>
      </c>
    </row>
    <row r="863" spans="1:16" ht="15" customHeight="1">
      <c r="A863" s="28">
        <v>12</v>
      </c>
      <c r="B863" s="32">
        <v>46000</v>
      </c>
      <c r="C863" s="36" t="s">
        <v>947</v>
      </c>
      <c r="D863" s="43">
        <v>1</v>
      </c>
      <c r="E863" s="48" t="s">
        <v>946</v>
      </c>
      <c r="F863" s="48" t="s">
        <v>555</v>
      </c>
      <c r="G863" s="49" t="s">
        <v>79</v>
      </c>
      <c r="H863" s="10">
        <v>0</v>
      </c>
      <c r="I863" s="52">
        <v>50</v>
      </c>
      <c r="J863" s="10">
        <v>50</v>
      </c>
      <c r="K863" s="95" t="s">
        <v>346</v>
      </c>
      <c r="L863" s="57" t="s">
        <v>436</v>
      </c>
      <c r="M863" s="50">
        <v>50</v>
      </c>
      <c r="N863" s="64"/>
      <c r="O863" s="103"/>
      <c r="P863" s="107" t="s">
        <v>20</v>
      </c>
    </row>
    <row r="864" spans="1:16" ht="15" customHeight="1">
      <c r="A864" s="28">
        <v>12</v>
      </c>
      <c r="B864" s="32">
        <v>46001</v>
      </c>
      <c r="C864" s="36" t="s">
        <v>948</v>
      </c>
      <c r="D864" s="43">
        <v>1</v>
      </c>
      <c r="E864" s="48" t="s">
        <v>26</v>
      </c>
      <c r="F864" s="48" t="s">
        <v>555</v>
      </c>
      <c r="G864" s="49">
        <v>15</v>
      </c>
      <c r="H864" s="10">
        <v>15</v>
      </c>
      <c r="I864" s="52">
        <v>40</v>
      </c>
      <c r="J864" s="10">
        <v>40</v>
      </c>
      <c r="K864" s="95" t="s">
        <v>346</v>
      </c>
      <c r="L864" s="57" t="s">
        <v>436</v>
      </c>
      <c r="M864" s="50">
        <v>25</v>
      </c>
      <c r="N864" s="64"/>
      <c r="O864" s="103"/>
      <c r="P864" s="107" t="s">
        <v>20</v>
      </c>
    </row>
    <row r="865" spans="1:16" ht="15" customHeight="1">
      <c r="A865" s="28">
        <v>12</v>
      </c>
      <c r="B865" s="32">
        <v>46002</v>
      </c>
      <c r="C865" s="36" t="s">
        <v>904</v>
      </c>
      <c r="D865" s="43">
        <v>1</v>
      </c>
      <c r="E865" s="48" t="s">
        <v>821</v>
      </c>
      <c r="F865" s="48" t="s">
        <v>555</v>
      </c>
      <c r="G865" s="49">
        <v>38</v>
      </c>
      <c r="H865" s="10">
        <v>38</v>
      </c>
      <c r="I865" s="52">
        <v>60</v>
      </c>
      <c r="J865" s="10">
        <v>60</v>
      </c>
      <c r="K865" s="95" t="s">
        <v>346</v>
      </c>
      <c r="L865" s="57" t="s">
        <v>436</v>
      </c>
      <c r="M865" s="50">
        <v>22</v>
      </c>
      <c r="N865" s="64"/>
      <c r="O865" s="103"/>
      <c r="P865" s="107" t="s">
        <v>20</v>
      </c>
    </row>
    <row r="866" spans="1:16" ht="15" customHeight="1">
      <c r="A866" s="28">
        <v>12</v>
      </c>
      <c r="B866" s="32">
        <v>46002</v>
      </c>
      <c r="C866" s="36" t="s">
        <v>700</v>
      </c>
      <c r="D866" s="43">
        <v>2</v>
      </c>
      <c r="E866" s="48" t="s">
        <v>400</v>
      </c>
      <c r="F866" s="48" t="s">
        <v>555</v>
      </c>
      <c r="G866" s="49">
        <v>2.5</v>
      </c>
      <c r="H866" s="10">
        <v>5</v>
      </c>
      <c r="I866" s="52">
        <v>5</v>
      </c>
      <c r="J866" s="10">
        <v>10</v>
      </c>
      <c r="K866" s="95" t="s">
        <v>346</v>
      </c>
      <c r="L866" s="57" t="s">
        <v>436</v>
      </c>
      <c r="M866" s="50">
        <v>5</v>
      </c>
      <c r="N866" s="64"/>
      <c r="O866" s="103"/>
      <c r="P866" s="107" t="s">
        <v>20</v>
      </c>
    </row>
    <row r="867" spans="1:16" ht="15" customHeight="1">
      <c r="A867" s="28">
        <v>12</v>
      </c>
      <c r="B867" s="32">
        <v>46002</v>
      </c>
      <c r="C867" s="36" t="s">
        <v>949</v>
      </c>
      <c r="D867" s="43">
        <v>1</v>
      </c>
      <c r="E867" s="48" t="s">
        <v>26</v>
      </c>
      <c r="F867" s="48" t="s">
        <v>555</v>
      </c>
      <c r="G867" s="49">
        <v>4</v>
      </c>
      <c r="H867" s="10">
        <v>4</v>
      </c>
      <c r="I867" s="52">
        <v>15</v>
      </c>
      <c r="J867" s="10">
        <v>15</v>
      </c>
      <c r="K867" s="95" t="s">
        <v>346</v>
      </c>
      <c r="L867" s="57" t="s">
        <v>436</v>
      </c>
      <c r="M867" s="50">
        <v>11</v>
      </c>
      <c r="N867" s="64"/>
      <c r="O867" s="103"/>
      <c r="P867" s="107" t="s">
        <v>20</v>
      </c>
    </row>
    <row r="868" spans="1:16" ht="15" customHeight="1">
      <c r="A868" s="28">
        <v>12</v>
      </c>
      <c r="B868" s="32">
        <v>46002</v>
      </c>
      <c r="C868" s="36" t="s">
        <v>950</v>
      </c>
      <c r="D868" s="43">
        <v>1</v>
      </c>
      <c r="E868" s="48" t="s">
        <v>26</v>
      </c>
      <c r="F868" s="48" t="s">
        <v>555</v>
      </c>
      <c r="G868" s="49">
        <v>5</v>
      </c>
      <c r="H868" s="10">
        <v>5</v>
      </c>
      <c r="I868" s="52">
        <v>10</v>
      </c>
      <c r="J868" s="10">
        <v>10</v>
      </c>
      <c r="K868" s="95" t="s">
        <v>346</v>
      </c>
      <c r="L868" s="57" t="s">
        <v>436</v>
      </c>
      <c r="M868" s="50">
        <v>5</v>
      </c>
      <c r="N868" s="64"/>
      <c r="O868" s="103"/>
      <c r="P868" s="107" t="s">
        <v>20</v>
      </c>
    </row>
    <row r="869" spans="1:16" ht="15" customHeight="1">
      <c r="A869" s="28">
        <v>12</v>
      </c>
      <c r="B869" s="32">
        <v>46002</v>
      </c>
      <c r="C869" s="36" t="s">
        <v>951</v>
      </c>
      <c r="D869" s="43">
        <v>1</v>
      </c>
      <c r="E869" s="48" t="s">
        <v>26</v>
      </c>
      <c r="F869" s="48" t="s">
        <v>555</v>
      </c>
      <c r="G869" s="49">
        <v>14</v>
      </c>
      <c r="H869" s="10">
        <v>14</v>
      </c>
      <c r="I869" s="52">
        <v>20</v>
      </c>
      <c r="J869" s="10">
        <v>20</v>
      </c>
      <c r="K869" s="95" t="s">
        <v>346</v>
      </c>
      <c r="L869" s="57" t="s">
        <v>436</v>
      </c>
      <c r="M869" s="50">
        <v>6</v>
      </c>
      <c r="N869" s="64"/>
      <c r="O869" s="103"/>
      <c r="P869" s="107" t="s">
        <v>20</v>
      </c>
    </row>
    <row r="870" spans="1:16" ht="15" customHeight="1">
      <c r="A870" s="28">
        <v>12</v>
      </c>
      <c r="B870" s="32">
        <v>46003</v>
      </c>
      <c r="C870" s="36" t="s">
        <v>952</v>
      </c>
      <c r="D870" s="43">
        <v>1</v>
      </c>
      <c r="E870" s="48" t="s">
        <v>26</v>
      </c>
      <c r="F870" s="48" t="s">
        <v>832</v>
      </c>
      <c r="G870" s="49">
        <v>0</v>
      </c>
      <c r="H870" s="10">
        <v>0</v>
      </c>
      <c r="I870" s="52">
        <v>270</v>
      </c>
      <c r="J870" s="10">
        <v>270</v>
      </c>
      <c r="K870" s="95" t="s">
        <v>346</v>
      </c>
      <c r="L870" s="57" t="s">
        <v>436</v>
      </c>
      <c r="M870" s="50">
        <v>270</v>
      </c>
      <c r="N870" s="64"/>
      <c r="O870" s="103"/>
      <c r="P870" s="107" t="s">
        <v>20</v>
      </c>
    </row>
    <row r="871" spans="1:16" ht="15" customHeight="1">
      <c r="A871" s="28">
        <v>12</v>
      </c>
      <c r="B871" s="32">
        <v>46004</v>
      </c>
      <c r="C871" s="36" t="s">
        <v>953</v>
      </c>
      <c r="D871" s="43">
        <v>1</v>
      </c>
      <c r="E871" s="48" t="s">
        <v>26</v>
      </c>
      <c r="F871" s="48" t="s">
        <v>555</v>
      </c>
      <c r="G871" s="49">
        <v>4</v>
      </c>
      <c r="H871" s="10">
        <v>4</v>
      </c>
      <c r="I871" s="52">
        <v>10</v>
      </c>
      <c r="J871" s="10">
        <v>10</v>
      </c>
      <c r="K871" s="95" t="s">
        <v>346</v>
      </c>
      <c r="L871" s="57" t="s">
        <v>436</v>
      </c>
      <c r="M871" s="50">
        <v>6</v>
      </c>
      <c r="N871" s="64"/>
      <c r="O871" s="103"/>
      <c r="P871" s="107" t="s">
        <v>20</v>
      </c>
    </row>
    <row r="872" spans="1:16" ht="15" customHeight="1">
      <c r="A872" s="28">
        <v>12</v>
      </c>
      <c r="B872" s="32">
        <v>46003</v>
      </c>
      <c r="C872" s="36" t="s">
        <v>954</v>
      </c>
      <c r="D872" s="43">
        <v>1</v>
      </c>
      <c r="E872" s="48" t="s">
        <v>26</v>
      </c>
      <c r="F872" s="48" t="s">
        <v>555</v>
      </c>
      <c r="G872" s="49">
        <v>5</v>
      </c>
      <c r="H872" s="10">
        <v>5</v>
      </c>
      <c r="I872" s="52">
        <v>10</v>
      </c>
      <c r="J872" s="10">
        <v>10</v>
      </c>
      <c r="K872" s="95" t="s">
        <v>346</v>
      </c>
      <c r="L872" s="57" t="s">
        <v>436</v>
      </c>
      <c r="M872" s="50">
        <v>5</v>
      </c>
      <c r="N872" s="64"/>
      <c r="O872" s="103"/>
      <c r="P872" s="107" t="s">
        <v>20</v>
      </c>
    </row>
    <row r="873" spans="1:16" ht="15" customHeight="1">
      <c r="A873" s="28">
        <v>12</v>
      </c>
      <c r="B873" s="32">
        <v>46003</v>
      </c>
      <c r="C873" s="36" t="s">
        <v>857</v>
      </c>
      <c r="D873" s="43">
        <v>1</v>
      </c>
      <c r="E873" s="48" t="s">
        <v>26</v>
      </c>
      <c r="F873" s="48" t="s">
        <v>555</v>
      </c>
      <c r="G873" s="49">
        <v>15</v>
      </c>
      <c r="H873" s="10">
        <v>15</v>
      </c>
      <c r="I873" s="52">
        <v>30</v>
      </c>
      <c r="J873" s="10">
        <v>30</v>
      </c>
      <c r="K873" s="95" t="s">
        <v>346</v>
      </c>
      <c r="L873" s="57" t="s">
        <v>436</v>
      </c>
      <c r="M873" s="50">
        <v>15</v>
      </c>
      <c r="N873" s="64"/>
      <c r="O873" s="103"/>
      <c r="P873" s="107" t="s">
        <v>20</v>
      </c>
    </row>
    <row r="874" spans="1:16" ht="15" customHeight="1">
      <c r="A874" s="28">
        <v>12</v>
      </c>
      <c r="B874" s="32">
        <v>46004</v>
      </c>
      <c r="C874" s="36" t="s">
        <v>857</v>
      </c>
      <c r="D874" s="43">
        <v>1</v>
      </c>
      <c r="E874" s="48" t="s">
        <v>955</v>
      </c>
      <c r="F874" s="48" t="s">
        <v>555</v>
      </c>
      <c r="G874" s="49">
        <v>15</v>
      </c>
      <c r="H874" s="10">
        <v>15</v>
      </c>
      <c r="I874" s="52">
        <v>30</v>
      </c>
      <c r="J874" s="10">
        <v>30</v>
      </c>
      <c r="K874" s="95" t="s">
        <v>346</v>
      </c>
      <c r="L874" s="57" t="s">
        <v>436</v>
      </c>
      <c r="M874" s="50">
        <v>15</v>
      </c>
      <c r="N874" s="64"/>
      <c r="O874" s="103"/>
      <c r="P874" s="107" t="s">
        <v>20</v>
      </c>
    </row>
    <row r="875" spans="1:16" ht="15" customHeight="1">
      <c r="A875" s="28">
        <v>12</v>
      </c>
      <c r="B875" s="32">
        <v>46004</v>
      </c>
      <c r="C875" s="36" t="s">
        <v>760</v>
      </c>
      <c r="D875" s="43">
        <v>1</v>
      </c>
      <c r="E875" s="48" t="s">
        <v>26</v>
      </c>
      <c r="F875" s="48" t="s">
        <v>555</v>
      </c>
      <c r="G875" s="49">
        <v>5</v>
      </c>
      <c r="H875" s="10">
        <v>5</v>
      </c>
      <c r="I875" s="52">
        <v>10</v>
      </c>
      <c r="J875" s="10">
        <v>10</v>
      </c>
      <c r="K875" s="95" t="s">
        <v>346</v>
      </c>
      <c r="L875" s="57" t="s">
        <v>436</v>
      </c>
      <c r="M875" s="50">
        <v>5</v>
      </c>
      <c r="N875" s="64"/>
      <c r="O875" s="103"/>
      <c r="P875" s="107" t="s">
        <v>20</v>
      </c>
    </row>
    <row r="876" spans="1:16" ht="15" customHeight="1">
      <c r="A876" s="28">
        <v>12</v>
      </c>
      <c r="B876" s="32">
        <v>46004</v>
      </c>
      <c r="C876" s="36" t="s">
        <v>956</v>
      </c>
      <c r="D876" s="43">
        <v>1</v>
      </c>
      <c r="E876" s="48" t="s">
        <v>402</v>
      </c>
      <c r="F876" s="48" t="s">
        <v>555</v>
      </c>
      <c r="G876" s="49">
        <v>100</v>
      </c>
      <c r="H876" s="10">
        <v>100</v>
      </c>
      <c r="I876" s="52">
        <v>185</v>
      </c>
      <c r="J876" s="10">
        <v>185</v>
      </c>
      <c r="K876" s="95" t="s">
        <v>346</v>
      </c>
      <c r="L876" s="57" t="s">
        <v>436</v>
      </c>
      <c r="M876" s="50">
        <v>85</v>
      </c>
      <c r="N876" s="64"/>
      <c r="O876" s="103"/>
      <c r="P876" s="107" t="s">
        <v>20</v>
      </c>
    </row>
    <row r="877" spans="1:16" ht="15" customHeight="1">
      <c r="A877" s="28">
        <v>12</v>
      </c>
      <c r="B877" s="32">
        <v>46004</v>
      </c>
      <c r="C877" s="36" t="s">
        <v>823</v>
      </c>
      <c r="D877" s="43">
        <v>1</v>
      </c>
      <c r="E877" s="48" t="s">
        <v>26</v>
      </c>
      <c r="F877" s="48" t="s">
        <v>555</v>
      </c>
      <c r="G877" s="49">
        <v>15</v>
      </c>
      <c r="H877" s="10">
        <v>15</v>
      </c>
      <c r="I877" s="52">
        <v>35</v>
      </c>
      <c r="J877" s="10">
        <v>35</v>
      </c>
      <c r="K877" s="95" t="s">
        <v>346</v>
      </c>
      <c r="L877" s="57" t="s">
        <v>436</v>
      </c>
      <c r="M877" s="50">
        <v>20</v>
      </c>
      <c r="N877" s="64"/>
      <c r="O877" s="103"/>
      <c r="P877" s="107" t="s">
        <v>20</v>
      </c>
    </row>
    <row r="878" spans="1:16" ht="15" customHeight="1">
      <c r="A878" s="28">
        <v>12</v>
      </c>
      <c r="B878" s="32">
        <v>46004</v>
      </c>
      <c r="C878" s="36" t="s">
        <v>957</v>
      </c>
      <c r="D878" s="43">
        <v>1</v>
      </c>
      <c r="E878" s="48" t="s">
        <v>26</v>
      </c>
      <c r="F878" s="48" t="s">
        <v>555</v>
      </c>
      <c r="G878" s="49">
        <v>4</v>
      </c>
      <c r="H878" s="10">
        <v>4</v>
      </c>
      <c r="I878" s="52">
        <v>10</v>
      </c>
      <c r="J878" s="10">
        <v>10</v>
      </c>
      <c r="K878" s="95" t="s">
        <v>346</v>
      </c>
      <c r="L878" s="57" t="s">
        <v>436</v>
      </c>
      <c r="M878" s="50">
        <v>6</v>
      </c>
      <c r="N878" s="64"/>
      <c r="O878" s="103"/>
      <c r="P878" s="107" t="s">
        <v>20</v>
      </c>
    </row>
    <row r="879" spans="1:16" ht="15" customHeight="1">
      <c r="A879" s="28">
        <v>12</v>
      </c>
      <c r="B879" s="32">
        <v>46004</v>
      </c>
      <c r="C879" s="36" t="s">
        <v>323</v>
      </c>
      <c r="D879" s="43">
        <v>1</v>
      </c>
      <c r="E879" s="48" t="s">
        <v>26</v>
      </c>
      <c r="F879" s="48" t="s">
        <v>555</v>
      </c>
      <c r="G879" s="49">
        <v>7.0000000000000007E-2</v>
      </c>
      <c r="H879" s="10">
        <v>7.0000000000000007E-2</v>
      </c>
      <c r="I879" s="52">
        <v>1</v>
      </c>
      <c r="J879" s="10">
        <v>1</v>
      </c>
      <c r="K879" s="95" t="s">
        <v>346</v>
      </c>
      <c r="L879" s="57" t="s">
        <v>436</v>
      </c>
      <c r="M879" s="50">
        <v>0.92999999999999994</v>
      </c>
      <c r="N879" s="64"/>
      <c r="O879" s="103"/>
      <c r="P879" s="107" t="s">
        <v>20</v>
      </c>
    </row>
    <row r="880" spans="1:16" ht="15" customHeight="1">
      <c r="A880" s="28">
        <v>12</v>
      </c>
      <c r="B880" s="32">
        <v>46005</v>
      </c>
      <c r="C880" s="36" t="s">
        <v>321</v>
      </c>
      <c r="D880" s="43">
        <v>1</v>
      </c>
      <c r="E880" s="48" t="s">
        <v>26</v>
      </c>
      <c r="F880" s="48" t="s">
        <v>555</v>
      </c>
      <c r="G880" s="49">
        <v>3</v>
      </c>
      <c r="H880" s="10">
        <v>3</v>
      </c>
      <c r="I880" s="52">
        <v>15</v>
      </c>
      <c r="J880" s="10">
        <v>15</v>
      </c>
      <c r="K880" s="95" t="s">
        <v>346</v>
      </c>
      <c r="L880" s="57" t="s">
        <v>436</v>
      </c>
      <c r="M880" s="50">
        <v>12</v>
      </c>
      <c r="N880" s="64"/>
      <c r="O880" s="103"/>
      <c r="P880" s="107" t="s">
        <v>20</v>
      </c>
    </row>
    <row r="881" spans="1:16" ht="15" customHeight="1">
      <c r="A881" s="28">
        <v>12</v>
      </c>
      <c r="B881" s="32">
        <v>46006</v>
      </c>
      <c r="C881" s="36" t="s">
        <v>958</v>
      </c>
      <c r="D881" s="43">
        <v>1</v>
      </c>
      <c r="E881" s="48" t="s">
        <v>26</v>
      </c>
      <c r="F881" s="48" t="s">
        <v>555</v>
      </c>
      <c r="G881" s="49">
        <v>5</v>
      </c>
      <c r="H881" s="10">
        <v>5</v>
      </c>
      <c r="I881" s="52">
        <v>10</v>
      </c>
      <c r="J881" s="10">
        <v>10</v>
      </c>
      <c r="K881" s="95" t="s">
        <v>346</v>
      </c>
      <c r="L881" s="57" t="s">
        <v>436</v>
      </c>
      <c r="M881" s="50">
        <v>5</v>
      </c>
      <c r="N881" s="64"/>
      <c r="O881" s="103"/>
      <c r="P881" s="107" t="s">
        <v>20</v>
      </c>
    </row>
    <row r="882" spans="1:16" ht="15" customHeight="1">
      <c r="A882" s="28">
        <v>12</v>
      </c>
      <c r="B882" s="32">
        <v>46007</v>
      </c>
      <c r="C882" s="36" t="s">
        <v>959</v>
      </c>
      <c r="D882" s="43">
        <v>1</v>
      </c>
      <c r="E882" s="48" t="s">
        <v>801</v>
      </c>
      <c r="F882" s="48" t="s">
        <v>555</v>
      </c>
      <c r="G882" s="49">
        <v>15</v>
      </c>
      <c r="H882" s="10">
        <v>15</v>
      </c>
      <c r="I882" s="52">
        <v>25</v>
      </c>
      <c r="J882" s="10">
        <v>25</v>
      </c>
      <c r="K882" s="95" t="s">
        <v>346</v>
      </c>
      <c r="L882" s="57" t="s">
        <v>436</v>
      </c>
      <c r="M882" s="50">
        <v>10</v>
      </c>
      <c r="N882" s="64"/>
      <c r="O882" s="103"/>
      <c r="P882" s="107" t="s">
        <v>20</v>
      </c>
    </row>
    <row r="883" spans="1:16" ht="15" customHeight="1">
      <c r="A883" s="28">
        <v>12</v>
      </c>
      <c r="B883" s="32">
        <v>46007</v>
      </c>
      <c r="C883" s="36" t="s">
        <v>960</v>
      </c>
      <c r="D883" s="43">
        <v>1</v>
      </c>
      <c r="E883" s="48" t="s">
        <v>821</v>
      </c>
      <c r="F883" s="48" t="s">
        <v>555</v>
      </c>
      <c r="G883" s="49">
        <v>25</v>
      </c>
      <c r="H883" s="10">
        <v>25</v>
      </c>
      <c r="I883" s="52">
        <v>40</v>
      </c>
      <c r="J883" s="10">
        <v>40</v>
      </c>
      <c r="K883" s="95" t="s">
        <v>346</v>
      </c>
      <c r="L883" s="57" t="s">
        <v>436</v>
      </c>
      <c r="M883" s="50">
        <v>15</v>
      </c>
      <c r="N883" s="64"/>
      <c r="O883" s="103"/>
      <c r="P883" s="107" t="s">
        <v>20</v>
      </c>
    </row>
    <row r="884" spans="1:16" ht="15" customHeight="1">
      <c r="A884" s="28">
        <v>12</v>
      </c>
      <c r="B884" s="32">
        <v>46007</v>
      </c>
      <c r="C884" s="36" t="s">
        <v>789</v>
      </c>
      <c r="D884" s="43">
        <v>1</v>
      </c>
      <c r="E884" s="48" t="s">
        <v>26</v>
      </c>
      <c r="F884" s="48" t="s">
        <v>555</v>
      </c>
      <c r="G884" s="49">
        <v>40</v>
      </c>
      <c r="H884" s="10">
        <v>40</v>
      </c>
      <c r="I884" s="52">
        <v>100</v>
      </c>
      <c r="J884" s="10">
        <v>100</v>
      </c>
      <c r="K884" s="95" t="s">
        <v>346</v>
      </c>
      <c r="L884" s="57" t="s">
        <v>436</v>
      </c>
      <c r="M884" s="50">
        <v>60</v>
      </c>
      <c r="N884" s="64"/>
      <c r="O884" s="103"/>
      <c r="P884" s="107" t="s">
        <v>20</v>
      </c>
    </row>
    <row r="885" spans="1:16" ht="15" customHeight="1">
      <c r="A885" s="28">
        <v>12</v>
      </c>
      <c r="B885" s="32">
        <v>46007</v>
      </c>
      <c r="C885" s="36" t="s">
        <v>961</v>
      </c>
      <c r="D885" s="43">
        <v>1</v>
      </c>
      <c r="E885" s="48" t="s">
        <v>26</v>
      </c>
      <c r="F885" s="48" t="s">
        <v>555</v>
      </c>
      <c r="G885" s="49" t="s">
        <v>79</v>
      </c>
      <c r="H885" s="10">
        <v>0</v>
      </c>
      <c r="I885" s="52">
        <v>200</v>
      </c>
      <c r="J885" s="10">
        <v>200</v>
      </c>
      <c r="K885" s="95" t="s">
        <v>346</v>
      </c>
      <c r="L885" s="57" t="s">
        <v>436</v>
      </c>
      <c r="M885" s="50">
        <v>200</v>
      </c>
      <c r="N885" s="64"/>
      <c r="O885" s="103"/>
      <c r="P885" s="107" t="s">
        <v>20</v>
      </c>
    </row>
    <row r="886" spans="1:16" ht="15" customHeight="1">
      <c r="A886" s="28">
        <v>12</v>
      </c>
      <c r="B886" s="32">
        <v>46007</v>
      </c>
      <c r="C886" s="36" t="s">
        <v>962</v>
      </c>
      <c r="D886" s="43">
        <v>1</v>
      </c>
      <c r="E886" s="48" t="s">
        <v>26</v>
      </c>
      <c r="F886" s="48" t="s">
        <v>555</v>
      </c>
      <c r="G886" s="49">
        <v>100</v>
      </c>
      <c r="H886" s="10">
        <v>100</v>
      </c>
      <c r="I886" s="52">
        <v>140</v>
      </c>
      <c r="J886" s="10">
        <v>140</v>
      </c>
      <c r="K886" s="95" t="s">
        <v>346</v>
      </c>
      <c r="L886" s="57" t="s">
        <v>436</v>
      </c>
      <c r="M886" s="50">
        <v>40</v>
      </c>
      <c r="N886" s="64"/>
      <c r="O886" s="103"/>
      <c r="P886" s="107" t="s">
        <v>20</v>
      </c>
    </row>
    <row r="887" spans="1:16" ht="15" customHeight="1">
      <c r="A887" s="28">
        <v>12</v>
      </c>
      <c r="B887" s="32">
        <v>46007</v>
      </c>
      <c r="C887" s="36" t="s">
        <v>283</v>
      </c>
      <c r="D887" s="43">
        <v>1</v>
      </c>
      <c r="E887" s="48" t="s">
        <v>26</v>
      </c>
      <c r="F887" s="48" t="s">
        <v>555</v>
      </c>
      <c r="G887" s="49">
        <v>18</v>
      </c>
      <c r="H887" s="10">
        <v>18</v>
      </c>
      <c r="I887" s="52">
        <v>30</v>
      </c>
      <c r="J887" s="10">
        <v>30</v>
      </c>
      <c r="K887" s="95" t="s">
        <v>346</v>
      </c>
      <c r="L887" s="57" t="s">
        <v>436</v>
      </c>
      <c r="M887" s="50">
        <v>12</v>
      </c>
      <c r="N887" s="64"/>
      <c r="O887" s="103"/>
      <c r="P887" s="107" t="s">
        <v>20</v>
      </c>
    </row>
    <row r="888" spans="1:16" ht="15" customHeight="1">
      <c r="A888" s="28">
        <v>12</v>
      </c>
      <c r="B888" s="32">
        <v>46007</v>
      </c>
      <c r="C888" s="36" t="s">
        <v>441</v>
      </c>
      <c r="D888" s="43">
        <v>1</v>
      </c>
      <c r="E888" s="48" t="s">
        <v>26</v>
      </c>
      <c r="F888" s="48" t="s">
        <v>555</v>
      </c>
      <c r="G888" s="49">
        <v>15</v>
      </c>
      <c r="H888" s="10">
        <v>15</v>
      </c>
      <c r="I888" s="52">
        <v>40</v>
      </c>
      <c r="J888" s="10">
        <v>40</v>
      </c>
      <c r="K888" s="95" t="s">
        <v>346</v>
      </c>
      <c r="L888" s="57" t="s">
        <v>436</v>
      </c>
      <c r="M888" s="50">
        <v>25</v>
      </c>
      <c r="N888" s="64"/>
      <c r="O888" s="103"/>
      <c r="P888" s="107" t="s">
        <v>20</v>
      </c>
    </row>
    <row r="889" spans="1:16" ht="15" customHeight="1">
      <c r="A889" s="28">
        <v>12</v>
      </c>
      <c r="B889" s="32">
        <v>46007</v>
      </c>
      <c r="C889" s="36" t="s">
        <v>963</v>
      </c>
      <c r="D889" s="43">
        <v>1</v>
      </c>
      <c r="E889" s="48" t="s">
        <v>26</v>
      </c>
      <c r="F889" s="48" t="s">
        <v>555</v>
      </c>
      <c r="G889" s="49">
        <v>10</v>
      </c>
      <c r="H889" s="10">
        <v>10</v>
      </c>
      <c r="I889" s="52">
        <v>25</v>
      </c>
      <c r="J889" s="10">
        <v>25</v>
      </c>
      <c r="K889" s="95" t="s">
        <v>346</v>
      </c>
      <c r="L889" s="57" t="s">
        <v>436</v>
      </c>
      <c r="M889" s="50">
        <v>15</v>
      </c>
      <c r="N889" s="64"/>
      <c r="O889" s="103"/>
      <c r="P889" s="107" t="s">
        <v>20</v>
      </c>
    </row>
    <row r="890" spans="1:16" ht="15" customHeight="1">
      <c r="A890" s="28">
        <v>12</v>
      </c>
      <c r="B890" s="32">
        <v>46010</v>
      </c>
      <c r="C890" s="36" t="s">
        <v>853</v>
      </c>
      <c r="D890" s="43">
        <v>1</v>
      </c>
      <c r="E890" s="48" t="s">
        <v>964</v>
      </c>
      <c r="F890" s="48" t="s">
        <v>22</v>
      </c>
      <c r="G890" s="49">
        <v>0</v>
      </c>
      <c r="H890" s="10">
        <v>0</v>
      </c>
      <c r="I890" s="52">
        <v>153</v>
      </c>
      <c r="J890" s="10">
        <v>153</v>
      </c>
      <c r="K890" s="95" t="s">
        <v>346</v>
      </c>
      <c r="L890" s="57" t="s">
        <v>436</v>
      </c>
      <c r="M890" s="50">
        <v>153</v>
      </c>
      <c r="N890" s="64"/>
      <c r="O890" s="103"/>
      <c r="P890" s="107" t="s">
        <v>20</v>
      </c>
    </row>
    <row r="891" spans="1:16" ht="15" customHeight="1">
      <c r="A891" s="28">
        <v>12</v>
      </c>
      <c r="B891" s="32">
        <v>46010</v>
      </c>
      <c r="C891" s="36" t="s">
        <v>965</v>
      </c>
      <c r="D891" s="43">
        <v>1</v>
      </c>
      <c r="E891" s="48" t="s">
        <v>966</v>
      </c>
      <c r="F891" s="48" t="s">
        <v>832</v>
      </c>
      <c r="G891" s="49">
        <v>0</v>
      </c>
      <c r="H891" s="10">
        <v>0</v>
      </c>
      <c r="I891" s="52">
        <v>105</v>
      </c>
      <c r="J891" s="10">
        <v>105</v>
      </c>
      <c r="K891" s="95" t="s">
        <v>346</v>
      </c>
      <c r="L891" s="57" t="s">
        <v>436</v>
      </c>
      <c r="M891" s="50">
        <v>105</v>
      </c>
      <c r="N891" s="64"/>
      <c r="O891" s="103"/>
      <c r="P891" s="107" t="s">
        <v>20</v>
      </c>
    </row>
    <row r="892" spans="1:16" ht="15" customHeight="1">
      <c r="A892" s="28">
        <v>12</v>
      </c>
      <c r="B892" s="32">
        <v>46010</v>
      </c>
      <c r="C892" s="36" t="s">
        <v>959</v>
      </c>
      <c r="D892" s="43">
        <v>1</v>
      </c>
      <c r="E892" s="48" t="s">
        <v>26</v>
      </c>
      <c r="F892" s="48" t="s">
        <v>555</v>
      </c>
      <c r="G892" s="49">
        <v>15</v>
      </c>
      <c r="H892" s="10">
        <v>15</v>
      </c>
      <c r="I892" s="52">
        <v>25</v>
      </c>
      <c r="J892" s="10">
        <v>25</v>
      </c>
      <c r="K892" s="95" t="s">
        <v>346</v>
      </c>
      <c r="L892" s="57" t="s">
        <v>436</v>
      </c>
      <c r="M892" s="50">
        <v>10</v>
      </c>
      <c r="N892" s="64"/>
      <c r="O892" s="103"/>
      <c r="P892" s="107" t="s">
        <v>20</v>
      </c>
    </row>
    <row r="893" spans="1:16" ht="15" customHeight="1">
      <c r="A893" s="28">
        <v>12</v>
      </c>
      <c r="B893" s="32">
        <v>46011</v>
      </c>
      <c r="C893" s="36" t="s">
        <v>865</v>
      </c>
      <c r="D893" s="43">
        <v>6</v>
      </c>
      <c r="E893" s="48" t="s">
        <v>26</v>
      </c>
      <c r="F893" s="48" t="s">
        <v>555</v>
      </c>
      <c r="G893" s="49">
        <v>1</v>
      </c>
      <c r="H893" s="10">
        <v>6</v>
      </c>
      <c r="I893" s="52">
        <v>5</v>
      </c>
      <c r="J893" s="10">
        <v>30</v>
      </c>
      <c r="K893" s="95" t="s">
        <v>346</v>
      </c>
      <c r="L893" s="57" t="s">
        <v>436</v>
      </c>
      <c r="M893" s="50">
        <v>24</v>
      </c>
      <c r="N893" s="64"/>
      <c r="O893" s="103"/>
      <c r="P893" s="107" t="s">
        <v>20</v>
      </c>
    </row>
    <row r="894" spans="1:16" ht="15" customHeight="1">
      <c r="A894" s="28">
        <v>12</v>
      </c>
      <c r="B894" s="32">
        <v>46011</v>
      </c>
      <c r="C894" s="36" t="s">
        <v>967</v>
      </c>
      <c r="D894" s="43">
        <v>1</v>
      </c>
      <c r="E894" s="48" t="s">
        <v>26</v>
      </c>
      <c r="F894" s="48" t="s">
        <v>555</v>
      </c>
      <c r="G894" s="49">
        <v>18</v>
      </c>
      <c r="H894" s="10">
        <v>18</v>
      </c>
      <c r="I894" s="52">
        <v>40</v>
      </c>
      <c r="J894" s="10">
        <v>40</v>
      </c>
      <c r="K894" s="95" t="s">
        <v>346</v>
      </c>
      <c r="L894" s="57" t="s">
        <v>436</v>
      </c>
      <c r="M894" s="50">
        <v>22</v>
      </c>
      <c r="N894" s="64"/>
      <c r="O894" s="103"/>
      <c r="P894" s="107" t="s">
        <v>20</v>
      </c>
    </row>
    <row r="895" spans="1:16" ht="15" customHeight="1">
      <c r="A895" s="28">
        <v>12</v>
      </c>
      <c r="B895" s="32">
        <v>46011</v>
      </c>
      <c r="C895" s="36" t="s">
        <v>968</v>
      </c>
      <c r="D895" s="43">
        <v>2</v>
      </c>
      <c r="E895" s="48" t="s">
        <v>26</v>
      </c>
      <c r="F895" s="48" t="s">
        <v>555</v>
      </c>
      <c r="G895" s="49">
        <v>10</v>
      </c>
      <c r="H895" s="10">
        <v>20</v>
      </c>
      <c r="I895" s="52">
        <v>25</v>
      </c>
      <c r="J895" s="10">
        <v>50</v>
      </c>
      <c r="K895" s="95" t="s">
        <v>346</v>
      </c>
      <c r="L895" s="57" t="s">
        <v>436</v>
      </c>
      <c r="M895" s="50">
        <v>30</v>
      </c>
      <c r="N895" s="64"/>
      <c r="O895" s="103"/>
      <c r="P895" s="107" t="s">
        <v>20</v>
      </c>
    </row>
    <row r="896" spans="1:16" ht="15" customHeight="1">
      <c r="A896" s="28">
        <v>12</v>
      </c>
      <c r="B896" s="32">
        <v>46013</v>
      </c>
      <c r="C896" s="36" t="s">
        <v>969</v>
      </c>
      <c r="D896" s="43">
        <v>1</v>
      </c>
      <c r="E896" s="48" t="s">
        <v>970</v>
      </c>
      <c r="F896" s="48" t="s">
        <v>832</v>
      </c>
      <c r="G896" s="49">
        <v>0</v>
      </c>
      <c r="H896" s="10">
        <v>0</v>
      </c>
      <c r="I896" s="52">
        <v>258</v>
      </c>
      <c r="J896" s="10">
        <v>258</v>
      </c>
      <c r="K896" s="95" t="s">
        <v>346</v>
      </c>
      <c r="L896" s="57" t="s">
        <v>436</v>
      </c>
      <c r="M896" s="50">
        <v>258</v>
      </c>
      <c r="N896" s="64"/>
      <c r="O896" s="103"/>
      <c r="P896" s="107" t="s">
        <v>20</v>
      </c>
    </row>
    <row r="897" spans="1:16" ht="15" customHeight="1">
      <c r="A897" s="28">
        <v>12</v>
      </c>
      <c r="B897" s="32">
        <v>46013</v>
      </c>
      <c r="C897" s="36" t="s">
        <v>971</v>
      </c>
      <c r="D897" s="43">
        <v>2</v>
      </c>
      <c r="E897" s="48" t="s">
        <v>26</v>
      </c>
      <c r="F897" s="48" t="s">
        <v>555</v>
      </c>
      <c r="G897" s="49">
        <v>3</v>
      </c>
      <c r="H897" s="10">
        <v>6</v>
      </c>
      <c r="I897" s="52">
        <v>5</v>
      </c>
      <c r="J897" s="10">
        <v>10</v>
      </c>
      <c r="K897" s="95" t="s">
        <v>346</v>
      </c>
      <c r="L897" s="57" t="s">
        <v>436</v>
      </c>
      <c r="M897" s="50">
        <v>4</v>
      </c>
      <c r="N897" s="64"/>
      <c r="O897" s="103"/>
      <c r="P897" s="107" t="s">
        <v>20</v>
      </c>
    </row>
    <row r="898" spans="1:16" ht="15" customHeight="1">
      <c r="A898" s="28">
        <v>12</v>
      </c>
      <c r="B898" s="32">
        <v>46013</v>
      </c>
      <c r="C898" s="36" t="s">
        <v>972</v>
      </c>
      <c r="D898" s="43">
        <v>1</v>
      </c>
      <c r="E898" s="48" t="s">
        <v>26</v>
      </c>
      <c r="F898" s="48" t="s">
        <v>555</v>
      </c>
      <c r="G898" s="49">
        <v>5</v>
      </c>
      <c r="H898" s="10">
        <v>5</v>
      </c>
      <c r="I898" s="52">
        <v>20</v>
      </c>
      <c r="J898" s="10">
        <v>20</v>
      </c>
      <c r="K898" s="95" t="s">
        <v>346</v>
      </c>
      <c r="L898" s="57" t="s">
        <v>436</v>
      </c>
      <c r="M898" s="50">
        <v>15</v>
      </c>
      <c r="N898" s="64"/>
      <c r="O898" s="103"/>
      <c r="P898" s="107" t="s">
        <v>20</v>
      </c>
    </row>
    <row r="899" spans="1:16" ht="15" customHeight="1">
      <c r="A899" s="28">
        <v>12</v>
      </c>
      <c r="B899" s="32">
        <v>46014</v>
      </c>
      <c r="C899" s="36" t="s">
        <v>959</v>
      </c>
      <c r="D899" s="43">
        <v>1</v>
      </c>
      <c r="E899" s="48" t="s">
        <v>400</v>
      </c>
      <c r="F899" s="48" t="s">
        <v>555</v>
      </c>
      <c r="G899" s="49">
        <v>15</v>
      </c>
      <c r="H899" s="10">
        <v>15</v>
      </c>
      <c r="I899" s="52">
        <v>30</v>
      </c>
      <c r="J899" s="10">
        <v>30</v>
      </c>
      <c r="K899" s="95" t="s">
        <v>346</v>
      </c>
      <c r="L899" s="57" t="s">
        <v>436</v>
      </c>
      <c r="M899" s="50">
        <v>15</v>
      </c>
      <c r="N899" s="64"/>
      <c r="O899" s="103"/>
      <c r="P899" s="107" t="s">
        <v>20</v>
      </c>
    </row>
    <row r="900" spans="1:16" ht="15" customHeight="1">
      <c r="A900" s="28">
        <v>12</v>
      </c>
      <c r="B900" s="32">
        <v>46014</v>
      </c>
      <c r="C900" s="36" t="s">
        <v>700</v>
      </c>
      <c r="D900" s="43">
        <v>2</v>
      </c>
      <c r="E900" s="48" t="s">
        <v>400</v>
      </c>
      <c r="F900" s="48" t="s">
        <v>555</v>
      </c>
      <c r="G900" s="49">
        <v>2.5</v>
      </c>
      <c r="H900" s="10">
        <v>5</v>
      </c>
      <c r="I900" s="52">
        <v>5</v>
      </c>
      <c r="J900" s="10">
        <v>10</v>
      </c>
      <c r="K900" s="95" t="s">
        <v>346</v>
      </c>
      <c r="L900" s="57" t="s">
        <v>436</v>
      </c>
      <c r="M900" s="50">
        <v>5</v>
      </c>
      <c r="N900" s="64"/>
      <c r="O900" s="103"/>
      <c r="P900" s="107" t="s">
        <v>20</v>
      </c>
    </row>
    <row r="901" spans="1:16" ht="15" customHeight="1">
      <c r="A901" s="28">
        <v>12</v>
      </c>
      <c r="B901" s="32">
        <v>46014</v>
      </c>
      <c r="C901" s="36" t="s">
        <v>973</v>
      </c>
      <c r="D901" s="43">
        <v>1</v>
      </c>
      <c r="E901" s="48" t="s">
        <v>26</v>
      </c>
      <c r="F901" s="48" t="s">
        <v>555</v>
      </c>
      <c r="G901" s="49">
        <v>5</v>
      </c>
      <c r="H901" s="10">
        <v>5</v>
      </c>
      <c r="I901" s="52">
        <v>10</v>
      </c>
      <c r="J901" s="10">
        <v>10</v>
      </c>
      <c r="K901" s="95" t="s">
        <v>346</v>
      </c>
      <c r="L901" s="57" t="s">
        <v>436</v>
      </c>
      <c r="M901" s="50">
        <v>5</v>
      </c>
      <c r="N901" s="64"/>
      <c r="O901" s="103"/>
      <c r="P901" s="107" t="s">
        <v>20</v>
      </c>
    </row>
    <row r="902" spans="1:16" ht="15" customHeight="1">
      <c r="A902" s="28">
        <v>12</v>
      </c>
      <c r="B902" s="32">
        <v>46014</v>
      </c>
      <c r="C902" s="36" t="s">
        <v>974</v>
      </c>
      <c r="D902" s="43">
        <v>1</v>
      </c>
      <c r="E902" s="48" t="s">
        <v>645</v>
      </c>
      <c r="F902" s="48" t="s">
        <v>555</v>
      </c>
      <c r="G902" s="49">
        <v>25</v>
      </c>
      <c r="H902" s="10">
        <v>25</v>
      </c>
      <c r="I902" s="52">
        <v>40</v>
      </c>
      <c r="J902" s="10">
        <v>40</v>
      </c>
      <c r="K902" s="95" t="s">
        <v>346</v>
      </c>
      <c r="L902" s="57" t="s">
        <v>436</v>
      </c>
      <c r="M902" s="50">
        <v>15</v>
      </c>
      <c r="N902" s="64"/>
      <c r="O902" s="103"/>
      <c r="P902" s="107" t="s">
        <v>20</v>
      </c>
    </row>
    <row r="903" spans="1:16" ht="15" customHeight="1">
      <c r="A903" s="28">
        <v>12</v>
      </c>
      <c r="B903" s="32">
        <v>46014</v>
      </c>
      <c r="C903" s="36" t="s">
        <v>975</v>
      </c>
      <c r="D903" s="43">
        <v>1</v>
      </c>
      <c r="E903" s="48" t="s">
        <v>543</v>
      </c>
      <c r="F903" s="48" t="s">
        <v>555</v>
      </c>
      <c r="G903" s="49">
        <v>28</v>
      </c>
      <c r="H903" s="10">
        <v>28</v>
      </c>
      <c r="I903" s="52">
        <v>45</v>
      </c>
      <c r="J903" s="10">
        <v>45</v>
      </c>
      <c r="K903" s="95" t="s">
        <v>346</v>
      </c>
      <c r="L903" s="57" t="s">
        <v>436</v>
      </c>
      <c r="M903" s="50">
        <v>17</v>
      </c>
      <c r="N903" s="64"/>
      <c r="O903" s="103"/>
      <c r="P903" s="107" t="s">
        <v>20</v>
      </c>
    </row>
    <row r="904" spans="1:16" ht="15" customHeight="1">
      <c r="A904" s="28">
        <v>12</v>
      </c>
      <c r="B904" s="32">
        <v>46014</v>
      </c>
      <c r="C904" s="36" t="s">
        <v>976</v>
      </c>
      <c r="D904" s="43">
        <v>1</v>
      </c>
      <c r="E904" s="48" t="s">
        <v>26</v>
      </c>
      <c r="F904" s="48" t="s">
        <v>555</v>
      </c>
      <c r="G904" s="49">
        <v>20</v>
      </c>
      <c r="H904" s="10">
        <v>20</v>
      </c>
      <c r="I904" s="52">
        <v>30</v>
      </c>
      <c r="J904" s="10">
        <v>30</v>
      </c>
      <c r="K904" s="95" t="s">
        <v>346</v>
      </c>
      <c r="L904" s="57" t="s">
        <v>436</v>
      </c>
      <c r="M904" s="50">
        <v>10</v>
      </c>
      <c r="N904" s="64"/>
      <c r="O904" s="103"/>
      <c r="P904" s="107" t="s">
        <v>20</v>
      </c>
    </row>
    <row r="905" spans="1:16" ht="15" customHeight="1">
      <c r="A905" s="28">
        <v>12</v>
      </c>
      <c r="B905" s="32">
        <v>46014</v>
      </c>
      <c r="C905" s="36" t="s">
        <v>977</v>
      </c>
      <c r="D905" s="43">
        <v>1</v>
      </c>
      <c r="E905" s="48" t="s">
        <v>26</v>
      </c>
      <c r="F905" s="48" t="s">
        <v>555</v>
      </c>
      <c r="G905" s="49">
        <v>1</v>
      </c>
      <c r="H905" s="10">
        <v>1</v>
      </c>
      <c r="I905" s="52">
        <v>5</v>
      </c>
      <c r="J905" s="10">
        <v>5</v>
      </c>
      <c r="K905" s="95" t="s">
        <v>346</v>
      </c>
      <c r="L905" s="57" t="s">
        <v>436</v>
      </c>
      <c r="M905" s="50">
        <v>4</v>
      </c>
      <c r="N905" s="64"/>
      <c r="O905" s="103"/>
      <c r="P905" s="107" t="s">
        <v>20</v>
      </c>
    </row>
    <row r="906" spans="1:16" ht="15" customHeight="1">
      <c r="A906" s="28">
        <v>12</v>
      </c>
      <c r="B906" s="32">
        <v>46014</v>
      </c>
      <c r="C906" s="36" t="s">
        <v>702</v>
      </c>
      <c r="D906" s="43">
        <v>1</v>
      </c>
      <c r="E906" s="48" t="s">
        <v>978</v>
      </c>
      <c r="F906" s="48" t="s">
        <v>555</v>
      </c>
      <c r="G906" s="49">
        <v>15</v>
      </c>
      <c r="H906" s="10">
        <v>15</v>
      </c>
      <c r="I906" s="52">
        <v>50</v>
      </c>
      <c r="J906" s="10">
        <v>50</v>
      </c>
      <c r="K906" s="95" t="s">
        <v>346</v>
      </c>
      <c r="L906" s="57" t="s">
        <v>436</v>
      </c>
      <c r="M906" s="50">
        <v>35</v>
      </c>
      <c r="N906" s="64"/>
      <c r="O906" s="103"/>
      <c r="P906" s="107" t="s">
        <v>20</v>
      </c>
    </row>
    <row r="907" spans="1:16" ht="15" customHeight="1">
      <c r="A907" s="28">
        <v>12</v>
      </c>
      <c r="B907" s="32">
        <v>46014</v>
      </c>
      <c r="C907" s="36" t="s">
        <v>979</v>
      </c>
      <c r="D907" s="43">
        <v>1</v>
      </c>
      <c r="E907" s="48" t="s">
        <v>821</v>
      </c>
      <c r="F907" s="48" t="s">
        <v>555</v>
      </c>
      <c r="G907" s="49">
        <v>5</v>
      </c>
      <c r="H907" s="10">
        <v>5</v>
      </c>
      <c r="I907" s="52">
        <v>10</v>
      </c>
      <c r="J907" s="10">
        <v>10</v>
      </c>
      <c r="K907" s="95" t="s">
        <v>346</v>
      </c>
      <c r="L907" s="57" t="s">
        <v>436</v>
      </c>
      <c r="M907" s="50">
        <v>5</v>
      </c>
      <c r="N907" s="64"/>
      <c r="O907" s="103"/>
      <c r="P907" s="107" t="s">
        <v>20</v>
      </c>
    </row>
    <row r="908" spans="1:16" ht="15" customHeight="1">
      <c r="A908" s="28">
        <v>12</v>
      </c>
      <c r="B908" s="32">
        <v>46015</v>
      </c>
      <c r="C908" s="36" t="s">
        <v>725</v>
      </c>
      <c r="D908" s="43">
        <v>1</v>
      </c>
      <c r="E908" s="48" t="s">
        <v>26</v>
      </c>
      <c r="F908" s="48" t="s">
        <v>555</v>
      </c>
      <c r="G908" s="49">
        <v>5</v>
      </c>
      <c r="H908" s="10">
        <v>5</v>
      </c>
      <c r="I908" s="52">
        <v>10</v>
      </c>
      <c r="J908" s="10">
        <v>10</v>
      </c>
      <c r="K908" s="95" t="s">
        <v>346</v>
      </c>
      <c r="L908" s="57" t="s">
        <v>436</v>
      </c>
      <c r="M908" s="50">
        <v>5</v>
      </c>
      <c r="N908" s="64"/>
      <c r="O908" s="103"/>
      <c r="P908" s="107" t="s">
        <v>20</v>
      </c>
    </row>
    <row r="909" spans="1:16" ht="15" customHeight="1">
      <c r="A909" s="28">
        <v>12</v>
      </c>
      <c r="B909" s="32">
        <v>46015</v>
      </c>
      <c r="C909" s="36" t="s">
        <v>969</v>
      </c>
      <c r="D909" s="43">
        <v>1</v>
      </c>
      <c r="E909" s="48" t="s">
        <v>239</v>
      </c>
      <c r="F909" s="48" t="s">
        <v>555</v>
      </c>
      <c r="G909" s="49">
        <v>270</v>
      </c>
      <c r="H909" s="10">
        <v>270</v>
      </c>
      <c r="I909" s="52">
        <v>350</v>
      </c>
      <c r="J909" s="10">
        <v>350</v>
      </c>
      <c r="K909" s="95" t="s">
        <v>346</v>
      </c>
      <c r="L909" s="57" t="s">
        <v>436</v>
      </c>
      <c r="M909" s="50">
        <v>80</v>
      </c>
      <c r="N909" s="64"/>
      <c r="O909" s="103"/>
      <c r="P909" s="107" t="s">
        <v>20</v>
      </c>
    </row>
    <row r="910" spans="1:16" ht="15" customHeight="1">
      <c r="A910" s="28">
        <v>12</v>
      </c>
      <c r="B910" s="32">
        <v>46017</v>
      </c>
      <c r="C910" s="36" t="s">
        <v>980</v>
      </c>
      <c r="D910" s="43">
        <v>1</v>
      </c>
      <c r="E910" s="48" t="s">
        <v>728</v>
      </c>
      <c r="F910" s="48" t="s">
        <v>555</v>
      </c>
      <c r="G910" s="49">
        <v>300</v>
      </c>
      <c r="H910" s="10">
        <v>300</v>
      </c>
      <c r="I910" s="52">
        <v>400</v>
      </c>
      <c r="J910" s="10">
        <v>400</v>
      </c>
      <c r="K910" s="95" t="s">
        <v>346</v>
      </c>
      <c r="L910" s="57" t="s">
        <v>436</v>
      </c>
      <c r="M910" s="50">
        <v>100</v>
      </c>
      <c r="N910" s="64"/>
      <c r="O910" s="103"/>
      <c r="P910" s="107" t="s">
        <v>20</v>
      </c>
    </row>
    <row r="911" spans="1:16" ht="15" customHeight="1">
      <c r="A911" s="28">
        <v>12</v>
      </c>
      <c r="B911" s="32">
        <v>46018</v>
      </c>
      <c r="C911" s="36" t="s">
        <v>777</v>
      </c>
      <c r="D911" s="43">
        <v>1</v>
      </c>
      <c r="E911" s="48" t="s">
        <v>916</v>
      </c>
      <c r="F911" s="48" t="s">
        <v>555</v>
      </c>
      <c r="G911" s="49">
        <v>145</v>
      </c>
      <c r="H911" s="10">
        <v>145</v>
      </c>
      <c r="I911" s="52">
        <v>300</v>
      </c>
      <c r="J911" s="10">
        <v>300</v>
      </c>
      <c r="K911" s="95" t="s">
        <v>346</v>
      </c>
      <c r="L911" s="57" t="s">
        <v>436</v>
      </c>
      <c r="M911" s="50">
        <v>155</v>
      </c>
      <c r="N911" s="64"/>
      <c r="O911" s="103"/>
      <c r="P911" s="107" t="s">
        <v>20</v>
      </c>
    </row>
    <row r="912" spans="1:16" ht="15" customHeight="1">
      <c r="A912" s="28">
        <v>12</v>
      </c>
      <c r="B912" s="32">
        <v>46018</v>
      </c>
      <c r="C912" s="36" t="s">
        <v>837</v>
      </c>
      <c r="D912" s="43">
        <v>1</v>
      </c>
      <c r="E912" s="48" t="s">
        <v>981</v>
      </c>
      <c r="F912" s="48" t="s">
        <v>22</v>
      </c>
      <c r="G912" s="49">
        <v>7</v>
      </c>
      <c r="H912" s="10">
        <v>7</v>
      </c>
      <c r="I912" s="52">
        <v>37.24</v>
      </c>
      <c r="J912" s="10">
        <v>37.24</v>
      </c>
      <c r="K912" s="95" t="s">
        <v>346</v>
      </c>
      <c r="L912" s="57" t="s">
        <v>436</v>
      </c>
      <c r="M912" s="50">
        <v>30.240000000000002</v>
      </c>
      <c r="N912" s="64"/>
      <c r="O912" s="103"/>
      <c r="P912" s="107" t="s">
        <v>20</v>
      </c>
    </row>
    <row r="913" spans="1:16" ht="15" customHeight="1">
      <c r="A913" s="28">
        <v>12</v>
      </c>
      <c r="B913" s="32">
        <v>46018</v>
      </c>
      <c r="C913" s="36" t="s">
        <v>837</v>
      </c>
      <c r="D913" s="43">
        <v>1</v>
      </c>
      <c r="E913" s="48" t="s">
        <v>982</v>
      </c>
      <c r="F913" s="48" t="s">
        <v>22</v>
      </c>
      <c r="G913" s="49">
        <v>7</v>
      </c>
      <c r="H913" s="10">
        <v>7</v>
      </c>
      <c r="I913" s="52">
        <v>37.24</v>
      </c>
      <c r="J913" s="10">
        <v>37.24</v>
      </c>
      <c r="K913" s="95" t="s">
        <v>346</v>
      </c>
      <c r="L913" s="57" t="s">
        <v>436</v>
      </c>
      <c r="M913" s="50">
        <v>30.240000000000002</v>
      </c>
      <c r="N913" s="64"/>
      <c r="O913" s="103"/>
      <c r="P913" s="107" t="s">
        <v>20</v>
      </c>
    </row>
    <row r="914" spans="1:16" ht="15" customHeight="1">
      <c r="A914" s="28">
        <v>12</v>
      </c>
      <c r="B914" s="32">
        <v>46018</v>
      </c>
      <c r="C914" s="36" t="s">
        <v>983</v>
      </c>
      <c r="D914" s="43">
        <v>1</v>
      </c>
      <c r="E914" s="48" t="s">
        <v>984</v>
      </c>
      <c r="F914" s="48" t="s">
        <v>22</v>
      </c>
      <c r="G914" s="49">
        <v>10</v>
      </c>
      <c r="H914" s="10">
        <v>10</v>
      </c>
      <c r="I914" s="52">
        <v>18.5</v>
      </c>
      <c r="J914" s="10">
        <v>18.5</v>
      </c>
      <c r="K914" s="95" t="s">
        <v>346</v>
      </c>
      <c r="L914" s="57" t="s">
        <v>436</v>
      </c>
      <c r="M914" s="50">
        <v>8.5</v>
      </c>
      <c r="N914" s="64"/>
      <c r="O914" s="103"/>
      <c r="P914" s="107" t="s">
        <v>20</v>
      </c>
    </row>
    <row r="915" spans="1:16" ht="15" customHeight="1">
      <c r="A915" s="28">
        <v>12</v>
      </c>
      <c r="B915" s="32">
        <v>46020</v>
      </c>
      <c r="C915" s="36" t="s">
        <v>985</v>
      </c>
      <c r="D915" s="43">
        <v>1</v>
      </c>
      <c r="E915" s="48" t="s">
        <v>26</v>
      </c>
      <c r="F915" s="48" t="s">
        <v>555</v>
      </c>
      <c r="G915" s="49">
        <v>7.5</v>
      </c>
      <c r="H915" s="10">
        <v>7.5</v>
      </c>
      <c r="I915" s="52">
        <v>15</v>
      </c>
      <c r="J915" s="10">
        <v>15</v>
      </c>
      <c r="K915" s="95" t="s">
        <v>346</v>
      </c>
      <c r="L915" s="57" t="s">
        <v>436</v>
      </c>
      <c r="M915" s="50">
        <v>7.5</v>
      </c>
      <c r="N915" s="64"/>
      <c r="O915" s="103"/>
      <c r="P915" s="107" t="s">
        <v>20</v>
      </c>
    </row>
    <row r="916" spans="1:16" ht="15" customHeight="1">
      <c r="A916" s="28">
        <v>12</v>
      </c>
      <c r="B916" s="32">
        <v>46020</v>
      </c>
      <c r="C916" s="36" t="s">
        <v>986</v>
      </c>
      <c r="D916" s="43">
        <v>3</v>
      </c>
      <c r="E916" s="48" t="s">
        <v>298</v>
      </c>
      <c r="F916" s="48" t="s">
        <v>555</v>
      </c>
      <c r="G916" s="49">
        <v>5</v>
      </c>
      <c r="H916" s="10">
        <v>15</v>
      </c>
      <c r="I916" s="52">
        <v>10</v>
      </c>
      <c r="J916" s="10">
        <v>30</v>
      </c>
      <c r="K916" s="95" t="s">
        <v>346</v>
      </c>
      <c r="L916" s="57" t="s">
        <v>436</v>
      </c>
      <c r="M916" s="50">
        <v>15</v>
      </c>
      <c r="N916" s="64"/>
      <c r="O916" s="103"/>
      <c r="P916" s="107" t="s">
        <v>20</v>
      </c>
    </row>
    <row r="917" spans="1:16" ht="15" customHeight="1">
      <c r="A917" s="28">
        <v>12</v>
      </c>
      <c r="B917" s="32">
        <v>46020</v>
      </c>
      <c r="C917" s="36" t="s">
        <v>865</v>
      </c>
      <c r="D917" s="43">
        <v>2</v>
      </c>
      <c r="E917" s="48" t="s">
        <v>26</v>
      </c>
      <c r="F917" s="48" t="s">
        <v>555</v>
      </c>
      <c r="G917" s="49">
        <v>1</v>
      </c>
      <c r="H917" s="10">
        <v>2</v>
      </c>
      <c r="I917" s="52">
        <v>5</v>
      </c>
      <c r="J917" s="10">
        <v>10</v>
      </c>
      <c r="K917" s="95" t="s">
        <v>346</v>
      </c>
      <c r="L917" s="57" t="s">
        <v>436</v>
      </c>
      <c r="M917" s="50">
        <v>8</v>
      </c>
      <c r="N917" s="64"/>
      <c r="O917" s="103"/>
      <c r="P917" s="107" t="s">
        <v>20</v>
      </c>
    </row>
    <row r="918" spans="1:16" ht="15" customHeight="1">
      <c r="A918" s="28">
        <v>12</v>
      </c>
      <c r="B918" s="32">
        <v>46021</v>
      </c>
      <c r="C918" s="36" t="s">
        <v>987</v>
      </c>
      <c r="D918" s="43">
        <v>2</v>
      </c>
      <c r="E918" s="48" t="s">
        <v>26</v>
      </c>
      <c r="F918" s="48" t="s">
        <v>555</v>
      </c>
      <c r="G918" s="49">
        <v>5</v>
      </c>
      <c r="H918" s="10">
        <v>10</v>
      </c>
      <c r="I918" s="52">
        <v>10</v>
      </c>
      <c r="J918" s="10">
        <v>20</v>
      </c>
      <c r="K918" s="95" t="s">
        <v>346</v>
      </c>
      <c r="L918" s="57" t="s">
        <v>436</v>
      </c>
      <c r="M918" s="50">
        <v>10</v>
      </c>
      <c r="N918" s="64"/>
      <c r="O918" s="103"/>
      <c r="P918" s="52" t="s">
        <v>20</v>
      </c>
    </row>
    <row r="919" spans="1:16" ht="15" customHeight="1">
      <c r="A919" s="28">
        <v>12</v>
      </c>
      <c r="B919" s="32">
        <v>46022</v>
      </c>
      <c r="C919" s="36" t="s">
        <v>987</v>
      </c>
      <c r="D919" s="43">
        <v>3</v>
      </c>
      <c r="E919" s="48" t="s">
        <v>773</v>
      </c>
      <c r="F919" s="48" t="s">
        <v>555</v>
      </c>
      <c r="G919" s="49">
        <v>5</v>
      </c>
      <c r="H919" s="10">
        <v>15</v>
      </c>
      <c r="I919" s="52">
        <v>10</v>
      </c>
      <c r="J919" s="10">
        <v>30</v>
      </c>
      <c r="K919" s="95" t="s">
        <v>346</v>
      </c>
      <c r="L919" s="57" t="s">
        <v>436</v>
      </c>
      <c r="M919" s="50">
        <v>15</v>
      </c>
      <c r="N919" s="64"/>
      <c r="O919" s="103"/>
      <c r="P919" s="52" t="s">
        <v>20</v>
      </c>
    </row>
    <row r="920" spans="1:16" ht="15" customHeight="1">
      <c r="A920" s="28">
        <v>12</v>
      </c>
      <c r="B920" s="32">
        <v>46022</v>
      </c>
      <c r="C920" s="36" t="s">
        <v>988</v>
      </c>
      <c r="D920" s="43">
        <v>1</v>
      </c>
      <c r="E920" s="48" t="s">
        <v>989</v>
      </c>
      <c r="F920" s="48" t="s">
        <v>832</v>
      </c>
      <c r="G920" s="49">
        <v>280</v>
      </c>
      <c r="H920" s="10">
        <v>280</v>
      </c>
      <c r="I920" s="52">
        <v>378.4</v>
      </c>
      <c r="J920" s="10">
        <v>378.4</v>
      </c>
      <c r="K920" s="95" t="s">
        <v>346</v>
      </c>
      <c r="L920" s="57" t="s">
        <v>436</v>
      </c>
      <c r="M920" s="50">
        <v>98.399999999999977</v>
      </c>
      <c r="N920" s="64"/>
      <c r="O920" s="103"/>
      <c r="P920" s="52" t="s">
        <v>20</v>
      </c>
    </row>
    <row r="921" spans="1:16" ht="15" customHeight="1">
      <c r="A921" s="28"/>
      <c r="B921" s="32"/>
      <c r="C921" s="36"/>
      <c r="D921" s="43"/>
      <c r="E921" s="48"/>
      <c r="F921" s="48"/>
      <c r="G921" s="49"/>
      <c r="H921" s="10"/>
      <c r="I921" s="52"/>
      <c r="J921" s="10"/>
      <c r="K921" s="95"/>
      <c r="L921" s="57"/>
      <c r="M921" s="50"/>
      <c r="N921" s="64"/>
      <c r="O921" s="103"/>
      <c r="P921" s="52"/>
    </row>
    <row r="922" spans="1:16" ht="15" customHeight="1">
      <c r="A922" s="28"/>
      <c r="B922" s="32"/>
      <c r="C922" s="36"/>
      <c r="D922" s="43"/>
      <c r="E922" s="48"/>
      <c r="F922" s="48"/>
      <c r="G922" s="49"/>
      <c r="H922" s="10"/>
      <c r="I922" s="52"/>
      <c r="J922" s="10"/>
      <c r="K922" s="95"/>
      <c r="L922" s="57"/>
      <c r="M922" s="50"/>
      <c r="N922" s="64"/>
      <c r="O922" s="103"/>
      <c r="P922" s="52"/>
    </row>
  </sheetData>
  <conditionalFormatting sqref="F1:F836 F840:F848 F854:F1048576">
    <cfRule type="expression" dxfId="67" priority="59">
      <formula>F1="Luiz"</formula>
    </cfRule>
    <cfRule type="expression" dxfId="66" priority="60">
      <formula>F1="Higor"</formula>
    </cfRule>
    <cfRule type="expression" dxfId="65" priority="61">
      <formula>F1="Rafael"</formula>
    </cfRule>
    <cfRule type="expression" dxfId="64" priority="62">
      <formula>F1="Fisica"</formula>
    </cfRule>
  </conditionalFormatting>
  <conditionalFormatting sqref="F2:F836 C2:C922 P2:P922 F840:F848 F854:F922">
    <cfRule type="expression" dxfId="63" priority="58">
      <formula>P2="Transferido"</formula>
    </cfRule>
  </conditionalFormatting>
  <conditionalFormatting sqref="F2:F836 F840:F848 F854:F922 C2:C922 P2:P922">
    <cfRule type="expression" dxfId="62" priority="57">
      <formula>P2="Aguardando"</formula>
    </cfRule>
  </conditionalFormatting>
  <conditionalFormatting sqref="F2:F922">
    <cfRule type="expression" dxfId="61" priority="49">
      <formula>F2="TikTok"</formula>
    </cfRule>
    <cfRule type="expression" dxfId="60" priority="50">
      <formula>F2="Shopee"</formula>
    </cfRule>
  </conditionalFormatting>
  <conditionalFormatting sqref="M2:M922">
    <cfRule type="cellIs" dxfId="59" priority="7" operator="lessThan">
      <formula>0</formula>
    </cfRule>
  </conditionalFormatting>
  <conditionalFormatting sqref="P2:P8655">
    <cfRule type="expression" dxfId="58" priority="63">
      <formula>P2="Aguardando"</formula>
    </cfRule>
    <cfRule type="expression" dxfId="57" priority="64">
      <formula>P2="Transferido"</formula>
    </cfRule>
  </conditionalFormatting>
  <conditionalFormatting sqref="AA74:AA80">
    <cfRule type="containsText" dxfId="56" priority="75" operator="containsText" text="Chip normal">
      <formula>NOT(ISERROR(SEARCH("Chip normal",AA74)))</formula>
    </cfRule>
    <cfRule type="containsText" dxfId="55" priority="76" operator="containsText" text="chip recarregado">
      <formula>NOT(ISERROR(SEARCH("chip recarregado",AA74)))</formula>
    </cfRule>
    <cfRule type="expression" dxfId="54" priority="77">
      <formula>AN74="Ainda não"</formula>
    </cfRule>
    <cfRule type="expression" dxfId="53" priority="78">
      <formula>AN74="Transferido"</formula>
    </cfRule>
  </conditionalFormatting>
  <pageMargins left="0.51" right="0.51" top="0.79" bottom="0.79" header="0" footer="0"/>
  <pageSetup paperSize="9" orientation="portrait"/>
  <headerFooter>
    <oddHeader>&amp;L&amp;C&amp;R</oddHeader>
    <oddFooter>&amp;L&amp;C&amp;R</oddFooter>
  </headerFooter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0148-7968-26D8-A154-7AC88B16B743}">
  <dimension ref="A1:X1111"/>
  <sheetViews>
    <sheetView showGridLines="0" topLeftCell="A416" zoomScale="115" zoomScaleNormal="115" workbookViewId="0">
      <selection activeCell="N443" sqref="N443"/>
    </sheetView>
  </sheetViews>
  <sheetFormatPr defaultColWidth="14.42578125" defaultRowHeight="15" customHeight="1"/>
  <cols>
    <col min="1" max="1" width="4.85546875" customWidth="1"/>
    <col min="2" max="2" width="11.7109375" customWidth="1"/>
    <col min="3" max="3" width="18.85546875" customWidth="1"/>
    <col min="4" max="4" width="8.85546875" customWidth="1"/>
    <col min="5" max="5" width="23.7109375" customWidth="1"/>
    <col min="6" max="6" width="16.140625" customWidth="1"/>
    <col min="7" max="7" width="12.5703125" customWidth="1"/>
    <col min="8" max="8" width="12.140625" customWidth="1"/>
    <col min="9" max="9" width="13.28515625" customWidth="1"/>
    <col min="10" max="10" width="15" hidden="1" customWidth="1"/>
    <col min="11" max="11" width="12.42578125" customWidth="1"/>
    <col min="12" max="12" width="12.42578125" bestFit="1" customWidth="1"/>
    <col min="13" max="13" width="14.7109375" bestFit="1" customWidth="1"/>
    <col min="14" max="14" width="13.85546875" customWidth="1"/>
    <col min="19" max="19" width="14.42578125" style="268"/>
    <col min="20" max="20" width="9.140625" bestFit="1" customWidth="1"/>
    <col min="21" max="24" width="14.42578125" style="268"/>
  </cols>
  <sheetData>
    <row r="1" spans="1:24" ht="42.7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5" t="s">
        <v>7</v>
      </c>
      <c r="I1" s="5" t="s">
        <v>8</v>
      </c>
      <c r="J1" s="5" t="s">
        <v>2097</v>
      </c>
      <c r="K1" s="6" t="s">
        <v>9</v>
      </c>
      <c r="L1" s="5" t="s">
        <v>12</v>
      </c>
      <c r="M1" s="108" t="s">
        <v>990</v>
      </c>
      <c r="N1" s="9" t="s">
        <v>15</v>
      </c>
      <c r="O1" t="s">
        <v>991</v>
      </c>
      <c r="S1" s="268" t="s">
        <v>2335</v>
      </c>
      <c r="T1" s="269" t="s">
        <v>2336</v>
      </c>
      <c r="U1" s="268" t="s">
        <v>2332</v>
      </c>
      <c r="V1" s="268" t="s">
        <v>2337</v>
      </c>
      <c r="W1" s="268" t="s">
        <v>2333</v>
      </c>
      <c r="X1" s="268" t="s">
        <v>2334</v>
      </c>
    </row>
    <row r="2" spans="1:24" ht="15.75" customHeight="1">
      <c r="A2" s="28">
        <f>IF(Table_246[[#This Row],[Data]]="","",MONTH(Table_246[[#This Row],[Data]]))</f>
        <v>1</v>
      </c>
      <c r="B2" s="32">
        <v>46024</v>
      </c>
      <c r="C2" s="109" t="s">
        <v>992</v>
      </c>
      <c r="D2" s="43">
        <v>1</v>
      </c>
      <c r="E2" s="48" t="s">
        <v>747</v>
      </c>
      <c r="F2" s="48" t="s">
        <v>555</v>
      </c>
      <c r="G2" s="49">
        <v>12</v>
      </c>
      <c r="H2" s="10">
        <f>Table_246[[#This Row],[QT]]*Table_246[[#This Row],[Custo 
Un]]</f>
        <v>12</v>
      </c>
      <c r="I2" s="52">
        <v>30</v>
      </c>
      <c r="J2" s="263">
        <f t="shared" ref="J2:J65" si="0">I2*D2</f>
        <v>30</v>
      </c>
      <c r="K2" s="10">
        <f t="shared" ref="K2:K65" si="1">I2*D2</f>
        <v>30</v>
      </c>
      <c r="L2" s="50">
        <f>Table_246[[#This Row],[Valor da 
venda]]-Table_246[[#This Row],[Valor gasto]]</f>
        <v>18</v>
      </c>
      <c r="M2" s="111">
        <f t="shared" ref="M2:M65" si="2">IFERROR(L2/K2, 0)</f>
        <v>0.6</v>
      </c>
      <c r="N2" s="52" t="s">
        <v>20</v>
      </c>
      <c r="O2" s="113" t="str">
        <f>IF([1]!Table_246[[#This Row],[Coluna2]]&gt;0.5, "🔥 Excelente", IF([1]!Table_246[[#This Row],[Coluna2]]&gt;0.4, "👍 Bom", "⚠️ Baixo"))</f>
        <v>🔥 Excelente</v>
      </c>
      <c r="R2">
        <v>600</v>
      </c>
      <c r="S2" s="268">
        <v>725</v>
      </c>
      <c r="T2" s="270">
        <v>0.25</v>
      </c>
      <c r="U2" s="268">
        <f>S2-(S2*T2)-4</f>
        <v>539.75</v>
      </c>
      <c r="V2" s="268">
        <f>S2*25%</f>
        <v>181.25</v>
      </c>
      <c r="W2" s="268">
        <v>490</v>
      </c>
      <c r="X2" s="268">
        <f>U2-W2</f>
        <v>49.75</v>
      </c>
    </row>
    <row r="3" spans="1:24" ht="15.75" customHeight="1">
      <c r="A3" s="28">
        <f>IF(Table_246[[#This Row],[Data]]="","",MONTH(Table_246[[#This Row],[Data]]))</f>
        <v>1</v>
      </c>
      <c r="B3" s="32">
        <v>46027</v>
      </c>
      <c r="C3" s="109" t="s">
        <v>97</v>
      </c>
      <c r="D3" s="43">
        <v>1</v>
      </c>
      <c r="E3" s="48" t="s">
        <v>994</v>
      </c>
      <c r="F3" s="48" t="s">
        <v>555</v>
      </c>
      <c r="G3" s="49">
        <f>IFERROR(VLOOKUP(C3,PROD!$A$2:$E$1204,5,0),"0")</f>
        <v>3</v>
      </c>
      <c r="H3" s="10">
        <f>Table_246[[#This Row],[QT]]*Table_246[[#This Row],[Custo 
Un]]</f>
        <v>3</v>
      </c>
      <c r="I3" s="52">
        <v>15</v>
      </c>
      <c r="J3" s="263">
        <f t="shared" si="0"/>
        <v>15</v>
      </c>
      <c r="K3" s="10">
        <f t="shared" si="1"/>
        <v>15</v>
      </c>
      <c r="L3" s="50">
        <f>Table_246[[#This Row],[Valor da 
venda]]-Table_246[[#This Row],[Valor gasto]]</f>
        <v>12</v>
      </c>
      <c r="M3" s="111">
        <f t="shared" si="2"/>
        <v>0.8</v>
      </c>
      <c r="N3" s="52" t="s">
        <v>20</v>
      </c>
      <c r="O3" s="114" t="str">
        <f>IF([1]!Table_246[[#This Row],[Coluna2]]&gt;0.5, "🔥 Excelente", IF([1]!Table_246[[#This Row],[Coluna2]]&gt;0.4, "👍 Bom", "⚠️ Baixo"))</f>
        <v>🔥 Excelente</v>
      </c>
      <c r="R3">
        <v>800</v>
      </c>
      <c r="S3" s="268">
        <v>830</v>
      </c>
      <c r="T3" s="270">
        <v>0.25</v>
      </c>
      <c r="U3" s="268">
        <f t="shared" ref="U3:U14" si="3">S3-(S3*T3)-4</f>
        <v>618.5</v>
      </c>
      <c r="V3" s="268">
        <f t="shared" ref="V3:V14" si="4">S3*25%</f>
        <v>207.5</v>
      </c>
      <c r="W3" s="268">
        <v>550</v>
      </c>
      <c r="X3" s="268">
        <f t="shared" ref="X3:X14" si="5">U3-W3</f>
        <v>68.5</v>
      </c>
    </row>
    <row r="4" spans="1:24" ht="15.75" customHeight="1">
      <c r="A4" s="28">
        <f>IF(Table_246[[#This Row],[Data]]="","",MONTH(Table_246[[#This Row],[Data]]))</f>
        <v>1</v>
      </c>
      <c r="B4" s="32">
        <v>46027</v>
      </c>
      <c r="C4" s="109" t="s">
        <v>995</v>
      </c>
      <c r="D4" s="43">
        <v>2</v>
      </c>
      <c r="E4" s="48" t="s">
        <v>996</v>
      </c>
      <c r="F4" s="48" t="s">
        <v>22</v>
      </c>
      <c r="G4" s="49">
        <v>7.5</v>
      </c>
      <c r="H4" s="10">
        <f>Table_246[[#This Row],[QT]]*Table_246[[#This Row],[Custo 
Un]]</f>
        <v>15</v>
      </c>
      <c r="I4" s="52">
        <v>28.1</v>
      </c>
      <c r="J4" s="263">
        <f t="shared" si="0"/>
        <v>56.2</v>
      </c>
      <c r="K4" s="10">
        <f t="shared" si="1"/>
        <v>56.2</v>
      </c>
      <c r="L4" s="50">
        <f>Table_246[[#This Row],[Valor da 
venda]]-Table_246[[#This Row],[Valor gasto]]</f>
        <v>41.2</v>
      </c>
      <c r="M4" s="111">
        <f t="shared" si="2"/>
        <v>0.73309608540925264</v>
      </c>
      <c r="N4" s="52" t="s">
        <v>20</v>
      </c>
      <c r="O4" s="114" t="str">
        <f>IF([1]!Table_246[[#This Row],[Coluna2]]&gt;0.5, "🔥 Excelente", IF([1]!Table_246[[#This Row],[Coluna2]]&gt;0.4, "👍 Bom", "⚠️ Baixo"))</f>
        <v>🔥 Excelente</v>
      </c>
      <c r="R4">
        <v>900</v>
      </c>
      <c r="S4" s="268">
        <v>800</v>
      </c>
      <c r="T4" s="270">
        <v>0.25</v>
      </c>
      <c r="U4" s="268">
        <f t="shared" si="3"/>
        <v>596</v>
      </c>
      <c r="V4" s="268">
        <f t="shared" si="4"/>
        <v>200</v>
      </c>
      <c r="W4" s="268">
        <v>510</v>
      </c>
      <c r="X4" s="268">
        <f t="shared" si="5"/>
        <v>86</v>
      </c>
    </row>
    <row r="5" spans="1:24" ht="15.75" customHeight="1">
      <c r="A5" s="28">
        <f>IF(Table_246[[#This Row],[Data]]="","",MONTH(Table_246[[#This Row],[Data]]))</f>
        <v>1</v>
      </c>
      <c r="B5" s="32">
        <v>46027</v>
      </c>
      <c r="C5" s="109" t="s">
        <v>997</v>
      </c>
      <c r="D5" s="43">
        <v>1</v>
      </c>
      <c r="E5" s="48" t="s">
        <v>998</v>
      </c>
      <c r="F5" s="48" t="s">
        <v>22</v>
      </c>
      <c r="G5" s="49">
        <v>15</v>
      </c>
      <c r="H5" s="10">
        <f>Table_246[[#This Row],[QT]]*Table_246[[#This Row],[Custo 
Un]]</f>
        <v>15</v>
      </c>
      <c r="I5" s="52">
        <v>41.6</v>
      </c>
      <c r="J5" s="263">
        <f t="shared" si="0"/>
        <v>41.6</v>
      </c>
      <c r="K5" s="10">
        <f t="shared" si="1"/>
        <v>41.6</v>
      </c>
      <c r="L5" s="50">
        <f>Table_246[[#This Row],[Valor da 
venda]]-Table_246[[#This Row],[Valor gasto]]</f>
        <v>26.6</v>
      </c>
      <c r="M5" s="111">
        <f t="shared" si="2"/>
        <v>0.63942307692307698</v>
      </c>
      <c r="N5" s="52" t="s">
        <v>20</v>
      </c>
      <c r="O5" s="114" t="str">
        <f>IF([1]!Table_246[[#This Row],[Coluna2]]&gt;0.5, "🔥 Excelente", IF([1]!Table_246[[#This Row],[Coluna2]]&gt;0.4, "👍 Bom", "⚠️ Baixo"))</f>
        <v>🔥 Excelente</v>
      </c>
      <c r="R5">
        <v>1000</v>
      </c>
      <c r="S5" s="268">
        <v>1000</v>
      </c>
      <c r="T5" s="270">
        <v>0.25</v>
      </c>
      <c r="U5" s="268">
        <f t="shared" si="3"/>
        <v>746</v>
      </c>
      <c r="V5" s="268">
        <f>S5*25%</f>
        <v>250</v>
      </c>
      <c r="W5" s="268">
        <v>700</v>
      </c>
      <c r="X5" s="268">
        <f t="shared" si="5"/>
        <v>46</v>
      </c>
    </row>
    <row r="6" spans="1:24" ht="15.75" customHeight="1">
      <c r="A6" s="28">
        <f>IF(Table_246[[#This Row],[Data]]="","",MONTH(Table_246[[#This Row],[Data]]))</f>
        <v>1</v>
      </c>
      <c r="B6" s="32">
        <v>46027</v>
      </c>
      <c r="C6" s="109" t="s">
        <v>999</v>
      </c>
      <c r="D6" s="43">
        <v>1</v>
      </c>
      <c r="E6" s="48" t="s">
        <v>1000</v>
      </c>
      <c r="F6" s="48" t="s">
        <v>22</v>
      </c>
      <c r="G6" s="49">
        <v>12</v>
      </c>
      <c r="H6" s="10">
        <f>Table_246[[#This Row],[QT]]*Table_246[[#This Row],[Custo 
Un]]</f>
        <v>12</v>
      </c>
      <c r="I6" s="52">
        <v>14.99</v>
      </c>
      <c r="J6" s="263">
        <f t="shared" si="0"/>
        <v>14.99</v>
      </c>
      <c r="K6" s="10">
        <f t="shared" si="1"/>
        <v>14.99</v>
      </c>
      <c r="L6" s="50">
        <f>Table_246[[#This Row],[Valor da 
venda]]-Table_246[[#This Row],[Valor gasto]]</f>
        <v>2.99</v>
      </c>
      <c r="M6" s="111">
        <f t="shared" si="2"/>
        <v>0.19946631087391595</v>
      </c>
      <c r="N6" s="52" t="s">
        <v>20</v>
      </c>
      <c r="O6" s="114" t="str">
        <f>IF([1]!Table_246[[#This Row],[Coluna2]]&gt;0.5, "🔥 Excelente", IF([1]!Table_246[[#This Row],[Coluna2]]&gt;0.4, "👍 Bom", "⚠️ Baixo"))</f>
        <v>⚠️ Baixo</v>
      </c>
      <c r="S6" s="268">
        <v>36</v>
      </c>
      <c r="T6" s="270">
        <v>0.25</v>
      </c>
      <c r="U6" s="268">
        <f t="shared" si="3"/>
        <v>23</v>
      </c>
      <c r="V6" s="268">
        <f t="shared" si="4"/>
        <v>9</v>
      </c>
      <c r="X6" s="268">
        <f t="shared" si="5"/>
        <v>23</v>
      </c>
    </row>
    <row r="7" spans="1:24" ht="15.75" customHeight="1">
      <c r="A7" s="28">
        <f>IF(Table_246[[#This Row],[Data]]="","",MONTH(Table_246[[#This Row],[Data]]))</f>
        <v>1</v>
      </c>
      <c r="B7" s="32">
        <v>46027</v>
      </c>
      <c r="C7" s="109" t="s">
        <v>999</v>
      </c>
      <c r="D7" s="43">
        <v>1</v>
      </c>
      <c r="E7" s="48" t="s">
        <v>1001</v>
      </c>
      <c r="F7" s="48" t="s">
        <v>22</v>
      </c>
      <c r="G7" s="49">
        <v>12</v>
      </c>
      <c r="H7" s="10">
        <f>Table_246[[#This Row],[QT]]*Table_246[[#This Row],[Custo 
Un]]</f>
        <v>12</v>
      </c>
      <c r="I7" s="52">
        <v>14.99</v>
      </c>
      <c r="J7" s="263">
        <f t="shared" si="0"/>
        <v>14.99</v>
      </c>
      <c r="K7" s="10">
        <f t="shared" si="1"/>
        <v>14.99</v>
      </c>
      <c r="L7" s="50">
        <f>Table_246[[#This Row],[Valor da 
venda]]-Table_246[[#This Row],[Valor gasto]]</f>
        <v>2.99</v>
      </c>
      <c r="M7" s="111">
        <f t="shared" si="2"/>
        <v>0.19946631087391595</v>
      </c>
      <c r="N7" s="52" t="s">
        <v>20</v>
      </c>
      <c r="O7" s="114" t="str">
        <f>IF([1]!Table_246[[#This Row],[Coluna2]]&gt;0.5, "🔥 Excelente", IF([1]!Table_246[[#This Row],[Coluna2]]&gt;0.4, "👍 Bom", "⚠️ Baixo"))</f>
        <v>⚠️ Baixo</v>
      </c>
      <c r="R7">
        <v>520</v>
      </c>
      <c r="S7" s="268">
        <v>520</v>
      </c>
      <c r="T7" s="270">
        <v>0.23</v>
      </c>
      <c r="U7" s="268">
        <f t="shared" si="3"/>
        <v>396.4</v>
      </c>
      <c r="V7" s="268">
        <f t="shared" si="4"/>
        <v>130</v>
      </c>
      <c r="W7" s="268">
        <v>350</v>
      </c>
      <c r="X7" s="268">
        <f t="shared" si="5"/>
        <v>46.399999999999977</v>
      </c>
    </row>
    <row r="8" spans="1:24" ht="15.75" customHeight="1">
      <c r="A8" s="28">
        <f>IF(Table_246[[#This Row],[Data]]="","",MONTH(Table_246[[#This Row],[Data]]))</f>
        <v>1</v>
      </c>
      <c r="B8" s="32">
        <v>46027</v>
      </c>
      <c r="C8" s="109" t="s">
        <v>1002</v>
      </c>
      <c r="D8" s="43">
        <v>1</v>
      </c>
      <c r="E8" s="48" t="s">
        <v>1003</v>
      </c>
      <c r="F8" s="48" t="s">
        <v>22</v>
      </c>
      <c r="G8" s="49">
        <v>19</v>
      </c>
      <c r="H8" s="10">
        <f>Table_246[[#This Row],[QT]]*Table_246[[#This Row],[Custo 
Un]]</f>
        <v>19</v>
      </c>
      <c r="I8" s="52">
        <v>34.75</v>
      </c>
      <c r="J8" s="263">
        <f t="shared" si="0"/>
        <v>34.75</v>
      </c>
      <c r="K8" s="10">
        <f t="shared" si="1"/>
        <v>34.75</v>
      </c>
      <c r="L8" s="50">
        <f>Table_246[[#This Row],[Valor da 
venda]]-Table_246[[#This Row],[Valor gasto]]</f>
        <v>15.75</v>
      </c>
      <c r="M8" s="111">
        <f t="shared" si="2"/>
        <v>0.45323741007194246</v>
      </c>
      <c r="N8" s="52" t="s">
        <v>20</v>
      </c>
      <c r="O8" s="114" t="str">
        <f>IF([1]!Table_246[[#This Row],[Coluna2]]&gt;0.5, "🔥 Excelente", IF([1]!Table_246[[#This Row],[Coluna2]]&gt;0.4, "👍 Bom", "⚠️ Baixo"))</f>
        <v>👍 Bom</v>
      </c>
      <c r="S8" s="268">
        <v>820</v>
      </c>
      <c r="T8" s="270">
        <v>0.21</v>
      </c>
      <c r="U8" s="268">
        <f t="shared" si="3"/>
        <v>643.79999999999995</v>
      </c>
      <c r="V8" s="268">
        <f t="shared" si="4"/>
        <v>205</v>
      </c>
      <c r="W8" s="268">
        <v>550</v>
      </c>
      <c r="X8" s="268">
        <f t="shared" si="5"/>
        <v>93.799999999999955</v>
      </c>
    </row>
    <row r="9" spans="1:24" ht="15.75" customHeight="1">
      <c r="A9" s="28">
        <f>IF(Table_246[[#This Row],[Data]]="","",MONTH(Table_246[[#This Row],[Data]]))</f>
        <v>1</v>
      </c>
      <c r="B9" s="32">
        <v>46027</v>
      </c>
      <c r="C9" s="109" t="s">
        <v>97</v>
      </c>
      <c r="D9" s="43">
        <v>1</v>
      </c>
      <c r="E9" s="48" t="s">
        <v>994</v>
      </c>
      <c r="F9" s="48" t="s">
        <v>555</v>
      </c>
      <c r="G9" s="49">
        <v>6</v>
      </c>
      <c r="H9" s="10">
        <f>Table_246[[#This Row],[QT]]*Table_246[[#This Row],[Custo 
Un]]</f>
        <v>6</v>
      </c>
      <c r="I9" s="52">
        <v>15</v>
      </c>
      <c r="J9" s="263">
        <f t="shared" si="0"/>
        <v>15</v>
      </c>
      <c r="K9" s="10">
        <f t="shared" si="1"/>
        <v>15</v>
      </c>
      <c r="L9" s="50">
        <f>Table_246[[#This Row],[Valor da 
venda]]-Table_246[[#This Row],[Valor gasto]]</f>
        <v>9</v>
      </c>
      <c r="M9" s="111">
        <f t="shared" si="2"/>
        <v>0.6</v>
      </c>
      <c r="N9" s="52" t="s">
        <v>20</v>
      </c>
      <c r="O9" s="114" t="str">
        <f>IF([1]!Table_246[[#This Row],[Coluna2]]&gt;0.5, "🔥 Excelente", IF([1]!Table_246[[#This Row],[Coluna2]]&gt;0.4, "👍 Bom", "⚠️ Baixo"))</f>
        <v>🔥 Excelente</v>
      </c>
      <c r="R9" t="s">
        <v>2339</v>
      </c>
      <c r="S9" s="268">
        <v>800</v>
      </c>
      <c r="T9" s="270">
        <v>0.23</v>
      </c>
      <c r="U9" s="268">
        <f t="shared" si="3"/>
        <v>612</v>
      </c>
      <c r="V9" s="268">
        <f t="shared" si="4"/>
        <v>200</v>
      </c>
      <c r="W9" s="268">
        <v>570</v>
      </c>
      <c r="X9" s="268">
        <f t="shared" si="5"/>
        <v>42</v>
      </c>
    </row>
    <row r="10" spans="1:24" ht="15.75" customHeight="1">
      <c r="A10" s="28">
        <f>IF(Table_246[[#This Row],[Data]]="","",MONTH(Table_246[[#This Row],[Data]]))</f>
        <v>1</v>
      </c>
      <c r="B10" s="32">
        <v>46028</v>
      </c>
      <c r="C10" s="109" t="s">
        <v>97</v>
      </c>
      <c r="D10" s="43">
        <v>1</v>
      </c>
      <c r="E10" s="48" t="s">
        <v>1004</v>
      </c>
      <c r="F10" s="48" t="s">
        <v>555</v>
      </c>
      <c r="G10" s="49">
        <f>IFERROR(VLOOKUP(C10,PROD!$A$2:$E$1204,5,0),"0")</f>
        <v>3</v>
      </c>
      <c r="H10" s="10">
        <f>Table_246[[#This Row],[QT]]*Table_246[[#This Row],[Custo 
Un]]</f>
        <v>3</v>
      </c>
      <c r="I10" s="52">
        <v>15</v>
      </c>
      <c r="J10" s="263">
        <f t="shared" si="0"/>
        <v>15</v>
      </c>
      <c r="K10" s="10">
        <f t="shared" si="1"/>
        <v>15</v>
      </c>
      <c r="L10" s="50">
        <f>Table_246[[#This Row],[Valor da 
venda]]-Table_246[[#This Row],[Valor gasto]]</f>
        <v>12</v>
      </c>
      <c r="M10" s="111">
        <f t="shared" si="2"/>
        <v>0.8</v>
      </c>
      <c r="N10" s="52" t="s">
        <v>20</v>
      </c>
      <c r="O10" s="114" t="str">
        <f>IF([1]!Table_246[[#This Row],[Coluna2]]&gt;0.5, "🔥 Excelente", IF([1]!Table_246[[#This Row],[Coluna2]]&gt;0.4, "👍 Bom", "⚠️ Baixo"))</f>
        <v>🔥 Excelente</v>
      </c>
      <c r="S10" s="268">
        <v>10</v>
      </c>
      <c r="T10" s="270">
        <v>0.23</v>
      </c>
      <c r="U10" s="268">
        <f t="shared" si="3"/>
        <v>3.6999999999999993</v>
      </c>
      <c r="V10" s="268">
        <f t="shared" si="4"/>
        <v>2.5</v>
      </c>
      <c r="X10" s="268">
        <f t="shared" si="5"/>
        <v>3.6999999999999993</v>
      </c>
    </row>
    <row r="11" spans="1:24" ht="15.75" customHeight="1">
      <c r="A11" s="28">
        <f>IF(Table_246[[#This Row],[Data]]="","",MONTH(Table_246[[#This Row],[Data]]))</f>
        <v>1</v>
      </c>
      <c r="B11" s="32">
        <v>46028</v>
      </c>
      <c r="C11" s="109" t="s">
        <v>1005</v>
      </c>
      <c r="D11" s="43">
        <v>1</v>
      </c>
      <c r="E11" s="48" t="s">
        <v>1006</v>
      </c>
      <c r="F11" s="48" t="s">
        <v>555</v>
      </c>
      <c r="G11" s="49">
        <f>IFERROR(VLOOKUP(C11,PROD!$A$2:$E$1204,5,0),"0")</f>
        <v>0</v>
      </c>
      <c r="H11" s="10">
        <f>Table_246[[#This Row],[QT]]*Table_246[[#This Row],[Custo 
Un]]</f>
        <v>0</v>
      </c>
      <c r="I11" s="52">
        <v>100</v>
      </c>
      <c r="J11" s="263">
        <f t="shared" si="0"/>
        <v>100</v>
      </c>
      <c r="K11" s="10">
        <f t="shared" si="1"/>
        <v>100</v>
      </c>
      <c r="L11" s="50">
        <f>Table_246[[#This Row],[Valor da 
venda]]-Table_246[[#This Row],[Valor gasto]]</f>
        <v>100</v>
      </c>
      <c r="M11" s="111">
        <f t="shared" si="2"/>
        <v>1</v>
      </c>
      <c r="N11" s="52" t="s">
        <v>20</v>
      </c>
      <c r="O11" s="114" t="str">
        <f>IF([1]!Table_246[[#This Row],[Coluna2]]&gt;0.5, "🔥 Excelente", IF([1]!Table_246[[#This Row],[Coluna2]]&gt;0.4, "👍 Bom", "⚠️ Baixo"))</f>
        <v>🔥 Excelente</v>
      </c>
      <c r="S11" s="268">
        <v>12</v>
      </c>
      <c r="T11" s="270">
        <v>0.23</v>
      </c>
      <c r="U11" s="268">
        <f t="shared" si="3"/>
        <v>5.24</v>
      </c>
      <c r="V11" s="268">
        <f t="shared" si="4"/>
        <v>3</v>
      </c>
      <c r="X11" s="268">
        <f t="shared" si="5"/>
        <v>5.24</v>
      </c>
    </row>
    <row r="12" spans="1:24" ht="15.75" customHeight="1">
      <c r="A12" s="28">
        <f>IF(Table_246[[#This Row],[Data]]="","",MONTH(Table_246[[#This Row],[Data]]))</f>
        <v>1</v>
      </c>
      <c r="B12" s="32">
        <v>46029</v>
      </c>
      <c r="C12" s="109" t="s">
        <v>1007</v>
      </c>
      <c r="D12" s="43">
        <v>1</v>
      </c>
      <c r="E12" s="48" t="s">
        <v>1008</v>
      </c>
      <c r="F12" s="48" t="s">
        <v>555</v>
      </c>
      <c r="G12" s="49">
        <f>IFERROR(VLOOKUP(C12,PROD!$A$2:$E$1204,5,0),"0")</f>
        <v>0</v>
      </c>
      <c r="H12" s="10">
        <f>Table_246[[#This Row],[QT]]*Table_246[[#This Row],[Custo 
Un]]</f>
        <v>0</v>
      </c>
      <c r="I12" s="52">
        <v>15</v>
      </c>
      <c r="J12" s="263">
        <f t="shared" si="0"/>
        <v>15</v>
      </c>
      <c r="K12" s="10">
        <f t="shared" si="1"/>
        <v>15</v>
      </c>
      <c r="L12" s="50">
        <f>Table_246[[#This Row],[Valor da 
venda]]-Table_246[[#This Row],[Valor gasto]]</f>
        <v>15</v>
      </c>
      <c r="M12" s="111">
        <f t="shared" si="2"/>
        <v>1</v>
      </c>
      <c r="N12" s="52" t="s">
        <v>20</v>
      </c>
      <c r="O12" s="114" t="str">
        <f>IF([1]!Table_246[[#This Row],[Coluna2]]&gt;0.5, "🔥 Excelente", IF([1]!Table_246[[#This Row],[Coluna2]]&gt;0.4, "👍 Bom", "⚠️ Baixo"))</f>
        <v>🔥 Excelente</v>
      </c>
      <c r="S12" s="268">
        <v>20</v>
      </c>
      <c r="T12" s="270">
        <v>0.23</v>
      </c>
      <c r="U12" s="268">
        <f t="shared" si="3"/>
        <v>11.399999999999999</v>
      </c>
      <c r="V12" s="268">
        <f t="shared" si="4"/>
        <v>5</v>
      </c>
      <c r="X12" s="268">
        <f t="shared" si="5"/>
        <v>11.399999999999999</v>
      </c>
    </row>
    <row r="13" spans="1:24" ht="15.75" customHeight="1">
      <c r="A13" s="28">
        <f>IF(Table_246[[#This Row],[Data]]="","",MONTH(Table_246[[#This Row],[Data]]))</f>
        <v>1</v>
      </c>
      <c r="B13" s="32">
        <v>46029</v>
      </c>
      <c r="C13" s="109" t="s">
        <v>1009</v>
      </c>
      <c r="D13" s="43">
        <v>1</v>
      </c>
      <c r="E13" s="48" t="s">
        <v>1008</v>
      </c>
      <c r="F13" s="48" t="s">
        <v>555</v>
      </c>
      <c r="G13" s="49">
        <v>11</v>
      </c>
      <c r="H13" s="10">
        <f>Table_246[[#This Row],[QT]]*Table_246[[#This Row],[Custo 
Un]]</f>
        <v>11</v>
      </c>
      <c r="I13" s="52">
        <v>20</v>
      </c>
      <c r="J13" s="263">
        <f t="shared" si="0"/>
        <v>20</v>
      </c>
      <c r="K13" s="10">
        <f t="shared" si="1"/>
        <v>20</v>
      </c>
      <c r="L13" s="50">
        <f>Table_246[[#This Row],[Valor da 
venda]]-Table_246[[#This Row],[Valor gasto]]</f>
        <v>9</v>
      </c>
      <c r="M13" s="111">
        <f t="shared" si="2"/>
        <v>0.45</v>
      </c>
      <c r="N13" s="52" t="s">
        <v>20</v>
      </c>
      <c r="O13" s="114" t="str">
        <f>IF([1]!Table_246[[#This Row],[Coluna2]]&gt;0.5, "🔥 Excelente", IF([1]!Table_246[[#This Row],[Coluna2]]&gt;0.4, "👍 Bom", "⚠️ Baixo"))</f>
        <v>👍 Bom</v>
      </c>
      <c r="T13" s="270">
        <v>0.23</v>
      </c>
      <c r="U13" s="268">
        <f t="shared" si="3"/>
        <v>-4</v>
      </c>
      <c r="V13" s="268">
        <f t="shared" si="4"/>
        <v>0</v>
      </c>
      <c r="X13" s="268">
        <f t="shared" si="5"/>
        <v>-4</v>
      </c>
    </row>
    <row r="14" spans="1:24" ht="15.75" customHeight="1">
      <c r="A14" s="28">
        <f>IF(Table_246[[#This Row],[Data]]="","",MONTH(Table_246[[#This Row],[Data]]))</f>
        <v>1</v>
      </c>
      <c r="B14" s="32">
        <v>46034</v>
      </c>
      <c r="C14" s="109" t="s">
        <v>146</v>
      </c>
      <c r="D14" s="43">
        <v>1</v>
      </c>
      <c r="E14" s="48" t="s">
        <v>58</v>
      </c>
      <c r="F14" s="48" t="s">
        <v>555</v>
      </c>
      <c r="G14" s="49">
        <f>IFERROR(VLOOKUP(C14,PROD!$A$2:$E$1204,5,0),"0")</f>
        <v>7.0000000000000007E-2</v>
      </c>
      <c r="H14" s="10">
        <f>Table_246[[#This Row],[QT]]*Table_246[[#This Row],[Custo 
Un]]</f>
        <v>7.0000000000000007E-2</v>
      </c>
      <c r="I14" s="52">
        <v>1</v>
      </c>
      <c r="J14" s="263">
        <f t="shared" si="0"/>
        <v>1</v>
      </c>
      <c r="K14" s="10">
        <f t="shared" si="1"/>
        <v>1</v>
      </c>
      <c r="L14" s="50">
        <f>Table_246[[#This Row],[Valor da 
venda]]-Table_246[[#This Row],[Valor gasto]]</f>
        <v>0.92999999999999994</v>
      </c>
      <c r="M14" s="111">
        <f t="shared" si="2"/>
        <v>0.92999999999999994</v>
      </c>
      <c r="N14" s="52" t="s">
        <v>20</v>
      </c>
      <c r="O14" s="114" t="str">
        <f>IF([1]!Table_246[[#This Row],[Coluna2]]&gt;0.5, "🔥 Excelente", IF([1]!Table_246[[#This Row],[Coluna2]]&gt;0.4, "👍 Bom", "⚠️ Baixo"))</f>
        <v>🔥 Excelente</v>
      </c>
      <c r="T14" s="270">
        <v>0.23</v>
      </c>
      <c r="U14" s="268">
        <f t="shared" si="3"/>
        <v>-4</v>
      </c>
      <c r="V14" s="268">
        <f t="shared" si="4"/>
        <v>0</v>
      </c>
      <c r="X14" s="268">
        <f t="shared" si="5"/>
        <v>-4</v>
      </c>
    </row>
    <row r="15" spans="1:24" ht="15.75" customHeight="1">
      <c r="A15" s="28">
        <f>IF(Table_246[[#This Row],[Data]]="","",MONTH(Table_246[[#This Row],[Data]]))</f>
        <v>1</v>
      </c>
      <c r="B15" s="32">
        <v>46034</v>
      </c>
      <c r="C15" s="109" t="s">
        <v>1010</v>
      </c>
      <c r="D15" s="43">
        <v>1</v>
      </c>
      <c r="E15" s="48" t="s">
        <v>400</v>
      </c>
      <c r="F15" s="48" t="s">
        <v>555</v>
      </c>
      <c r="G15" s="49">
        <f>IFERROR(VLOOKUP(C15,PROD!$A$2:$E$1204,5,0),"0")</f>
        <v>2.5</v>
      </c>
      <c r="H15" s="10">
        <f>Table_246[[#This Row],[QT]]*Table_246[[#This Row],[Custo 
Un]]</f>
        <v>2.5</v>
      </c>
      <c r="I15" s="52">
        <v>7</v>
      </c>
      <c r="J15" s="263">
        <f t="shared" si="0"/>
        <v>7</v>
      </c>
      <c r="K15" s="10">
        <f t="shared" si="1"/>
        <v>7</v>
      </c>
      <c r="L15" s="50">
        <f>Table_246[[#This Row],[Valor da 
venda]]-Table_246[[#This Row],[Valor gasto]]</f>
        <v>4.5</v>
      </c>
      <c r="M15" s="111">
        <f t="shared" si="2"/>
        <v>0.6428571428571429</v>
      </c>
      <c r="N15" s="52" t="s">
        <v>20</v>
      </c>
      <c r="O15" s="114" t="str">
        <f>IF([1]!Table_246[[#This Row],[Coluna2]]&gt;0.5, "🔥 Excelente", IF([1]!Table_246[[#This Row],[Coluna2]]&gt;0.4, "👍 Bom", "⚠️ Baixo"))</f>
        <v>🔥 Excelente</v>
      </c>
    </row>
    <row r="16" spans="1:24" ht="15.75" customHeight="1">
      <c r="A16" s="28">
        <f>IF(Table_246[[#This Row],[Data]]="","",MONTH(Table_246[[#This Row],[Data]]))</f>
        <v>1</v>
      </c>
      <c r="B16" s="32">
        <v>46034</v>
      </c>
      <c r="C16" s="109" t="s">
        <v>1011</v>
      </c>
      <c r="D16" s="43">
        <v>1</v>
      </c>
      <c r="E16" s="48" t="s">
        <v>773</v>
      </c>
      <c r="F16" s="48" t="s">
        <v>555</v>
      </c>
      <c r="G16" s="49">
        <v>5</v>
      </c>
      <c r="H16" s="10">
        <f>Table_246[[#This Row],[QT]]*Table_246[[#This Row],[Custo 
Un]]</f>
        <v>5</v>
      </c>
      <c r="I16" s="52">
        <v>10</v>
      </c>
      <c r="J16" s="263">
        <f t="shared" si="0"/>
        <v>10</v>
      </c>
      <c r="K16" s="10">
        <f t="shared" si="1"/>
        <v>10</v>
      </c>
      <c r="L16" s="50">
        <f>Table_246[[#This Row],[Valor da 
venda]]-Table_246[[#This Row],[Valor gasto]]</f>
        <v>5</v>
      </c>
      <c r="M16" s="111">
        <f t="shared" si="2"/>
        <v>0.5</v>
      </c>
      <c r="N16" s="52" t="s">
        <v>20</v>
      </c>
      <c r="O16" s="114" t="str">
        <f>IF([1]!Table_246[[#This Row],[Coluna2]]&gt;0.5, "🔥 Excelente", IF([1]!Table_246[[#This Row],[Coluna2]]&gt;0.4, "👍 Bom", "⚠️ Baixo"))</f>
        <v>👍 Bom</v>
      </c>
    </row>
    <row r="17" spans="1:21" ht="15.75" customHeight="1">
      <c r="A17" s="28">
        <f>IF(Table_246[[#This Row],[Data]]="","",MONTH(Table_246[[#This Row],[Data]]))</f>
        <v>1</v>
      </c>
      <c r="B17" s="32">
        <v>46034</v>
      </c>
      <c r="C17" s="109" t="s">
        <v>146</v>
      </c>
      <c r="D17" s="43">
        <v>4</v>
      </c>
      <c r="E17" s="48" t="s">
        <v>1008</v>
      </c>
      <c r="F17" s="48" t="s">
        <v>555</v>
      </c>
      <c r="G17" s="49">
        <f>IFERROR(VLOOKUP(C17,PROD!$A$2:$E$1204,5,0),"0")</f>
        <v>7.0000000000000007E-2</v>
      </c>
      <c r="H17" s="10">
        <f>Table_246[[#This Row],[QT]]*Table_246[[#This Row],[Custo 
Un]]</f>
        <v>0.28000000000000003</v>
      </c>
      <c r="I17" s="52">
        <v>1</v>
      </c>
      <c r="J17" s="263">
        <f t="shared" si="0"/>
        <v>4</v>
      </c>
      <c r="K17" s="10">
        <f t="shared" si="1"/>
        <v>4</v>
      </c>
      <c r="L17" s="50">
        <f>Table_246[[#This Row],[Valor da 
venda]]-Table_246[[#This Row],[Valor gasto]]</f>
        <v>3.7199999999999998</v>
      </c>
      <c r="M17" s="111">
        <f t="shared" si="2"/>
        <v>0.92999999999999994</v>
      </c>
      <c r="N17" s="52" t="s">
        <v>20</v>
      </c>
      <c r="O17" s="114" t="str">
        <f>IF([1]!Table_246[[#This Row],[Coluna2]]&gt;0.5, "🔥 Excelente", IF([1]!Table_246[[#This Row],[Coluna2]]&gt;0.4, "👍 Bom", "⚠️ Baixo"))</f>
        <v>🔥 Excelente</v>
      </c>
      <c r="U17" s="271"/>
    </row>
    <row r="18" spans="1:21" ht="15.75" customHeight="1">
      <c r="A18" s="28">
        <f>IF(Table_246[[#This Row],[Data]]="","",MONTH(Table_246[[#This Row],[Data]]))</f>
        <v>1</v>
      </c>
      <c r="B18" s="32">
        <v>46034</v>
      </c>
      <c r="C18" s="109" t="s">
        <v>1012</v>
      </c>
      <c r="D18" s="43">
        <v>2</v>
      </c>
      <c r="E18" s="48" t="s">
        <v>1013</v>
      </c>
      <c r="F18" s="48" t="s">
        <v>22</v>
      </c>
      <c r="G18" s="49">
        <v>7.5</v>
      </c>
      <c r="H18" s="10">
        <f>Table_246[[#This Row],[QT]]*Table_246[[#This Row],[Custo 
Un]]</f>
        <v>15</v>
      </c>
      <c r="I18" s="52">
        <v>14.05</v>
      </c>
      <c r="J18" s="263">
        <f t="shared" si="0"/>
        <v>28.1</v>
      </c>
      <c r="K18" s="10">
        <f t="shared" si="1"/>
        <v>28.1</v>
      </c>
      <c r="L18" s="50">
        <f>Table_246[[#This Row],[Valor da 
venda]]-Table_246[[#This Row],[Valor gasto]]</f>
        <v>13.100000000000001</v>
      </c>
      <c r="M18" s="111">
        <f t="shared" si="2"/>
        <v>0.46619217081850539</v>
      </c>
      <c r="N18" s="52" t="s">
        <v>20</v>
      </c>
      <c r="O18" s="114" t="str">
        <f>IF([1]!Table_246[[#This Row],[Coluna2]]&gt;0.5, "🔥 Excelente", IF([1]!Table_246[[#This Row],[Coluna2]]&gt;0.4, "👍 Bom", "⚠️ Baixo"))</f>
        <v>👍 Bom</v>
      </c>
    </row>
    <row r="19" spans="1:21" ht="15.75" customHeight="1">
      <c r="A19" s="28">
        <f>IF(Table_246[[#This Row],[Data]]="","",MONTH(Table_246[[#This Row],[Data]]))</f>
        <v>1</v>
      </c>
      <c r="B19" s="32">
        <v>46034</v>
      </c>
      <c r="C19" s="109" t="s">
        <v>1014</v>
      </c>
      <c r="D19" s="43">
        <v>1</v>
      </c>
      <c r="E19" s="48" t="s">
        <v>1015</v>
      </c>
      <c r="F19" s="48" t="s">
        <v>1016</v>
      </c>
      <c r="G19" s="49">
        <f>IFERROR(VLOOKUP(C19,PROD!$A$2:$E$1204,5,0),"0")</f>
        <v>0</v>
      </c>
      <c r="H19" s="10">
        <f>Table_246[[#This Row],[QT]]*Table_246[[#This Row],[Custo 
Un]]</f>
        <v>0</v>
      </c>
      <c r="I19" s="52">
        <v>100.32</v>
      </c>
      <c r="J19" s="263">
        <f t="shared" si="0"/>
        <v>100.32</v>
      </c>
      <c r="K19" s="10">
        <f t="shared" si="1"/>
        <v>100.32</v>
      </c>
      <c r="L19" s="50">
        <f>Table_246[[#This Row],[Valor da 
venda]]-Table_246[[#This Row],[Valor gasto]]</f>
        <v>100.32</v>
      </c>
      <c r="M19" s="111">
        <f t="shared" si="2"/>
        <v>1</v>
      </c>
      <c r="N19" s="52" t="s">
        <v>20</v>
      </c>
      <c r="O19" s="114" t="str">
        <f>IF([1]!Table_246[[#This Row],[Coluna2]]&gt;0.5, "🔥 Excelente", IF([1]!Table_246[[#This Row],[Coluna2]]&gt;0.4, "👍 Bom", "⚠️ Baixo"))</f>
        <v>🔥 Excelente</v>
      </c>
    </row>
    <row r="20" spans="1:21" ht="15.75" customHeight="1">
      <c r="A20" s="28">
        <f>IF(Table_246[[#This Row],[Data]]="","",MONTH(Table_246[[#This Row],[Data]]))</f>
        <v>1</v>
      </c>
      <c r="B20" s="32">
        <v>46035</v>
      </c>
      <c r="C20" s="109" t="s">
        <v>146</v>
      </c>
      <c r="D20" s="43">
        <v>1</v>
      </c>
      <c r="E20" s="48" t="s">
        <v>773</v>
      </c>
      <c r="F20" s="48" t="s">
        <v>555</v>
      </c>
      <c r="G20" s="49">
        <f>IFERROR(VLOOKUP(C20,PROD!$A$2:$E$1204,5,0),"0")</f>
        <v>7.0000000000000007E-2</v>
      </c>
      <c r="H20" s="10">
        <f>Table_246[[#This Row],[QT]]*Table_246[[#This Row],[Custo 
Un]]</f>
        <v>7.0000000000000007E-2</v>
      </c>
      <c r="I20" s="52">
        <v>1</v>
      </c>
      <c r="J20" s="263">
        <f t="shared" si="0"/>
        <v>1</v>
      </c>
      <c r="K20" s="10">
        <f t="shared" si="1"/>
        <v>1</v>
      </c>
      <c r="L20" s="50">
        <f>Table_246[[#This Row],[Valor da 
venda]]-Table_246[[#This Row],[Valor gasto]]</f>
        <v>0.92999999999999994</v>
      </c>
      <c r="M20" s="111">
        <f t="shared" si="2"/>
        <v>0.92999999999999994</v>
      </c>
      <c r="N20" s="52" t="s">
        <v>20</v>
      </c>
      <c r="O20" s="114" t="str">
        <f>IF([1]!Table_246[[#This Row],[Coluna2]]&gt;0.5, "🔥 Excelente", IF([1]!Table_246[[#This Row],[Coluna2]]&gt;0.4, "👍 Bom", "⚠️ Baixo"))</f>
        <v>🔥 Excelente</v>
      </c>
    </row>
    <row r="21" spans="1:21" ht="15.75" customHeight="1">
      <c r="A21" s="28">
        <f>IF(Table_246[[#This Row],[Data]]="","",MONTH(Table_246[[#This Row],[Data]]))</f>
        <v>1</v>
      </c>
      <c r="B21" s="32">
        <v>46035</v>
      </c>
      <c r="C21" s="109" t="s">
        <v>146</v>
      </c>
      <c r="D21" s="43">
        <v>4</v>
      </c>
      <c r="E21" s="48" t="s">
        <v>916</v>
      </c>
      <c r="F21" s="48" t="s">
        <v>555</v>
      </c>
      <c r="G21" s="49">
        <f>IFERROR(VLOOKUP(C21,PROD!$A$2:$E$1204,5,0),"0")</f>
        <v>7.0000000000000007E-2</v>
      </c>
      <c r="H21" s="10">
        <f>Table_246[[#This Row],[QT]]*Table_246[[#This Row],[Custo 
Un]]</f>
        <v>0.28000000000000003</v>
      </c>
      <c r="I21" s="52">
        <v>1</v>
      </c>
      <c r="J21" s="263">
        <f t="shared" si="0"/>
        <v>4</v>
      </c>
      <c r="K21" s="10">
        <f t="shared" si="1"/>
        <v>4</v>
      </c>
      <c r="L21" s="50">
        <f>Table_246[[#This Row],[Valor da 
venda]]-Table_246[[#This Row],[Valor gasto]]</f>
        <v>3.7199999999999998</v>
      </c>
      <c r="M21" s="111">
        <f t="shared" si="2"/>
        <v>0.92999999999999994</v>
      </c>
      <c r="N21" s="52" t="s">
        <v>20</v>
      </c>
      <c r="O21" s="114" t="str">
        <f>IF([1]!Table_246[[#This Row],[Coluna2]]&gt;0.5, "🔥 Excelente", IF([1]!Table_246[[#This Row],[Coluna2]]&gt;0.4, "👍 Bom", "⚠️ Baixo"))</f>
        <v>🔥 Excelente</v>
      </c>
    </row>
    <row r="22" spans="1:21" ht="15.75" customHeight="1">
      <c r="A22" s="28">
        <f>IF(Table_246[[#This Row],[Data]]="","",MONTH(Table_246[[#This Row],[Data]]))</f>
        <v>1</v>
      </c>
      <c r="B22" s="32">
        <v>46036</v>
      </c>
      <c r="C22" s="109" t="s">
        <v>1017</v>
      </c>
      <c r="D22" s="43">
        <v>1</v>
      </c>
      <c r="E22" s="48" t="s">
        <v>1018</v>
      </c>
      <c r="F22" s="48" t="s">
        <v>22</v>
      </c>
      <c r="G22" s="49">
        <v>3</v>
      </c>
      <c r="H22" s="10">
        <f>Table_246[[#This Row],[QT]]*Table_246[[#This Row],[Custo 
Un]]</f>
        <v>3</v>
      </c>
      <c r="I22" s="52">
        <v>4.54</v>
      </c>
      <c r="J22" s="263">
        <f t="shared" si="0"/>
        <v>4.54</v>
      </c>
      <c r="K22" s="10">
        <f t="shared" si="1"/>
        <v>4.54</v>
      </c>
      <c r="L22" s="50">
        <f>Table_246[[#This Row],[Valor da 
venda]]-Table_246[[#This Row],[Valor gasto]]</f>
        <v>1.54</v>
      </c>
      <c r="M22" s="111">
        <f t="shared" si="2"/>
        <v>0.33920704845814981</v>
      </c>
      <c r="N22" s="52" t="s">
        <v>20</v>
      </c>
      <c r="O22" s="114" t="str">
        <f>IF([1]!Table_246[[#This Row],[Coluna2]]&gt;0.5, "🔥 Excelente", IF([1]!Table_246[[#This Row],[Coluna2]]&gt;0.4, "👍 Bom", "⚠️ Baixo"))</f>
        <v>⚠️ Baixo</v>
      </c>
    </row>
    <row r="23" spans="1:21" ht="15.75" customHeight="1">
      <c r="A23" s="28">
        <f>IF(Table_246[[#This Row],[Data]]="","",MONTH(Table_246[[#This Row],[Data]]))</f>
        <v>1</v>
      </c>
      <c r="B23" s="32">
        <v>46036</v>
      </c>
      <c r="C23" s="109" t="s">
        <v>1019</v>
      </c>
      <c r="D23" s="43">
        <v>1</v>
      </c>
      <c r="E23" s="48" t="s">
        <v>1020</v>
      </c>
      <c r="F23" s="48" t="s">
        <v>22</v>
      </c>
      <c r="G23" s="49">
        <v>25</v>
      </c>
      <c r="H23" s="10">
        <f>Table_246[[#This Row],[QT]]*Table_246[[#This Row],[Custo 
Un]]</f>
        <v>25</v>
      </c>
      <c r="I23" s="52">
        <v>52.99</v>
      </c>
      <c r="J23" s="263">
        <f t="shared" si="0"/>
        <v>52.99</v>
      </c>
      <c r="K23" s="10">
        <f t="shared" si="1"/>
        <v>52.99</v>
      </c>
      <c r="L23" s="50">
        <f>Table_246[[#This Row],[Valor da 
venda]]-Table_246[[#This Row],[Valor gasto]]</f>
        <v>27.990000000000002</v>
      </c>
      <c r="M23" s="111">
        <f t="shared" si="2"/>
        <v>0.52821287035289677</v>
      </c>
      <c r="N23" s="52" t="s">
        <v>20</v>
      </c>
      <c r="O23" s="114" t="str">
        <f>IF([1]!Table_246[[#This Row],[Coluna2]]&gt;0.5, "🔥 Excelente", IF([1]!Table_246[[#This Row],[Coluna2]]&gt;0.4, "👍 Bom", "⚠️ Baixo"))</f>
        <v>🔥 Excelente</v>
      </c>
    </row>
    <row r="24" spans="1:21" ht="15.75" customHeight="1">
      <c r="A24" s="28">
        <f>IF(Table_246[[#This Row],[Data]]="","",MONTH(Table_246[[#This Row],[Data]]))</f>
        <v>1</v>
      </c>
      <c r="B24" s="32">
        <v>46037</v>
      </c>
      <c r="C24" s="109" t="s">
        <v>97</v>
      </c>
      <c r="D24" s="43">
        <v>1</v>
      </c>
      <c r="E24" s="48" t="s">
        <v>1008</v>
      </c>
      <c r="F24" s="48" t="s">
        <v>555</v>
      </c>
      <c r="G24" s="49">
        <f>IFERROR(VLOOKUP(C24,PROD!$A$2:$E$1204,5,0),"0")</f>
        <v>3</v>
      </c>
      <c r="H24" s="10">
        <f>Table_246[[#This Row],[QT]]*Table_246[[#This Row],[Custo 
Un]]</f>
        <v>3</v>
      </c>
      <c r="I24" s="52">
        <v>10</v>
      </c>
      <c r="J24" s="263">
        <f t="shared" si="0"/>
        <v>10</v>
      </c>
      <c r="K24" s="10">
        <f t="shared" si="1"/>
        <v>10</v>
      </c>
      <c r="L24" s="50">
        <f>Table_246[[#This Row],[Valor da 
venda]]-Table_246[[#This Row],[Valor gasto]]</f>
        <v>7</v>
      </c>
      <c r="M24" s="111">
        <f t="shared" si="2"/>
        <v>0.7</v>
      </c>
      <c r="N24" s="52" t="s">
        <v>20</v>
      </c>
      <c r="O24" s="114" t="str">
        <f>IF([1]!Table_246[[#This Row],[Coluna2]]&gt;0.5, "🔥 Excelente", IF([1]!Table_246[[#This Row],[Coluna2]]&gt;0.4, "👍 Bom", "⚠️ Baixo"))</f>
        <v>🔥 Excelente</v>
      </c>
    </row>
    <row r="25" spans="1:21" ht="15.75" customHeight="1">
      <c r="A25" s="28">
        <f>IF(Table_246[[#This Row],[Data]]="","",MONTH(Table_246[[#This Row],[Data]]))</f>
        <v>1</v>
      </c>
      <c r="B25" s="32">
        <v>46037</v>
      </c>
      <c r="C25" s="109" t="s">
        <v>1021</v>
      </c>
      <c r="D25" s="43">
        <v>2</v>
      </c>
      <c r="E25" s="48" t="s">
        <v>1008</v>
      </c>
      <c r="F25" s="48" t="s">
        <v>555</v>
      </c>
      <c r="G25" s="49">
        <f>IFERROR(VLOOKUP(C25,PROD!$A$2:$E$1204,5,0),"0")</f>
        <v>0</v>
      </c>
      <c r="H25" s="10">
        <f>Table_246[[#This Row],[QT]]*Table_246[[#This Row],[Custo 
Un]]</f>
        <v>0</v>
      </c>
      <c r="I25" s="52">
        <v>0.5</v>
      </c>
      <c r="J25" s="263">
        <f t="shared" si="0"/>
        <v>1</v>
      </c>
      <c r="K25" s="10">
        <f t="shared" si="1"/>
        <v>1</v>
      </c>
      <c r="L25" s="50">
        <f>Table_246[[#This Row],[Valor da 
venda]]-Table_246[[#This Row],[Valor gasto]]</f>
        <v>1</v>
      </c>
      <c r="M25" s="111">
        <f t="shared" si="2"/>
        <v>1</v>
      </c>
      <c r="N25" s="52" t="s">
        <v>20</v>
      </c>
      <c r="O25" s="114" t="str">
        <f>IF([1]!Table_246[[#This Row],[Coluna2]]&gt;0.5, "🔥 Excelente", IF([1]!Table_246[[#This Row],[Coluna2]]&gt;0.4, "👍 Bom", "⚠️ Baixo"))</f>
        <v>🔥 Excelente</v>
      </c>
    </row>
    <row r="26" spans="1:21" ht="15.75" customHeight="1">
      <c r="A26" s="28">
        <f>IF(Table_246[[#This Row],[Data]]="","",MONTH(Table_246[[#This Row],[Data]]))</f>
        <v>1</v>
      </c>
      <c r="B26" s="32">
        <v>46037</v>
      </c>
      <c r="C26" s="109" t="s">
        <v>97</v>
      </c>
      <c r="D26" s="43">
        <v>1</v>
      </c>
      <c r="E26" s="48" t="s">
        <v>1008</v>
      </c>
      <c r="F26" s="48" t="s">
        <v>555</v>
      </c>
      <c r="G26" s="49">
        <f>IFERROR(VLOOKUP(C26,PROD!$A$2:$E$1204,5,0),"0")</f>
        <v>3</v>
      </c>
      <c r="H26" s="10">
        <f>Table_246[[#This Row],[QT]]*Table_246[[#This Row],[Custo 
Un]]</f>
        <v>3</v>
      </c>
      <c r="I26" s="52">
        <v>10</v>
      </c>
      <c r="J26" s="263">
        <f t="shared" si="0"/>
        <v>10</v>
      </c>
      <c r="K26" s="10">
        <f t="shared" si="1"/>
        <v>10</v>
      </c>
      <c r="L26" s="50">
        <f>Table_246[[#This Row],[Valor da 
venda]]-Table_246[[#This Row],[Valor gasto]]</f>
        <v>7</v>
      </c>
      <c r="M26" s="111">
        <f t="shared" si="2"/>
        <v>0.7</v>
      </c>
      <c r="N26" s="52" t="s">
        <v>20</v>
      </c>
      <c r="O26" s="114" t="str">
        <f>IF([1]!Table_246[[#This Row],[Coluna2]]&gt;0.5, "🔥 Excelente", IF([1]!Table_246[[#This Row],[Coluna2]]&gt;0.4, "👍 Bom", "⚠️ Baixo"))</f>
        <v>🔥 Excelente</v>
      </c>
    </row>
    <row r="27" spans="1:21" ht="15.75" customHeight="1">
      <c r="A27" s="28">
        <f>IF(Table_246[[#This Row],[Data]]="","",MONTH(Table_246[[#This Row],[Data]]))</f>
        <v>1</v>
      </c>
      <c r="B27" s="32">
        <v>46038</v>
      </c>
      <c r="C27" s="109" t="s">
        <v>1022</v>
      </c>
      <c r="D27" s="43">
        <v>1</v>
      </c>
      <c r="E27" s="48" t="s">
        <v>1008</v>
      </c>
      <c r="F27" s="48" t="s">
        <v>555</v>
      </c>
      <c r="G27" s="49">
        <v>11</v>
      </c>
      <c r="H27" s="10">
        <f>Table_246[[#This Row],[QT]]*Table_246[[#This Row],[Custo 
Un]]</f>
        <v>11</v>
      </c>
      <c r="I27" s="52">
        <v>20</v>
      </c>
      <c r="J27" s="263">
        <f t="shared" si="0"/>
        <v>20</v>
      </c>
      <c r="K27" s="10">
        <f t="shared" si="1"/>
        <v>20</v>
      </c>
      <c r="L27" s="50">
        <f>Table_246[[#This Row],[Valor da 
venda]]-Table_246[[#This Row],[Valor gasto]]</f>
        <v>9</v>
      </c>
      <c r="M27" s="111">
        <f t="shared" si="2"/>
        <v>0.45</v>
      </c>
      <c r="N27" s="52" t="s">
        <v>20</v>
      </c>
      <c r="O27" s="114" t="str">
        <f>IF([1]!Table_246[[#This Row],[Coluna2]]&gt;0.5, "🔥 Excelente", IF([1]!Table_246[[#This Row],[Coluna2]]&gt;0.4, "👍 Bom", "⚠️ Baixo"))</f>
        <v>👍 Bom</v>
      </c>
    </row>
    <row r="28" spans="1:21" ht="15.75" customHeight="1">
      <c r="A28" s="28">
        <f>IF(Table_246[[#This Row],[Data]]="","",MONTH(Table_246[[#This Row],[Data]]))</f>
        <v>1</v>
      </c>
      <c r="B28" s="32">
        <v>46038</v>
      </c>
      <c r="C28" s="109" t="s">
        <v>1023</v>
      </c>
      <c r="D28" s="43">
        <v>1</v>
      </c>
      <c r="E28" s="48" t="s">
        <v>815</v>
      </c>
      <c r="F28" s="48" t="s">
        <v>555</v>
      </c>
      <c r="G28" s="49">
        <v>12</v>
      </c>
      <c r="H28" s="10">
        <f>Table_246[[#This Row],[QT]]*Table_246[[#This Row],[Custo 
Un]]</f>
        <v>12</v>
      </c>
      <c r="I28" s="52">
        <v>25</v>
      </c>
      <c r="J28" s="263">
        <f t="shared" si="0"/>
        <v>25</v>
      </c>
      <c r="K28" s="10">
        <f t="shared" si="1"/>
        <v>25</v>
      </c>
      <c r="L28" s="50">
        <f>Table_246[[#This Row],[Valor da 
venda]]-Table_246[[#This Row],[Valor gasto]]</f>
        <v>13</v>
      </c>
      <c r="M28" s="111">
        <f t="shared" si="2"/>
        <v>0.52</v>
      </c>
      <c r="N28" s="52" t="s">
        <v>20</v>
      </c>
      <c r="O28" s="114" t="str">
        <f>IF([1]!Table_246[[#This Row],[Coluna2]]&gt;0.5, "🔥 Excelente", IF([1]!Table_246[[#This Row],[Coluna2]]&gt;0.4, "👍 Bom", "⚠️ Baixo"))</f>
        <v>🔥 Excelente</v>
      </c>
    </row>
    <row r="29" spans="1:21" ht="15.75" customHeight="1">
      <c r="A29" s="28">
        <f>IF(Table_246[[#This Row],[Data]]="","",MONTH(Table_246[[#This Row],[Data]]))</f>
        <v>1</v>
      </c>
      <c r="B29" s="32">
        <v>46041</v>
      </c>
      <c r="C29" s="109" t="s">
        <v>146</v>
      </c>
      <c r="D29" s="43">
        <v>2</v>
      </c>
      <c r="E29" s="48" t="s">
        <v>1008</v>
      </c>
      <c r="F29" s="48" t="s">
        <v>555</v>
      </c>
      <c r="G29" s="49">
        <f>IFERROR(VLOOKUP(C29,PROD!$A$2:$E$1204,5,0),"0")</f>
        <v>7.0000000000000007E-2</v>
      </c>
      <c r="H29" s="10">
        <f>Table_246[[#This Row],[QT]]*Table_246[[#This Row],[Custo 
Un]]</f>
        <v>0.14000000000000001</v>
      </c>
      <c r="I29" s="52">
        <v>1</v>
      </c>
      <c r="J29" s="263">
        <f t="shared" si="0"/>
        <v>2</v>
      </c>
      <c r="K29" s="10">
        <f t="shared" si="1"/>
        <v>2</v>
      </c>
      <c r="L29" s="50">
        <f>Table_246[[#This Row],[Valor da 
venda]]-Table_246[[#This Row],[Valor gasto]]</f>
        <v>1.8599999999999999</v>
      </c>
      <c r="M29" s="111">
        <f t="shared" si="2"/>
        <v>0.92999999999999994</v>
      </c>
      <c r="N29" s="52" t="s">
        <v>20</v>
      </c>
      <c r="O29" s="114" t="str">
        <f>IF([1]!Table_246[[#This Row],[Coluna2]]&gt;0.5, "🔥 Excelente", IF([1]!Table_246[[#This Row],[Coluna2]]&gt;0.4, "👍 Bom", "⚠️ Baixo"))</f>
        <v>🔥 Excelente</v>
      </c>
    </row>
    <row r="30" spans="1:21" ht="15.75" customHeight="1">
      <c r="A30" s="28">
        <f>IF(Table_246[[#This Row],[Data]]="","",MONTH(Table_246[[#This Row],[Data]]))</f>
        <v>1</v>
      </c>
      <c r="B30" s="32">
        <v>46041</v>
      </c>
      <c r="C30" s="109" t="s">
        <v>1024</v>
      </c>
      <c r="D30" s="43">
        <v>1</v>
      </c>
      <c r="E30" s="48" t="s">
        <v>1008</v>
      </c>
      <c r="F30" s="48" t="s">
        <v>555</v>
      </c>
      <c r="G30" s="49">
        <v>15</v>
      </c>
      <c r="H30" s="10">
        <f>Table_246[[#This Row],[QT]]*Table_246[[#This Row],[Custo 
Un]]</f>
        <v>15</v>
      </c>
      <c r="I30" s="52">
        <v>25</v>
      </c>
      <c r="J30" s="263">
        <f t="shared" si="0"/>
        <v>25</v>
      </c>
      <c r="K30" s="10">
        <f t="shared" si="1"/>
        <v>25</v>
      </c>
      <c r="L30" s="50">
        <f>Table_246[[#This Row],[Valor da 
venda]]-Table_246[[#This Row],[Valor gasto]]</f>
        <v>10</v>
      </c>
      <c r="M30" s="111">
        <f t="shared" si="2"/>
        <v>0.4</v>
      </c>
      <c r="N30" s="52" t="s">
        <v>20</v>
      </c>
      <c r="O30" s="114" t="str">
        <f>IF([1]!Table_246[[#This Row],[Coluna2]]&gt;0.5, "🔥 Excelente", IF([1]!Table_246[[#This Row],[Coluna2]]&gt;0.4, "👍 Bom", "⚠️ Baixo"))</f>
        <v>⚠️ Baixo</v>
      </c>
    </row>
    <row r="31" spans="1:21" ht="15.75" customHeight="1">
      <c r="A31" s="28">
        <f>IF(Table_246[[#This Row],[Data]]="","",MONTH(Table_246[[#This Row],[Data]]))</f>
        <v>1</v>
      </c>
      <c r="B31" s="32">
        <v>46041</v>
      </c>
      <c r="C31" s="109" t="s">
        <v>1025</v>
      </c>
      <c r="D31" s="43">
        <v>1</v>
      </c>
      <c r="E31" s="48" t="s">
        <v>1008</v>
      </c>
      <c r="F31" s="48" t="s">
        <v>555</v>
      </c>
      <c r="G31" s="49">
        <v>2.5</v>
      </c>
      <c r="H31" s="10">
        <f>Table_246[[#This Row],[QT]]*Table_246[[#This Row],[Custo 
Un]]</f>
        <v>2.5</v>
      </c>
      <c r="I31" s="52">
        <v>5</v>
      </c>
      <c r="J31" s="263">
        <f t="shared" si="0"/>
        <v>5</v>
      </c>
      <c r="K31" s="10">
        <f t="shared" si="1"/>
        <v>5</v>
      </c>
      <c r="L31" s="50">
        <f>Table_246[[#This Row],[Valor da 
venda]]-Table_246[[#This Row],[Valor gasto]]</f>
        <v>2.5</v>
      </c>
      <c r="M31" s="111">
        <f t="shared" si="2"/>
        <v>0.5</v>
      </c>
      <c r="N31" s="52" t="s">
        <v>20</v>
      </c>
      <c r="O31" s="114" t="str">
        <f>IF([1]!Table_246[[#This Row],[Coluna2]]&gt;0.5, "🔥 Excelente", IF([1]!Table_246[[#This Row],[Coluna2]]&gt;0.4, "👍 Bom", "⚠️ Baixo"))</f>
        <v>👍 Bom</v>
      </c>
    </row>
    <row r="32" spans="1:21" ht="15.75" customHeight="1">
      <c r="A32" s="28">
        <f>IF(Table_246[[#This Row],[Data]]="","",MONTH(Table_246[[#This Row],[Data]]))</f>
        <v>1</v>
      </c>
      <c r="B32" s="32">
        <v>46041</v>
      </c>
      <c r="C32" s="109" t="s">
        <v>274</v>
      </c>
      <c r="D32" s="43">
        <v>1</v>
      </c>
      <c r="E32" s="48" t="s">
        <v>1008</v>
      </c>
      <c r="F32" s="48" t="s">
        <v>555</v>
      </c>
      <c r="G32" s="49">
        <f>IFERROR(VLOOKUP(C32,PROD!$A$2:$E$1204,5,0),"0")</f>
        <v>0</v>
      </c>
      <c r="H32" s="10">
        <f>Table_246[[#This Row],[QT]]*Table_246[[#This Row],[Custo 
Un]]</f>
        <v>0</v>
      </c>
      <c r="I32" s="52">
        <v>30</v>
      </c>
      <c r="J32" s="263">
        <f t="shared" si="0"/>
        <v>30</v>
      </c>
      <c r="K32" s="10">
        <f t="shared" si="1"/>
        <v>30</v>
      </c>
      <c r="L32" s="50">
        <f>Table_246[[#This Row],[Valor da 
venda]]-Table_246[[#This Row],[Valor gasto]]</f>
        <v>30</v>
      </c>
      <c r="M32" s="111">
        <f t="shared" si="2"/>
        <v>1</v>
      </c>
      <c r="N32" s="52" t="s">
        <v>20</v>
      </c>
      <c r="O32" s="114" t="str">
        <f>IF([1]!Table_246[[#This Row],[Coluna2]]&gt;0.5, "🔥 Excelente", IF([1]!Table_246[[#This Row],[Coluna2]]&gt;0.4, "👍 Bom", "⚠️ Baixo"))</f>
        <v>🔥 Excelente</v>
      </c>
    </row>
    <row r="33" spans="1:15" ht="15.75" customHeight="1">
      <c r="A33" s="28">
        <f>IF(Table_246[[#This Row],[Data]]="","",MONTH(Table_246[[#This Row],[Data]]))</f>
        <v>1</v>
      </c>
      <c r="B33" s="32">
        <v>46039</v>
      </c>
      <c r="C33" s="109" t="s">
        <v>146</v>
      </c>
      <c r="D33" s="43">
        <v>8</v>
      </c>
      <c r="E33" s="48" t="s">
        <v>1008</v>
      </c>
      <c r="F33" s="48" t="s">
        <v>555</v>
      </c>
      <c r="G33" s="49">
        <f>IFERROR(VLOOKUP(C33,PROD!$A$2:$E$1204,5,0),"0")</f>
        <v>7.0000000000000007E-2</v>
      </c>
      <c r="H33" s="10">
        <f>Table_246[[#This Row],[QT]]*Table_246[[#This Row],[Custo 
Un]]</f>
        <v>0.56000000000000005</v>
      </c>
      <c r="I33" s="52">
        <v>1</v>
      </c>
      <c r="J33" s="263">
        <f t="shared" si="0"/>
        <v>8</v>
      </c>
      <c r="K33" s="10">
        <f t="shared" si="1"/>
        <v>8</v>
      </c>
      <c r="L33" s="50">
        <f>Table_246[[#This Row],[Valor da 
venda]]-Table_246[[#This Row],[Valor gasto]]</f>
        <v>7.4399999999999995</v>
      </c>
      <c r="M33" s="111">
        <f t="shared" si="2"/>
        <v>0.92999999999999994</v>
      </c>
      <c r="N33" s="52" t="s">
        <v>20</v>
      </c>
      <c r="O33" s="114" t="str">
        <f>IF([1]!Table_246[[#This Row],[Coluna2]]&gt;0.5, "🔥 Excelente", IF([1]!Table_246[[#This Row],[Coluna2]]&gt;0.4, "👍 Bom", "⚠️ Baixo"))</f>
        <v>🔥 Excelente</v>
      </c>
    </row>
    <row r="34" spans="1:15" ht="15.75" customHeight="1">
      <c r="A34" s="28">
        <f>IF(Table_246[[#This Row],[Data]]="","",MONTH(Table_246[[#This Row],[Data]]))</f>
        <v>1</v>
      </c>
      <c r="B34" s="32">
        <v>46041</v>
      </c>
      <c r="C34" s="109" t="s">
        <v>1026</v>
      </c>
      <c r="D34" s="43">
        <v>1</v>
      </c>
      <c r="E34" s="48" t="s">
        <v>1008</v>
      </c>
      <c r="F34" s="48" t="s">
        <v>555</v>
      </c>
      <c r="G34" s="49">
        <v>25</v>
      </c>
      <c r="H34" s="10">
        <f>Table_246[[#This Row],[QT]]*Table_246[[#This Row],[Custo 
Un]]</f>
        <v>25</v>
      </c>
      <c r="I34" s="52">
        <v>50</v>
      </c>
      <c r="J34" s="263">
        <f t="shared" si="0"/>
        <v>50</v>
      </c>
      <c r="K34" s="10">
        <f t="shared" si="1"/>
        <v>50</v>
      </c>
      <c r="L34" s="50">
        <f>Table_246[[#This Row],[Valor da 
venda]]-Table_246[[#This Row],[Valor gasto]]</f>
        <v>25</v>
      </c>
      <c r="M34" s="111">
        <f t="shared" si="2"/>
        <v>0.5</v>
      </c>
      <c r="N34" s="52" t="s">
        <v>20</v>
      </c>
      <c r="O34" s="114" t="str">
        <f>IF([1]!Table_246[[#This Row],[Coluna2]]&gt;0.5, "🔥 Excelente", IF([1]!Table_246[[#This Row],[Coluna2]]&gt;0.4, "👍 Bom", "⚠️ Baixo"))</f>
        <v>👍 Bom</v>
      </c>
    </row>
    <row r="35" spans="1:15" ht="15.75" customHeight="1">
      <c r="A35" s="28">
        <f>IF(Table_246[[#This Row],[Data]]="","",MONTH(Table_246[[#This Row],[Data]]))</f>
        <v>1</v>
      </c>
      <c r="B35" s="32">
        <v>46039</v>
      </c>
      <c r="C35" s="109" t="s">
        <v>1027</v>
      </c>
      <c r="D35" s="43">
        <v>1</v>
      </c>
      <c r="E35" s="48" t="s">
        <v>1028</v>
      </c>
      <c r="F35" s="48" t="s">
        <v>555</v>
      </c>
      <c r="G35" s="49">
        <v>20</v>
      </c>
      <c r="H35" s="10">
        <f>Table_246[[#This Row],[QT]]*Table_246[[#This Row],[Custo 
Un]]</f>
        <v>20</v>
      </c>
      <c r="I35" s="52">
        <v>40</v>
      </c>
      <c r="J35" s="263">
        <f t="shared" si="0"/>
        <v>40</v>
      </c>
      <c r="K35" s="10">
        <f t="shared" si="1"/>
        <v>40</v>
      </c>
      <c r="L35" s="50">
        <f>Table_246[[#This Row],[Valor da 
venda]]-Table_246[[#This Row],[Valor gasto]]</f>
        <v>20</v>
      </c>
      <c r="M35" s="111">
        <f t="shared" si="2"/>
        <v>0.5</v>
      </c>
      <c r="N35" s="52" t="s">
        <v>20</v>
      </c>
      <c r="O35" s="114" t="str">
        <f>IF([1]!Table_246[[#This Row],[Coluna2]]&gt;0.5, "🔥 Excelente", IF([1]!Table_246[[#This Row],[Coluna2]]&gt;0.4, "👍 Bom", "⚠️ Baixo"))</f>
        <v>👍 Bom</v>
      </c>
    </row>
    <row r="36" spans="1:15" ht="15.75" customHeight="1">
      <c r="A36" s="28">
        <f>IF(Table_246[[#This Row],[Data]]="","",MONTH(Table_246[[#This Row],[Data]]))</f>
        <v>1</v>
      </c>
      <c r="B36" s="32">
        <v>46042</v>
      </c>
      <c r="C36" s="109" t="s">
        <v>1011</v>
      </c>
      <c r="D36" s="43">
        <v>1</v>
      </c>
      <c r="E36" s="48" t="s">
        <v>239</v>
      </c>
      <c r="F36" s="48" t="s">
        <v>555</v>
      </c>
      <c r="G36" s="49">
        <v>5</v>
      </c>
      <c r="H36" s="10">
        <f>Table_246[[#This Row],[QT]]*Table_246[[#This Row],[Custo 
Un]]</f>
        <v>5</v>
      </c>
      <c r="I36" s="52">
        <v>10</v>
      </c>
      <c r="J36" s="263">
        <f t="shared" si="0"/>
        <v>10</v>
      </c>
      <c r="K36" s="10">
        <f t="shared" si="1"/>
        <v>10</v>
      </c>
      <c r="L36" s="50">
        <f>Table_246[[#This Row],[Valor da 
venda]]-Table_246[[#This Row],[Valor gasto]]</f>
        <v>5</v>
      </c>
      <c r="M36" s="111">
        <f t="shared" si="2"/>
        <v>0.5</v>
      </c>
      <c r="N36" s="52" t="s">
        <v>20</v>
      </c>
      <c r="O36" s="114" t="str">
        <f>IF([1]!Table_246[[#This Row],[Coluna2]]&gt;0.5, "🔥 Excelente", IF([1]!Table_246[[#This Row],[Coluna2]]&gt;0.4, "👍 Bom", "⚠️ Baixo"))</f>
        <v>👍 Bom</v>
      </c>
    </row>
    <row r="37" spans="1:15" ht="15.75" customHeight="1">
      <c r="A37" s="28">
        <f>IF(Table_246[[#This Row],[Data]]="","",MONTH(Table_246[[#This Row],[Data]]))</f>
        <v>1</v>
      </c>
      <c r="B37" s="32">
        <v>46042</v>
      </c>
      <c r="C37" s="109" t="s">
        <v>1029</v>
      </c>
      <c r="D37" s="43">
        <v>1</v>
      </c>
      <c r="E37" s="48" t="s">
        <v>1008</v>
      </c>
      <c r="F37" s="48" t="s">
        <v>555</v>
      </c>
      <c r="G37" s="49">
        <v>5</v>
      </c>
      <c r="H37" s="10">
        <f>Table_246[[#This Row],[QT]]*Table_246[[#This Row],[Custo 
Un]]</f>
        <v>5</v>
      </c>
      <c r="I37" s="52">
        <v>10</v>
      </c>
      <c r="J37" s="263">
        <f t="shared" si="0"/>
        <v>10</v>
      </c>
      <c r="K37" s="10">
        <f t="shared" si="1"/>
        <v>10</v>
      </c>
      <c r="L37" s="50">
        <f>Table_246[[#This Row],[Valor da 
venda]]-Table_246[[#This Row],[Valor gasto]]</f>
        <v>5</v>
      </c>
      <c r="M37" s="111">
        <f t="shared" si="2"/>
        <v>0.5</v>
      </c>
      <c r="N37" s="52" t="s">
        <v>20</v>
      </c>
      <c r="O37" s="114" t="str">
        <f>IF([1]!Table_246[[#This Row],[Coluna2]]&gt;0.5, "🔥 Excelente", IF([1]!Table_246[[#This Row],[Coluna2]]&gt;0.4, "👍 Bom", "⚠️ Baixo"))</f>
        <v>👍 Bom</v>
      </c>
    </row>
    <row r="38" spans="1:15" ht="15.75" customHeight="1">
      <c r="A38" s="28">
        <f>IF(Table_246[[#This Row],[Data]]="","",MONTH(Table_246[[#This Row],[Data]]))</f>
        <v>1</v>
      </c>
      <c r="B38" s="32">
        <v>46042</v>
      </c>
      <c r="C38" s="109" t="s">
        <v>1030</v>
      </c>
      <c r="D38" s="43">
        <v>1</v>
      </c>
      <c r="E38" s="48" t="s">
        <v>337</v>
      </c>
      <c r="F38" s="48" t="s">
        <v>555</v>
      </c>
      <c r="G38" s="49">
        <f>IFERROR(VLOOKUP(C38,PROD!$A$2:$E$1204,5,0),"0")</f>
        <v>6</v>
      </c>
      <c r="H38" s="10">
        <f>Table_246[[#This Row],[QT]]*Table_246[[#This Row],[Custo 
Un]]</f>
        <v>6</v>
      </c>
      <c r="I38" s="52">
        <v>20</v>
      </c>
      <c r="J38" s="263">
        <f t="shared" si="0"/>
        <v>20</v>
      </c>
      <c r="K38" s="10">
        <f t="shared" si="1"/>
        <v>20</v>
      </c>
      <c r="L38" s="50">
        <f>Table_246[[#This Row],[Valor da 
venda]]-Table_246[[#This Row],[Valor gasto]]</f>
        <v>14</v>
      </c>
      <c r="M38" s="111">
        <f t="shared" si="2"/>
        <v>0.7</v>
      </c>
      <c r="N38" s="52" t="s">
        <v>20</v>
      </c>
      <c r="O38" s="114" t="str">
        <f>IF([1]!Table_246[[#This Row],[Coluna2]]&gt;0.5, "🔥 Excelente", IF([1]!Table_246[[#This Row],[Coluna2]]&gt;0.4, "👍 Bom", "⚠️ Baixo"))</f>
        <v>🔥 Excelente</v>
      </c>
    </row>
    <row r="39" spans="1:15" ht="15.75" customHeight="1">
      <c r="A39" s="28">
        <f>IF(Table_246[[#This Row],[Data]]="","",MONTH(Table_246[[#This Row],[Data]]))</f>
        <v>1</v>
      </c>
      <c r="B39" s="32">
        <v>46042</v>
      </c>
      <c r="C39" s="109" t="s">
        <v>1031</v>
      </c>
      <c r="D39" s="43">
        <v>1</v>
      </c>
      <c r="E39" s="48" t="s">
        <v>337</v>
      </c>
      <c r="F39" s="48" t="s">
        <v>555</v>
      </c>
      <c r="G39" s="49">
        <v>6.5</v>
      </c>
      <c r="H39" s="10">
        <f>Table_246[[#This Row],[QT]]*Table_246[[#This Row],[Custo 
Un]]</f>
        <v>6.5</v>
      </c>
      <c r="I39" s="52">
        <v>15</v>
      </c>
      <c r="J39" s="263">
        <f t="shared" si="0"/>
        <v>15</v>
      </c>
      <c r="K39" s="10">
        <f t="shared" si="1"/>
        <v>15</v>
      </c>
      <c r="L39" s="50">
        <f>Table_246[[#This Row],[Valor da 
venda]]-Table_246[[#This Row],[Valor gasto]]</f>
        <v>8.5</v>
      </c>
      <c r="M39" s="111">
        <f t="shared" si="2"/>
        <v>0.56666666666666665</v>
      </c>
      <c r="N39" s="52" t="s">
        <v>20</v>
      </c>
      <c r="O39" s="114" t="str">
        <f>IF([1]!Table_246[[#This Row],[Coluna2]]&gt;0.5, "🔥 Excelente", IF([1]!Table_246[[#This Row],[Coluna2]]&gt;0.4, "👍 Bom", "⚠️ Baixo"))</f>
        <v>🔥 Excelente</v>
      </c>
    </row>
    <row r="40" spans="1:15" ht="15.75" customHeight="1">
      <c r="A40" s="28">
        <f>IF(Table_246[[#This Row],[Data]]="","",MONTH(Table_246[[#This Row],[Data]]))</f>
        <v>1</v>
      </c>
      <c r="B40" s="32">
        <v>46042</v>
      </c>
      <c r="C40" s="109" t="s">
        <v>1032</v>
      </c>
      <c r="D40" s="43">
        <v>1</v>
      </c>
      <c r="E40" s="48" t="s">
        <v>1008</v>
      </c>
      <c r="F40" s="48" t="s">
        <v>555</v>
      </c>
      <c r="G40" s="49">
        <f>IFERROR(VLOOKUP(C40,PROD!$A$2:$E$1204,5,0),"0")</f>
        <v>6</v>
      </c>
      <c r="H40" s="10">
        <f>Table_246[[#This Row],[QT]]*Table_246[[#This Row],[Custo 
Un]]</f>
        <v>6</v>
      </c>
      <c r="I40" s="52">
        <v>10</v>
      </c>
      <c r="J40" s="263">
        <f t="shared" si="0"/>
        <v>10</v>
      </c>
      <c r="K40" s="10">
        <f t="shared" si="1"/>
        <v>10</v>
      </c>
      <c r="L40" s="50">
        <f>Table_246[[#This Row],[Valor da 
venda]]-Table_246[[#This Row],[Valor gasto]]</f>
        <v>4</v>
      </c>
      <c r="M40" s="111">
        <f t="shared" si="2"/>
        <v>0.4</v>
      </c>
      <c r="N40" s="52" t="s">
        <v>20</v>
      </c>
      <c r="O40" s="114" t="str">
        <f>IF([1]!Table_246[[#This Row],[Coluna2]]&gt;0.5, "🔥 Excelente", IF([1]!Table_246[[#This Row],[Coluna2]]&gt;0.4, "👍 Bom", "⚠️ Baixo"))</f>
        <v>⚠️ Baixo</v>
      </c>
    </row>
    <row r="41" spans="1:15" ht="15.75" customHeight="1">
      <c r="A41" s="28">
        <f>IF(Table_246[[#This Row],[Data]]="","",MONTH(Table_246[[#This Row],[Data]]))</f>
        <v>1</v>
      </c>
      <c r="B41" s="32">
        <v>46042</v>
      </c>
      <c r="C41" s="109" t="s">
        <v>1033</v>
      </c>
      <c r="D41" s="43">
        <v>2</v>
      </c>
      <c r="E41" s="48" t="s">
        <v>994</v>
      </c>
      <c r="F41" s="48" t="s">
        <v>555</v>
      </c>
      <c r="G41" s="49">
        <v>5</v>
      </c>
      <c r="H41" s="10">
        <f>Table_246[[#This Row],[QT]]*Table_246[[#This Row],[Custo 
Un]]</f>
        <v>10</v>
      </c>
      <c r="I41" s="52">
        <v>10</v>
      </c>
      <c r="J41" s="263">
        <f t="shared" si="0"/>
        <v>20</v>
      </c>
      <c r="K41" s="10">
        <f t="shared" si="1"/>
        <v>20</v>
      </c>
      <c r="L41" s="50">
        <f>Table_246[[#This Row],[Valor da 
venda]]-Table_246[[#This Row],[Valor gasto]]</f>
        <v>10</v>
      </c>
      <c r="M41" s="111">
        <f t="shared" si="2"/>
        <v>0.5</v>
      </c>
      <c r="N41" s="52" t="s">
        <v>20</v>
      </c>
      <c r="O41" s="114" t="str">
        <f>IF([1]!Table_246[[#This Row],[Coluna2]]&gt;0.5, "🔥 Excelente", IF([1]!Table_246[[#This Row],[Coluna2]]&gt;0.4, "👍 Bom", "⚠️ Baixo"))</f>
        <v>👍 Bom</v>
      </c>
    </row>
    <row r="42" spans="1:15" ht="15.75" customHeight="1">
      <c r="A42" s="28">
        <f>IF(Table_246[[#This Row],[Data]]="","",MONTH(Table_246[[#This Row],[Data]]))</f>
        <v>1</v>
      </c>
      <c r="B42" s="32">
        <v>46042</v>
      </c>
      <c r="C42" s="109" t="s">
        <v>1034</v>
      </c>
      <c r="D42" s="43">
        <v>1</v>
      </c>
      <c r="E42" s="48" t="s">
        <v>1008</v>
      </c>
      <c r="F42" s="48" t="s">
        <v>555</v>
      </c>
      <c r="G42" s="49">
        <v>18</v>
      </c>
      <c r="H42" s="10">
        <f>Table_246[[#This Row],[QT]]*Table_246[[#This Row],[Custo 
Un]]</f>
        <v>18</v>
      </c>
      <c r="I42" s="52">
        <v>35</v>
      </c>
      <c r="J42" s="263">
        <f t="shared" si="0"/>
        <v>35</v>
      </c>
      <c r="K42" s="10">
        <f t="shared" si="1"/>
        <v>35</v>
      </c>
      <c r="L42" s="50">
        <f>Table_246[[#This Row],[Valor da 
venda]]-Table_246[[#This Row],[Valor gasto]]</f>
        <v>17</v>
      </c>
      <c r="M42" s="111">
        <f t="shared" si="2"/>
        <v>0.48571428571428571</v>
      </c>
      <c r="N42" s="52" t="s">
        <v>20</v>
      </c>
      <c r="O42" s="114" t="str">
        <f>IF([1]!Table_246[[#This Row],[Coluna2]]&gt;0.5, "🔥 Excelente", IF([1]!Table_246[[#This Row],[Coluna2]]&gt;0.4, "👍 Bom", "⚠️ Baixo"))</f>
        <v>👍 Bom</v>
      </c>
    </row>
    <row r="43" spans="1:15" ht="15.75" customHeight="1">
      <c r="A43" s="28">
        <f>IF(Table_246[[#This Row],[Data]]="","",MONTH(Table_246[[#This Row],[Data]]))</f>
        <v>1</v>
      </c>
      <c r="B43" s="32">
        <v>46042</v>
      </c>
      <c r="C43" s="109" t="s">
        <v>1035</v>
      </c>
      <c r="D43" s="43">
        <v>1</v>
      </c>
      <c r="E43" s="48" t="s">
        <v>1008</v>
      </c>
      <c r="F43" s="48" t="s">
        <v>555</v>
      </c>
      <c r="G43" s="49">
        <v>25</v>
      </c>
      <c r="H43" s="10">
        <f>Table_246[[#This Row],[QT]]*Table_246[[#This Row],[Custo 
Un]]</f>
        <v>25</v>
      </c>
      <c r="I43" s="52">
        <v>60</v>
      </c>
      <c r="J43" s="263">
        <f t="shared" si="0"/>
        <v>60</v>
      </c>
      <c r="K43" s="10">
        <f t="shared" si="1"/>
        <v>60</v>
      </c>
      <c r="L43" s="50">
        <f>Table_246[[#This Row],[Valor da 
venda]]-Table_246[[#This Row],[Valor gasto]]</f>
        <v>35</v>
      </c>
      <c r="M43" s="111">
        <f t="shared" si="2"/>
        <v>0.58333333333333337</v>
      </c>
      <c r="N43" s="52" t="s">
        <v>20</v>
      </c>
      <c r="O43" s="114" t="str">
        <f>IF([1]!Table_246[[#This Row],[Coluna2]]&gt;0.5, "🔥 Excelente", IF([1]!Table_246[[#This Row],[Coluna2]]&gt;0.4, "👍 Bom", "⚠️ Baixo"))</f>
        <v>🔥 Excelente</v>
      </c>
    </row>
    <row r="44" spans="1:15" ht="15.75" customHeight="1">
      <c r="A44" s="28">
        <f>IF(Table_246[[#This Row],[Data]]="","",MONTH(Table_246[[#This Row],[Data]]))</f>
        <v>1</v>
      </c>
      <c r="B44" s="32">
        <v>46043</v>
      </c>
      <c r="C44" s="109" t="s">
        <v>1032</v>
      </c>
      <c r="D44" s="43">
        <v>1</v>
      </c>
      <c r="E44" s="48" t="s">
        <v>1036</v>
      </c>
      <c r="F44" s="48" t="s">
        <v>555</v>
      </c>
      <c r="G44" s="49">
        <v>5</v>
      </c>
      <c r="H44" s="10">
        <f>Table_246[[#This Row],[QT]]*Table_246[[#This Row],[Custo 
Un]]</f>
        <v>5</v>
      </c>
      <c r="I44" s="52">
        <v>10</v>
      </c>
      <c r="J44" s="263">
        <f t="shared" si="0"/>
        <v>10</v>
      </c>
      <c r="K44" s="10">
        <f t="shared" si="1"/>
        <v>10</v>
      </c>
      <c r="L44" s="50">
        <f>Table_246[[#This Row],[Valor da 
venda]]-Table_246[[#This Row],[Valor gasto]]</f>
        <v>5</v>
      </c>
      <c r="M44" s="111">
        <f t="shared" si="2"/>
        <v>0.5</v>
      </c>
      <c r="N44" s="52" t="s">
        <v>20</v>
      </c>
      <c r="O44" s="114" t="str">
        <f>IF([1]!Table_246[[#This Row],[Coluna2]]&gt;0.5, "🔥 Excelente", IF([1]!Table_246[[#This Row],[Coluna2]]&gt;0.4, "👍 Bom", "⚠️ Baixo"))</f>
        <v>👍 Bom</v>
      </c>
    </row>
    <row r="45" spans="1:15" ht="15.75" customHeight="1">
      <c r="A45" s="28">
        <f>IF(Table_246[[#This Row],[Data]]="","",MONTH(Table_246[[#This Row],[Data]]))</f>
        <v>1</v>
      </c>
      <c r="B45" s="32">
        <v>46043</v>
      </c>
      <c r="C45" s="109" t="s">
        <v>1037</v>
      </c>
      <c r="D45" s="43">
        <v>1</v>
      </c>
      <c r="E45" s="48" t="s">
        <v>1036</v>
      </c>
      <c r="F45" s="48" t="s">
        <v>555</v>
      </c>
      <c r="G45" s="49">
        <v>20</v>
      </c>
      <c r="H45" s="10">
        <f>Table_246[[#This Row],[QT]]*Table_246[[#This Row],[Custo 
Un]]</f>
        <v>20</v>
      </c>
      <c r="I45" s="52">
        <v>30</v>
      </c>
      <c r="J45" s="263">
        <f t="shared" si="0"/>
        <v>30</v>
      </c>
      <c r="K45" s="10">
        <f t="shared" si="1"/>
        <v>30</v>
      </c>
      <c r="L45" s="50">
        <f>Table_246[[#This Row],[Valor da 
venda]]-Table_246[[#This Row],[Valor gasto]]</f>
        <v>10</v>
      </c>
      <c r="M45" s="111">
        <f t="shared" si="2"/>
        <v>0.33333333333333331</v>
      </c>
      <c r="N45" s="52" t="s">
        <v>20</v>
      </c>
      <c r="O45" s="114" t="str">
        <f>IF([1]!Table_246[[#This Row],[Coluna2]]&gt;0.5, "🔥 Excelente", IF([1]!Table_246[[#This Row],[Coluna2]]&gt;0.4, "👍 Bom", "⚠️ Baixo"))</f>
        <v>⚠️ Baixo</v>
      </c>
    </row>
    <row r="46" spans="1:15" ht="15.75" customHeight="1">
      <c r="A46" s="28">
        <f>IF(Table_246[[#This Row],[Data]]="","",MONTH(Table_246[[#This Row],[Data]]))</f>
        <v>1</v>
      </c>
      <c r="B46" s="32">
        <v>46043</v>
      </c>
      <c r="C46" s="109" t="s">
        <v>1038</v>
      </c>
      <c r="D46" s="43">
        <v>1</v>
      </c>
      <c r="E46" s="48" t="s">
        <v>1036</v>
      </c>
      <c r="F46" s="48" t="s">
        <v>555</v>
      </c>
      <c r="G46" s="49">
        <v>18</v>
      </c>
      <c r="H46" s="10">
        <f>Table_246[[#This Row],[QT]]*Table_246[[#This Row],[Custo 
Un]]</f>
        <v>18</v>
      </c>
      <c r="I46" s="52">
        <v>30</v>
      </c>
      <c r="J46" s="263">
        <f t="shared" si="0"/>
        <v>30</v>
      </c>
      <c r="K46" s="10">
        <f t="shared" si="1"/>
        <v>30</v>
      </c>
      <c r="L46" s="50">
        <f>Table_246[[#This Row],[Valor da 
venda]]-Table_246[[#This Row],[Valor gasto]]</f>
        <v>12</v>
      </c>
      <c r="M46" s="111">
        <f t="shared" si="2"/>
        <v>0.4</v>
      </c>
      <c r="N46" s="52" t="s">
        <v>20</v>
      </c>
      <c r="O46" s="114" t="str">
        <f>IF([1]!Table_246[[#This Row],[Coluna2]]&gt;0.5, "🔥 Excelente", IF([1]!Table_246[[#This Row],[Coluna2]]&gt;0.4, "👍 Bom", "⚠️ Baixo"))</f>
        <v>⚠️ Baixo</v>
      </c>
    </row>
    <row r="47" spans="1:15" ht="15.75" customHeight="1">
      <c r="A47" s="28">
        <f>IF(Table_246[[#This Row],[Data]]="","",MONTH(Table_246[[#This Row],[Data]]))</f>
        <v>1</v>
      </c>
      <c r="B47" s="32">
        <v>46043</v>
      </c>
      <c r="C47" s="109" t="s">
        <v>1012</v>
      </c>
      <c r="D47" s="43">
        <v>1</v>
      </c>
      <c r="E47" s="48" t="s">
        <v>1039</v>
      </c>
      <c r="F47" s="48" t="s">
        <v>22</v>
      </c>
      <c r="G47" s="49">
        <v>7.5</v>
      </c>
      <c r="H47" s="10">
        <f>Table_246[[#This Row],[QT]]*Table_246[[#This Row],[Custo 
Un]]</f>
        <v>7.5</v>
      </c>
      <c r="I47" s="52">
        <v>11.2</v>
      </c>
      <c r="J47" s="263">
        <f t="shared" si="0"/>
        <v>11.2</v>
      </c>
      <c r="K47" s="10">
        <f t="shared" si="1"/>
        <v>11.2</v>
      </c>
      <c r="L47" s="50">
        <f>Table_246[[#This Row],[Valor da 
venda]]-Table_246[[#This Row],[Valor gasto]]</f>
        <v>3.6999999999999993</v>
      </c>
      <c r="M47" s="111">
        <f t="shared" si="2"/>
        <v>0.33035714285714279</v>
      </c>
      <c r="N47" s="52" t="s">
        <v>20</v>
      </c>
      <c r="O47" s="114" t="str">
        <f>IF([1]!Table_246[[#This Row],[Coluna2]]&gt;0.5, "🔥 Excelente", IF([1]!Table_246[[#This Row],[Coluna2]]&gt;0.4, "👍 Bom", "⚠️ Baixo"))</f>
        <v>⚠️ Baixo</v>
      </c>
    </row>
    <row r="48" spans="1:15" ht="15.75" customHeight="1">
      <c r="A48" s="28">
        <f>IF(Table_246[[#This Row],[Data]]="","",MONTH(Table_246[[#This Row],[Data]]))</f>
        <v>1</v>
      </c>
      <c r="B48" s="32">
        <v>46043</v>
      </c>
      <c r="C48" s="109" t="s">
        <v>1040</v>
      </c>
      <c r="D48" s="43">
        <v>1</v>
      </c>
      <c r="E48" s="48" t="s">
        <v>1041</v>
      </c>
      <c r="F48" s="48" t="s">
        <v>22</v>
      </c>
      <c r="G48" s="49">
        <v>0</v>
      </c>
      <c r="H48" s="10">
        <f>Table_246[[#This Row],[QT]]*Table_246[[#This Row],[Custo 
Un]]</f>
        <v>0</v>
      </c>
      <c r="I48" s="52">
        <v>45.84</v>
      </c>
      <c r="J48" s="263">
        <f t="shared" si="0"/>
        <v>45.84</v>
      </c>
      <c r="K48" s="10">
        <f t="shared" si="1"/>
        <v>45.84</v>
      </c>
      <c r="L48" s="50">
        <f>Table_246[[#This Row],[Valor da 
venda]]-Table_246[[#This Row],[Valor gasto]]</f>
        <v>45.84</v>
      </c>
      <c r="M48" s="111">
        <f t="shared" si="2"/>
        <v>1</v>
      </c>
      <c r="N48" s="52" t="s">
        <v>20</v>
      </c>
      <c r="O48" s="114" t="str">
        <f>IF([1]!Table_246[[#This Row],[Coluna2]]&gt;0.5, "🔥 Excelente", IF([1]!Table_246[[#This Row],[Coluna2]]&gt;0.4, "👍 Bom", "⚠️ Baixo"))</f>
        <v>🔥 Excelente</v>
      </c>
    </row>
    <row r="49" spans="1:15" ht="15.75" customHeight="1">
      <c r="A49" s="28">
        <f>IF(Table_246[[#This Row],[Data]]="","",MONTH(Table_246[[#This Row],[Data]]))</f>
        <v>1</v>
      </c>
      <c r="B49" s="32">
        <v>46043</v>
      </c>
      <c r="C49" s="109" t="s">
        <v>1042</v>
      </c>
      <c r="D49" s="43">
        <v>1</v>
      </c>
      <c r="E49" s="110">
        <v>582149843775227</v>
      </c>
      <c r="F49" s="48" t="s">
        <v>1016</v>
      </c>
      <c r="G49" s="49">
        <v>7</v>
      </c>
      <c r="H49" s="10">
        <f>Table_246[[#This Row],[QT]]*Table_246[[#This Row],[Custo 
Un]]</f>
        <v>7</v>
      </c>
      <c r="I49" s="52">
        <v>55.2</v>
      </c>
      <c r="J49" s="263">
        <f t="shared" si="0"/>
        <v>55.2</v>
      </c>
      <c r="K49" s="10">
        <f t="shared" si="1"/>
        <v>55.2</v>
      </c>
      <c r="L49" s="50">
        <f>Table_246[[#This Row],[Valor da 
venda]]-Table_246[[#This Row],[Valor gasto]]</f>
        <v>48.2</v>
      </c>
      <c r="M49" s="111">
        <f t="shared" si="2"/>
        <v>0.87318840579710144</v>
      </c>
      <c r="N49" s="52" t="s">
        <v>20</v>
      </c>
      <c r="O49" s="114" t="str">
        <f>IF([1]!Table_246[[#This Row],[Coluna2]]&gt;0.5, "🔥 Excelente", IF([1]!Table_246[[#This Row],[Coluna2]]&gt;0.4, "👍 Bom", "⚠️ Baixo"))</f>
        <v>🔥 Excelente</v>
      </c>
    </row>
    <row r="50" spans="1:15" ht="15.75" customHeight="1">
      <c r="A50" s="28">
        <f>IF(Table_246[[#This Row],[Data]]="","",MONTH(Table_246[[#This Row],[Data]]))</f>
        <v>1</v>
      </c>
      <c r="B50" s="32">
        <v>46044</v>
      </c>
      <c r="C50" s="109" t="s">
        <v>146</v>
      </c>
      <c r="D50" s="43">
        <v>12</v>
      </c>
      <c r="E50" s="48" t="s">
        <v>58</v>
      </c>
      <c r="F50" s="48" t="s">
        <v>555</v>
      </c>
      <c r="G50" s="49">
        <f>IFERROR(VLOOKUP(C50,PROD!$A$2:$E$1204,5,0),"0")</f>
        <v>7.0000000000000007E-2</v>
      </c>
      <c r="H50" s="10">
        <f>Table_246[[#This Row],[QT]]*Table_246[[#This Row],[Custo 
Un]]</f>
        <v>0.84000000000000008</v>
      </c>
      <c r="I50" s="52">
        <v>1</v>
      </c>
      <c r="J50" s="263">
        <f t="shared" si="0"/>
        <v>12</v>
      </c>
      <c r="K50" s="10">
        <f t="shared" si="1"/>
        <v>12</v>
      </c>
      <c r="L50" s="50">
        <f>Table_246[[#This Row],[Valor da 
venda]]-Table_246[[#This Row],[Valor gasto]]</f>
        <v>11.16</v>
      </c>
      <c r="M50" s="111">
        <f t="shared" si="2"/>
        <v>0.93</v>
      </c>
      <c r="N50" s="52" t="s">
        <v>20</v>
      </c>
      <c r="O50" s="114" t="str">
        <f>IF([1]!Table_246[[#This Row],[Coluna2]]&gt;0.5, "🔥 Excelente", IF([1]!Table_246[[#This Row],[Coluna2]]&gt;0.4, "👍 Bom", "⚠️ Baixo"))</f>
        <v>🔥 Excelente</v>
      </c>
    </row>
    <row r="51" spans="1:15" ht="15.75" customHeight="1">
      <c r="A51" s="28">
        <f>IF(Table_246[[#This Row],[Data]]="","",MONTH(Table_246[[#This Row],[Data]]))</f>
        <v>1</v>
      </c>
      <c r="B51" s="32">
        <v>46044</v>
      </c>
      <c r="C51" s="109" t="s">
        <v>146</v>
      </c>
      <c r="D51" s="43">
        <v>2</v>
      </c>
      <c r="E51" s="48" t="s">
        <v>1043</v>
      </c>
      <c r="F51" s="48" t="s">
        <v>555</v>
      </c>
      <c r="G51" s="49">
        <f>IFERROR(VLOOKUP(C51,PROD!$A$2:$E$1204,5,0),"0")</f>
        <v>7.0000000000000007E-2</v>
      </c>
      <c r="H51" s="10">
        <f>Table_246[[#This Row],[QT]]*Table_246[[#This Row],[Custo 
Un]]</f>
        <v>0.14000000000000001</v>
      </c>
      <c r="I51" s="52">
        <v>1</v>
      </c>
      <c r="J51" s="263">
        <f t="shared" si="0"/>
        <v>2</v>
      </c>
      <c r="K51" s="10">
        <f t="shared" si="1"/>
        <v>2</v>
      </c>
      <c r="L51" s="50">
        <f>Table_246[[#This Row],[Valor da 
venda]]-Table_246[[#This Row],[Valor gasto]]</f>
        <v>1.8599999999999999</v>
      </c>
      <c r="M51" s="111">
        <f t="shared" si="2"/>
        <v>0.92999999999999994</v>
      </c>
      <c r="N51" s="52" t="s">
        <v>20</v>
      </c>
      <c r="O51" s="114" t="str">
        <f>IF([1]!Table_246[[#This Row],[Coluna2]]&gt;0.5, "🔥 Excelente", IF([1]!Table_246[[#This Row],[Coluna2]]&gt;0.4, "👍 Bom", "⚠️ Baixo"))</f>
        <v>🔥 Excelente</v>
      </c>
    </row>
    <row r="52" spans="1:15" ht="15.75" customHeight="1">
      <c r="A52" s="28">
        <f>IF(Table_246[[#This Row],[Data]]="","",MONTH(Table_246[[#This Row],[Data]]))</f>
        <v>1</v>
      </c>
      <c r="B52" s="32">
        <v>46044</v>
      </c>
      <c r="C52" s="109" t="s">
        <v>1044</v>
      </c>
      <c r="D52" s="43">
        <v>1</v>
      </c>
      <c r="E52" s="48" t="s">
        <v>1045</v>
      </c>
      <c r="F52" s="48" t="s">
        <v>555</v>
      </c>
      <c r="G52" s="49">
        <f>IFERROR(VLOOKUP(C52,PROD!$A$2:$E$1204,5,0),"0")</f>
        <v>0</v>
      </c>
      <c r="H52" s="10">
        <f>Table_246[[#This Row],[QT]]*Table_246[[#This Row],[Custo 
Un]]</f>
        <v>0</v>
      </c>
      <c r="I52" s="52">
        <v>3</v>
      </c>
      <c r="J52" s="263">
        <f t="shared" si="0"/>
        <v>3</v>
      </c>
      <c r="K52" s="10">
        <f t="shared" si="1"/>
        <v>3</v>
      </c>
      <c r="L52" s="50">
        <f>Table_246[[#This Row],[Valor da 
venda]]-Table_246[[#This Row],[Valor gasto]]</f>
        <v>3</v>
      </c>
      <c r="M52" s="111">
        <f t="shared" si="2"/>
        <v>1</v>
      </c>
      <c r="N52" s="52" t="s">
        <v>20</v>
      </c>
      <c r="O52" s="114" t="str">
        <f>IF([1]!Table_246[[#This Row],[Coluna2]]&gt;0.5, "🔥 Excelente", IF([1]!Table_246[[#This Row],[Coluna2]]&gt;0.4, "👍 Bom", "⚠️ Baixo"))</f>
        <v>🔥 Excelente</v>
      </c>
    </row>
    <row r="53" spans="1:15" ht="15.75" customHeight="1">
      <c r="A53" s="28">
        <f>IF(Table_246[[#This Row],[Data]]="","",MONTH(Table_246[[#This Row],[Data]]))</f>
        <v>1</v>
      </c>
      <c r="B53" s="32">
        <v>46045</v>
      </c>
      <c r="C53" s="109" t="s">
        <v>223</v>
      </c>
      <c r="D53" s="43">
        <v>1</v>
      </c>
      <c r="E53" s="48" t="s">
        <v>402</v>
      </c>
      <c r="F53" s="48" t="s">
        <v>555</v>
      </c>
      <c r="G53" s="49" t="str">
        <f>IFERROR(VLOOKUP(#REF!,PROD!$A$2:$E$1204,5,0),"0")</f>
        <v>0</v>
      </c>
      <c r="H53" s="10">
        <f>Table_246[[#This Row],[QT]]*Table_246[[#This Row],[Custo 
Un]]</f>
        <v>0</v>
      </c>
      <c r="I53" s="52">
        <v>70</v>
      </c>
      <c r="J53" s="263">
        <f t="shared" si="0"/>
        <v>70</v>
      </c>
      <c r="K53" s="10">
        <f t="shared" si="1"/>
        <v>70</v>
      </c>
      <c r="L53" s="50">
        <f>Table_246[[#This Row],[Valor da 
venda]]-Table_246[[#This Row],[Valor gasto]]</f>
        <v>70</v>
      </c>
      <c r="M53" s="111">
        <f t="shared" si="2"/>
        <v>1</v>
      </c>
      <c r="N53" s="52" t="s">
        <v>20</v>
      </c>
      <c r="O53" s="114" t="str">
        <f>IF([1]!Table_246[[#This Row],[Coluna2]]&gt;0.5, "🔥 Excelente", IF([1]!Table_246[[#This Row],[Coluna2]]&gt;0.4, "👍 Bom", "⚠️ Baixo"))</f>
        <v>🔥 Excelente</v>
      </c>
    </row>
    <row r="54" spans="1:15" ht="15.75" customHeight="1">
      <c r="A54" s="28">
        <f>IF(Table_246[[#This Row],[Data]]="","",MONTH(Table_246[[#This Row],[Data]]))</f>
        <v>1</v>
      </c>
      <c r="B54" s="32">
        <v>46045</v>
      </c>
      <c r="C54" t="s">
        <v>274</v>
      </c>
      <c r="D54" s="43">
        <v>1</v>
      </c>
      <c r="E54" s="48" t="s">
        <v>1006</v>
      </c>
      <c r="F54" s="48" t="s">
        <v>555</v>
      </c>
      <c r="G54" s="49">
        <f>IFERROR(VLOOKUP(C53,PROD!$A$2:$E$1204,5,0),"0")</f>
        <v>0</v>
      </c>
      <c r="H54" s="10">
        <f>Table_246[[#This Row],[QT]]*Table_246[[#This Row],[Custo 
Un]]</f>
        <v>0</v>
      </c>
      <c r="I54" s="52">
        <v>50</v>
      </c>
      <c r="J54" s="263">
        <f t="shared" si="0"/>
        <v>50</v>
      </c>
      <c r="K54" s="10">
        <f t="shared" si="1"/>
        <v>50</v>
      </c>
      <c r="L54" s="50">
        <f>Table_246[[#This Row],[Valor da 
venda]]-Table_246[[#This Row],[Valor gasto]]</f>
        <v>50</v>
      </c>
      <c r="M54" s="111">
        <f t="shared" si="2"/>
        <v>1</v>
      </c>
      <c r="N54" s="52" t="s">
        <v>20</v>
      </c>
      <c r="O54" s="114" t="str">
        <f>IF([1]!Table_246[[#This Row],[Coluna2]]&gt;0.5, "🔥 Excelente", IF([1]!Table_246[[#This Row],[Coluna2]]&gt;0.4, "👍 Bom", "⚠️ Baixo"))</f>
        <v>🔥 Excelente</v>
      </c>
    </row>
    <row r="55" spans="1:15" ht="15.75" customHeight="1">
      <c r="A55" s="28">
        <f>IF(Table_246[[#This Row],[Data]]="","",MONTH(Table_246[[#This Row],[Data]]))</f>
        <v>1</v>
      </c>
      <c r="B55" s="32">
        <v>46046</v>
      </c>
      <c r="C55" s="109" t="s">
        <v>1046</v>
      </c>
      <c r="D55" s="43">
        <v>1</v>
      </c>
      <c r="E55" s="48" t="s">
        <v>801</v>
      </c>
      <c r="F55" s="48" t="s">
        <v>555</v>
      </c>
      <c r="G55" s="49">
        <v>5</v>
      </c>
      <c r="H55" s="10">
        <f>Table_246[[#This Row],[QT]]*Table_246[[#This Row],[Custo 
Un]]</f>
        <v>5</v>
      </c>
      <c r="I55" s="52">
        <v>10</v>
      </c>
      <c r="J55" s="263">
        <f t="shared" si="0"/>
        <v>10</v>
      </c>
      <c r="K55" s="10">
        <f t="shared" si="1"/>
        <v>10</v>
      </c>
      <c r="L55" s="50">
        <f>Table_246[[#This Row],[Valor da 
venda]]-Table_246[[#This Row],[Valor gasto]]</f>
        <v>5</v>
      </c>
      <c r="M55" s="111">
        <f t="shared" si="2"/>
        <v>0.5</v>
      </c>
      <c r="N55" s="52" t="s">
        <v>20</v>
      </c>
      <c r="O55" s="114" t="str">
        <f>IF([1]!Table_246[[#This Row],[Coluna2]]&gt;0.5, "🔥 Excelente", IF([1]!Table_246[[#This Row],[Coluna2]]&gt;0.4, "👍 Bom", "⚠️ Baixo"))</f>
        <v>👍 Bom</v>
      </c>
    </row>
    <row r="56" spans="1:15" ht="15.75" customHeight="1">
      <c r="A56" s="28">
        <f>IF(Table_246[[#This Row],[Data]]="","",MONTH(Table_246[[#This Row],[Data]]))</f>
        <v>1</v>
      </c>
      <c r="B56" s="32">
        <v>46046</v>
      </c>
      <c r="C56" s="109" t="s">
        <v>146</v>
      </c>
      <c r="D56" s="43">
        <v>5</v>
      </c>
      <c r="E56" s="48" t="s">
        <v>635</v>
      </c>
      <c r="F56" s="48" t="s">
        <v>555</v>
      </c>
      <c r="G56" s="49">
        <f>IFERROR(VLOOKUP(C56,PROD!$A$2:$E$1204,5,0),"0")</f>
        <v>7.0000000000000007E-2</v>
      </c>
      <c r="H56" s="10">
        <f>Table_246[[#This Row],[QT]]*Table_246[[#This Row],[Custo 
Un]]</f>
        <v>0.35000000000000003</v>
      </c>
      <c r="I56" s="52">
        <v>1</v>
      </c>
      <c r="J56" s="263">
        <f t="shared" si="0"/>
        <v>5</v>
      </c>
      <c r="K56" s="10">
        <f t="shared" si="1"/>
        <v>5</v>
      </c>
      <c r="L56" s="50">
        <f>Table_246[[#This Row],[Valor da 
venda]]-Table_246[[#This Row],[Valor gasto]]</f>
        <v>4.6500000000000004</v>
      </c>
      <c r="M56" s="111">
        <f t="shared" si="2"/>
        <v>0.93</v>
      </c>
      <c r="N56" s="52" t="s">
        <v>20</v>
      </c>
      <c r="O56" s="114" t="str">
        <f>IF([1]!Table_246[[#This Row],[Coluna2]]&gt;0.5, "🔥 Excelente", IF([1]!Table_246[[#This Row],[Coluna2]]&gt;0.4, "👍 Bom", "⚠️ Baixo"))</f>
        <v>🔥 Excelente</v>
      </c>
    </row>
    <row r="57" spans="1:15" ht="15.75" customHeight="1">
      <c r="A57" s="28">
        <f>IF(Table_246[[#This Row],[Data]]="","",MONTH(Table_246[[#This Row],[Data]]))</f>
        <v>1</v>
      </c>
      <c r="B57" s="32">
        <v>46048</v>
      </c>
      <c r="C57" s="109" t="s">
        <v>1047</v>
      </c>
      <c r="D57" s="43">
        <v>1</v>
      </c>
      <c r="E57" s="48" t="s">
        <v>1048</v>
      </c>
      <c r="F57" s="48" t="s">
        <v>22</v>
      </c>
      <c r="G57" s="49">
        <v>0.7</v>
      </c>
      <c r="H57" s="10">
        <f>Table_246[[#This Row],[QT]]*Table_246[[#This Row],[Custo 
Un]]</f>
        <v>0.7</v>
      </c>
      <c r="I57" s="52">
        <v>6.26</v>
      </c>
      <c r="J57" s="263">
        <f t="shared" si="0"/>
        <v>6.26</v>
      </c>
      <c r="K57" s="10">
        <f t="shared" si="1"/>
        <v>6.26</v>
      </c>
      <c r="L57" s="50">
        <f>Table_246[[#This Row],[Valor da 
venda]]-Table_246[[#This Row],[Valor gasto]]</f>
        <v>5.56</v>
      </c>
      <c r="M57" s="111">
        <f t="shared" si="2"/>
        <v>0.88817891373801916</v>
      </c>
      <c r="N57" s="52" t="s">
        <v>20</v>
      </c>
      <c r="O57" s="114" t="str">
        <f>IF([1]!Table_246[[#This Row],[Coluna2]]&gt;0.5, "🔥 Excelente", IF([1]!Table_246[[#This Row],[Coluna2]]&gt;0.4, "👍 Bom", "⚠️ Baixo"))</f>
        <v>🔥 Excelente</v>
      </c>
    </row>
    <row r="58" spans="1:15" ht="15.75" customHeight="1">
      <c r="A58" s="28">
        <f>IF(Table_246[[#This Row],[Data]]="","",MONTH(Table_246[[#This Row],[Data]]))</f>
        <v>1</v>
      </c>
      <c r="B58" s="32">
        <v>46048</v>
      </c>
      <c r="C58" s="109" t="s">
        <v>1049</v>
      </c>
      <c r="D58" s="43">
        <v>1</v>
      </c>
      <c r="E58" s="48" t="s">
        <v>1050</v>
      </c>
      <c r="F58" s="48" t="s">
        <v>22</v>
      </c>
      <c r="G58" s="49">
        <f>0.7*4</f>
        <v>2.8</v>
      </c>
      <c r="H58" s="10">
        <f>Table_246[[#This Row],[QT]]*Table_246[[#This Row],[Custo 
Un]]</f>
        <v>2.8</v>
      </c>
      <c r="I58" s="52">
        <v>6.26</v>
      </c>
      <c r="J58" s="263">
        <f t="shared" si="0"/>
        <v>6.26</v>
      </c>
      <c r="K58" s="10">
        <f t="shared" si="1"/>
        <v>6.26</v>
      </c>
      <c r="L58" s="50">
        <f>Table_246[[#This Row],[Valor da 
venda]]-Table_246[[#This Row],[Valor gasto]]</f>
        <v>3.46</v>
      </c>
      <c r="M58" s="111">
        <f t="shared" si="2"/>
        <v>0.55271565495207664</v>
      </c>
      <c r="N58" s="52" t="s">
        <v>20</v>
      </c>
      <c r="O58" s="114" t="str">
        <f>IF([1]!Table_246[[#This Row],[Coluna2]]&gt;0.5, "🔥 Excelente", IF([1]!Table_246[[#This Row],[Coluna2]]&gt;0.4, "👍 Bom", "⚠️ Baixo"))</f>
        <v>🔥 Excelente</v>
      </c>
    </row>
    <row r="59" spans="1:15" ht="15.75" customHeight="1">
      <c r="A59" s="28">
        <f>IF(Table_246[[#This Row],[Data]]="","",MONTH(Table_246[[#This Row],[Data]]))</f>
        <v>1</v>
      </c>
      <c r="B59" s="32">
        <v>46048</v>
      </c>
      <c r="C59" s="109" t="s">
        <v>1051</v>
      </c>
      <c r="D59" s="43">
        <v>1</v>
      </c>
      <c r="E59" s="48" t="s">
        <v>1052</v>
      </c>
      <c r="F59" s="48" t="s">
        <v>22</v>
      </c>
      <c r="G59" s="49">
        <v>4.5</v>
      </c>
      <c r="H59" s="10">
        <f>Table_246[[#This Row],[QT]]*Table_246[[#This Row],[Custo 
Un]]</f>
        <v>4.5</v>
      </c>
      <c r="I59" s="52">
        <v>17.059999999999999</v>
      </c>
      <c r="J59" s="263">
        <f t="shared" si="0"/>
        <v>17.059999999999999</v>
      </c>
      <c r="K59" s="10">
        <f t="shared" si="1"/>
        <v>17.059999999999999</v>
      </c>
      <c r="L59" s="50">
        <f>Table_246[[#This Row],[Valor da 
venda]]-Table_246[[#This Row],[Valor gasto]]</f>
        <v>12.559999999999999</v>
      </c>
      <c r="M59" s="111">
        <f t="shared" si="2"/>
        <v>0.73622508792497066</v>
      </c>
      <c r="N59" s="52" t="s">
        <v>20</v>
      </c>
      <c r="O59" s="114" t="str">
        <f>IF([1]!Table_246[[#This Row],[Coluna2]]&gt;0.5, "🔥 Excelente", IF([1]!Table_246[[#This Row],[Coluna2]]&gt;0.4, "👍 Bom", "⚠️ Baixo"))</f>
        <v>🔥 Excelente</v>
      </c>
    </row>
    <row r="60" spans="1:15" ht="15.75" customHeight="1">
      <c r="A60" s="28">
        <f>IF(Table_246[[#This Row],[Data]]="","",MONTH(Table_246[[#This Row],[Data]]))</f>
        <v>1</v>
      </c>
      <c r="B60" s="32">
        <v>46048</v>
      </c>
      <c r="C60" s="109" t="s">
        <v>1042</v>
      </c>
      <c r="D60" s="43">
        <v>1</v>
      </c>
      <c r="E60" s="48" t="s">
        <v>1053</v>
      </c>
      <c r="F60" s="48" t="s">
        <v>22</v>
      </c>
      <c r="G60" s="49">
        <v>7</v>
      </c>
      <c r="H60" s="10">
        <f>Table_246[[#This Row],[QT]]*Table_246[[#This Row],[Custo 
Un]]</f>
        <v>7</v>
      </c>
      <c r="I60" s="52">
        <v>45.39</v>
      </c>
      <c r="J60" s="263">
        <f t="shared" si="0"/>
        <v>45.39</v>
      </c>
      <c r="K60" s="10">
        <f t="shared" si="1"/>
        <v>45.39</v>
      </c>
      <c r="L60" s="50">
        <f>Table_246[[#This Row],[Valor da 
venda]]-Table_246[[#This Row],[Valor gasto]]</f>
        <v>38.39</v>
      </c>
      <c r="M60" s="111">
        <f t="shared" si="2"/>
        <v>0.8457810090328266</v>
      </c>
      <c r="N60" s="52" t="s">
        <v>20</v>
      </c>
      <c r="O60" s="114" t="str">
        <f>IF([1]!Table_246[[#This Row],[Coluna2]]&gt;0.5, "🔥 Excelente", IF([1]!Table_246[[#This Row],[Coluna2]]&gt;0.4, "👍 Bom", "⚠️ Baixo"))</f>
        <v>🔥 Excelente</v>
      </c>
    </row>
    <row r="61" spans="1:15" ht="15.75" customHeight="1">
      <c r="A61" s="28">
        <f>IF(Table_246[[#This Row],[Data]]="","",MONTH(Table_246[[#This Row],[Data]]))</f>
        <v>1</v>
      </c>
      <c r="B61" s="32">
        <v>46048</v>
      </c>
      <c r="C61" s="109" t="s">
        <v>1047</v>
      </c>
      <c r="D61" s="43">
        <v>1</v>
      </c>
      <c r="E61" s="48" t="s">
        <v>1054</v>
      </c>
      <c r="F61" s="48" t="s">
        <v>22</v>
      </c>
      <c r="G61" s="49">
        <v>0.7</v>
      </c>
      <c r="H61" s="10">
        <f>Table_246[[#This Row],[QT]]*Table_246[[#This Row],[Custo 
Un]]</f>
        <v>0.7</v>
      </c>
      <c r="I61" s="52">
        <v>8.31</v>
      </c>
      <c r="J61" s="263">
        <f t="shared" si="0"/>
        <v>8.31</v>
      </c>
      <c r="K61" s="10">
        <f t="shared" si="1"/>
        <v>8.31</v>
      </c>
      <c r="L61" s="50">
        <f>Table_246[[#This Row],[Valor da 
venda]]-Table_246[[#This Row],[Valor gasto]]</f>
        <v>7.61</v>
      </c>
      <c r="M61" s="111">
        <f t="shared" si="2"/>
        <v>0.91576413959085434</v>
      </c>
      <c r="N61" s="52" t="s">
        <v>20</v>
      </c>
      <c r="O61" s="114" t="str">
        <f>IF([1]!Table_246[[#This Row],[Coluna2]]&gt;0.5, "🔥 Excelente", IF([1]!Table_246[[#This Row],[Coluna2]]&gt;0.4, "👍 Bom", "⚠️ Baixo"))</f>
        <v>🔥 Excelente</v>
      </c>
    </row>
    <row r="62" spans="1:15" ht="15.75" customHeight="1">
      <c r="A62" s="28">
        <f>IF(Table_246[[#This Row],[Data]]="","",MONTH(Table_246[[#This Row],[Data]]))</f>
        <v>1</v>
      </c>
      <c r="B62" s="32">
        <v>46048</v>
      </c>
      <c r="C62" s="109" t="s">
        <v>1055</v>
      </c>
      <c r="D62" s="43">
        <v>1</v>
      </c>
      <c r="E62" s="48" t="s">
        <v>322</v>
      </c>
      <c r="F62" s="48" t="s">
        <v>555</v>
      </c>
      <c r="G62" s="49">
        <v>275</v>
      </c>
      <c r="H62" s="10">
        <f>Table_246[[#This Row],[QT]]*Table_246[[#This Row],[Custo 
Un]]</f>
        <v>275</v>
      </c>
      <c r="I62" s="52">
        <v>360</v>
      </c>
      <c r="J62" s="263">
        <f t="shared" si="0"/>
        <v>360</v>
      </c>
      <c r="K62" s="10">
        <f t="shared" si="1"/>
        <v>360</v>
      </c>
      <c r="L62" s="50">
        <f>Table_246[[#This Row],[Valor da 
venda]]-Table_246[[#This Row],[Valor gasto]]</f>
        <v>85</v>
      </c>
      <c r="M62" s="111">
        <f t="shared" si="2"/>
        <v>0.2361111111111111</v>
      </c>
      <c r="N62" s="52" t="s">
        <v>20</v>
      </c>
      <c r="O62" s="114" t="str">
        <f>IF([1]!Table_246[[#This Row],[Coluna2]]&gt;0.5, "🔥 Excelente", IF([1]!Table_246[[#This Row],[Coluna2]]&gt;0.4, "👍 Bom", "⚠️ Baixo"))</f>
        <v>⚠️ Baixo</v>
      </c>
    </row>
    <row r="63" spans="1:15" ht="15.75" customHeight="1">
      <c r="A63" s="28">
        <f>IF(Table_246[[#This Row],[Data]]="","",MONTH(Table_246[[#This Row],[Data]]))</f>
        <v>1</v>
      </c>
      <c r="B63" s="32">
        <v>46049</v>
      </c>
      <c r="C63" s="109" t="s">
        <v>1047</v>
      </c>
      <c r="D63" s="43">
        <v>1</v>
      </c>
      <c r="E63" s="48" t="s">
        <v>1056</v>
      </c>
      <c r="F63" s="48" t="s">
        <v>22</v>
      </c>
      <c r="G63" s="49">
        <f>IFERROR(VLOOKUP(C63,PROD!$A$2:$E$1204,5,0),"0")</f>
        <v>0.7</v>
      </c>
      <c r="H63" s="10">
        <f>Table_246[[#This Row],[QT]]*Table_246[[#This Row],[Custo 
Un]]</f>
        <v>0.7</v>
      </c>
      <c r="I63" s="52">
        <v>7.02</v>
      </c>
      <c r="J63" s="263">
        <f t="shared" si="0"/>
        <v>7.02</v>
      </c>
      <c r="K63" s="10">
        <f t="shared" si="1"/>
        <v>7.02</v>
      </c>
      <c r="L63" s="50">
        <f>Table_246[[#This Row],[Valor da 
venda]]-Table_246[[#This Row],[Valor gasto]]</f>
        <v>6.3199999999999994</v>
      </c>
      <c r="M63" s="111">
        <f t="shared" si="2"/>
        <v>0.90028490028490027</v>
      </c>
      <c r="N63" s="52" t="s">
        <v>20</v>
      </c>
      <c r="O63" s="114" t="str">
        <f>IF([1]!Table_246[[#This Row],[Coluna2]]&gt;0.5, "🔥 Excelente", IF([1]!Table_246[[#This Row],[Coluna2]]&gt;0.4, "👍 Bom", "⚠️ Baixo"))</f>
        <v>🔥 Excelente</v>
      </c>
    </row>
    <row r="64" spans="1:15" ht="15.75" customHeight="1">
      <c r="A64" s="28">
        <f>IF(Table_246[[#This Row],[Data]]="","",MONTH(Table_246[[#This Row],[Data]]))</f>
        <v>1</v>
      </c>
      <c r="B64" s="32">
        <v>46049</v>
      </c>
      <c r="C64" s="109" t="s">
        <v>1047</v>
      </c>
      <c r="D64" s="43">
        <v>1</v>
      </c>
      <c r="E64" s="48" t="s">
        <v>1057</v>
      </c>
      <c r="F64" s="48" t="s">
        <v>22</v>
      </c>
      <c r="G64" s="49">
        <f>IFERROR(VLOOKUP(C64,PROD!$A$2:$E$1204,5,0),"0")</f>
        <v>0.7</v>
      </c>
      <c r="H64" s="10">
        <f>Table_246[[#This Row],[QT]]*Table_246[[#This Row],[Custo 
Un]]</f>
        <v>0.7</v>
      </c>
      <c r="I64" s="52">
        <v>7.02</v>
      </c>
      <c r="J64" s="263">
        <f t="shared" si="0"/>
        <v>7.02</v>
      </c>
      <c r="K64" s="10">
        <f t="shared" si="1"/>
        <v>7.02</v>
      </c>
      <c r="L64" s="50">
        <f>Table_246[[#This Row],[Valor da 
venda]]-Table_246[[#This Row],[Valor gasto]]</f>
        <v>6.3199999999999994</v>
      </c>
      <c r="M64" s="111">
        <f t="shared" si="2"/>
        <v>0.90028490028490027</v>
      </c>
      <c r="N64" s="52" t="s">
        <v>20</v>
      </c>
      <c r="O64" s="114" t="str">
        <f>IF([1]!Table_246[[#This Row],[Coluna2]]&gt;0.5, "🔥 Excelente", IF([1]!Table_246[[#This Row],[Coluna2]]&gt;0.4, "👍 Bom", "⚠️ Baixo"))</f>
        <v>🔥 Excelente</v>
      </c>
    </row>
    <row r="65" spans="1:15" ht="15.75" customHeight="1">
      <c r="A65" s="28">
        <f>IF(Table_246[[#This Row],[Data]]="","",MONTH(Table_246[[#This Row],[Data]]))</f>
        <v>1</v>
      </c>
      <c r="B65" s="32">
        <v>46050</v>
      </c>
      <c r="C65" s="109" t="s">
        <v>1012</v>
      </c>
      <c r="D65" s="43">
        <v>1</v>
      </c>
      <c r="E65" s="48" t="s">
        <v>1058</v>
      </c>
      <c r="F65" s="48" t="s">
        <v>22</v>
      </c>
      <c r="G65" s="49">
        <f>IFERROR(VLOOKUP(C65,PROD!$A$2:$E$1204,5,0),"0")</f>
        <v>7.5</v>
      </c>
      <c r="H65" s="10">
        <f>Table_246[[#This Row],[QT]]*Table_246[[#This Row],[Custo 
Un]]</f>
        <v>7.5</v>
      </c>
      <c r="I65" s="52">
        <v>14.04</v>
      </c>
      <c r="J65" s="263">
        <f t="shared" si="0"/>
        <v>14.04</v>
      </c>
      <c r="K65" s="10">
        <f t="shared" si="1"/>
        <v>14.04</v>
      </c>
      <c r="L65" s="50">
        <f>Table_246[[#This Row],[Valor da 
venda]]-Table_246[[#This Row],[Valor gasto]]</f>
        <v>6.5399999999999991</v>
      </c>
      <c r="M65" s="111">
        <f t="shared" si="2"/>
        <v>0.46581196581196577</v>
      </c>
      <c r="N65" s="52" t="s">
        <v>20</v>
      </c>
      <c r="O65" s="114" t="str">
        <f>IF([1]!Table_246[[#This Row],[Coluna2]]&gt;0.5, "🔥 Excelente", IF([1]!Table_246[[#This Row],[Coluna2]]&gt;0.4, "👍 Bom", "⚠️ Baixo"))</f>
        <v>👍 Bom</v>
      </c>
    </row>
    <row r="66" spans="1:15" ht="15.75" customHeight="1">
      <c r="A66" s="28">
        <f>IF(Table_246[[#This Row],[Data]]="","",MONTH(Table_246[[#This Row],[Data]]))</f>
        <v>1</v>
      </c>
      <c r="B66" s="32">
        <v>46050</v>
      </c>
      <c r="C66" s="109" t="s">
        <v>1047</v>
      </c>
      <c r="D66" s="43">
        <v>1</v>
      </c>
      <c r="E66" s="48" t="s">
        <v>1059</v>
      </c>
      <c r="F66" s="48" t="s">
        <v>22</v>
      </c>
      <c r="G66" s="49">
        <f>IFERROR(VLOOKUP(C66,PROD!$A$2:$E$1204,5,0),"0")</f>
        <v>0.7</v>
      </c>
      <c r="H66" s="10">
        <f>Table_246[[#This Row],[QT]]*Table_246[[#This Row],[Custo 
Un]]</f>
        <v>0.7</v>
      </c>
      <c r="I66" s="52">
        <v>7.02</v>
      </c>
      <c r="J66" s="263">
        <f t="shared" ref="J66:J129" si="6">I66*D66</f>
        <v>7.02</v>
      </c>
      <c r="K66" s="10">
        <f t="shared" ref="K66:K129" si="7">I66*D66</f>
        <v>7.02</v>
      </c>
      <c r="L66" s="50">
        <f>Table_246[[#This Row],[Valor da 
venda]]-Table_246[[#This Row],[Valor gasto]]</f>
        <v>6.3199999999999994</v>
      </c>
      <c r="M66" s="111">
        <f t="shared" ref="M66:M129" si="8">IFERROR(L66/K66, 0)</f>
        <v>0.90028490028490027</v>
      </c>
      <c r="N66" s="52" t="s">
        <v>20</v>
      </c>
      <c r="O66" s="114" t="str">
        <f>IF([1]!Table_246[[#This Row],[Coluna2]]&gt;0.5, "🔥 Excelente", IF([1]!Table_246[[#This Row],[Coluna2]]&gt;0.4, "👍 Bom", "⚠️ Baixo"))</f>
        <v>🔥 Excelente</v>
      </c>
    </row>
    <row r="67" spans="1:15" ht="15.75" customHeight="1">
      <c r="A67" s="28">
        <f>IF(Table_246[[#This Row],[Data]]="","",MONTH(Table_246[[#This Row],[Data]]))</f>
        <v>1</v>
      </c>
      <c r="B67" s="32">
        <v>46049</v>
      </c>
      <c r="C67" s="109" t="s">
        <v>1060</v>
      </c>
      <c r="D67" s="43">
        <v>2</v>
      </c>
      <c r="E67" s="48" t="s">
        <v>1061</v>
      </c>
      <c r="F67" s="48" t="s">
        <v>555</v>
      </c>
      <c r="G67" s="49">
        <v>5</v>
      </c>
      <c r="H67" s="10">
        <f>Table_246[[#This Row],[QT]]*Table_246[[#This Row],[Custo 
Un]]</f>
        <v>10</v>
      </c>
      <c r="I67" s="52">
        <v>10</v>
      </c>
      <c r="J67" s="263">
        <f t="shared" si="6"/>
        <v>20</v>
      </c>
      <c r="K67" s="10">
        <f t="shared" si="7"/>
        <v>20</v>
      </c>
      <c r="L67" s="50">
        <f>Table_246[[#This Row],[Valor da 
venda]]-Table_246[[#This Row],[Valor gasto]]</f>
        <v>10</v>
      </c>
      <c r="M67" s="111">
        <f t="shared" si="8"/>
        <v>0.5</v>
      </c>
      <c r="N67" s="52" t="s">
        <v>20</v>
      </c>
      <c r="O67" s="114" t="str">
        <f>IF([1]!Table_246[[#This Row],[Coluna2]]&gt;0.5, "🔥 Excelente", IF([1]!Table_246[[#This Row],[Coluna2]]&gt;0.4, "👍 Bom", "⚠️ Baixo"))</f>
        <v>👍 Bom</v>
      </c>
    </row>
    <row r="68" spans="1:15" ht="15.75" customHeight="1">
      <c r="A68" s="28">
        <f>IF(Table_246[[#This Row],[Data]]="","",MONTH(Table_246[[#This Row],[Data]]))</f>
        <v>1</v>
      </c>
      <c r="B68" s="32">
        <v>46051</v>
      </c>
      <c r="C68" s="109" t="s">
        <v>1062</v>
      </c>
      <c r="D68" s="43">
        <v>1</v>
      </c>
      <c r="E68" s="48" t="s">
        <v>1008</v>
      </c>
      <c r="F68" s="48" t="s">
        <v>555</v>
      </c>
      <c r="G68" s="49">
        <v>14</v>
      </c>
      <c r="H68" s="10">
        <f>Table_246[[#This Row],[QT]]*Table_246[[#This Row],[Custo 
Un]]</f>
        <v>14</v>
      </c>
      <c r="I68" s="52">
        <v>40</v>
      </c>
      <c r="J68" s="263">
        <f t="shared" si="6"/>
        <v>40</v>
      </c>
      <c r="K68" s="10">
        <f t="shared" si="7"/>
        <v>40</v>
      </c>
      <c r="L68" s="50">
        <f>Table_246[[#This Row],[Valor da 
venda]]-Table_246[[#This Row],[Valor gasto]]</f>
        <v>26</v>
      </c>
      <c r="M68" s="111">
        <f t="shared" si="8"/>
        <v>0.65</v>
      </c>
      <c r="N68" s="52" t="s">
        <v>20</v>
      </c>
      <c r="O68" s="114" t="str">
        <f>IF([1]!Table_246[[#This Row],[Coluna2]]&gt;0.5, "🔥 Excelente", IF([1]!Table_246[[#This Row],[Coluna2]]&gt;0.4, "👍 Bom", "⚠️ Baixo"))</f>
        <v>🔥 Excelente</v>
      </c>
    </row>
    <row r="69" spans="1:15" ht="15.75" customHeight="1">
      <c r="A69" s="28">
        <f>IF(Table_246[[#This Row],[Data]]="","",MONTH(Table_246[[#This Row],[Data]]))</f>
        <v>1</v>
      </c>
      <c r="B69" s="32">
        <v>46051</v>
      </c>
      <c r="C69" s="109" t="s">
        <v>97</v>
      </c>
      <c r="D69" s="43">
        <v>1</v>
      </c>
      <c r="E69" s="48" t="s">
        <v>1008</v>
      </c>
      <c r="F69" s="48" t="s">
        <v>555</v>
      </c>
      <c r="G69" s="49">
        <f>IFERROR(VLOOKUP(C69,PROD!$A$2:$E$1204,5,0),"0")</f>
        <v>3</v>
      </c>
      <c r="H69" s="10">
        <f>Table_246[[#This Row],[QT]]*Table_246[[#This Row],[Custo 
Un]]</f>
        <v>3</v>
      </c>
      <c r="I69" s="52">
        <v>15</v>
      </c>
      <c r="J69" s="263">
        <f t="shared" si="6"/>
        <v>15</v>
      </c>
      <c r="K69" s="10">
        <f t="shared" si="7"/>
        <v>15</v>
      </c>
      <c r="L69" s="50">
        <f>Table_246[[#This Row],[Valor da 
venda]]-Table_246[[#This Row],[Valor gasto]]</f>
        <v>12</v>
      </c>
      <c r="M69" s="111">
        <f t="shared" si="8"/>
        <v>0.8</v>
      </c>
      <c r="N69" s="52" t="s">
        <v>20</v>
      </c>
      <c r="O69" s="114" t="str">
        <f>IF([1]!Table_246[[#This Row],[Coluna2]]&gt;0.5, "🔥 Excelente", IF([1]!Table_246[[#This Row],[Coluna2]]&gt;0.4, "👍 Bom", "⚠️ Baixo"))</f>
        <v>🔥 Excelente</v>
      </c>
    </row>
    <row r="70" spans="1:15" ht="15.75" customHeight="1">
      <c r="A70" s="28">
        <f>IF(Table_246[[#This Row],[Data]]="","",MONTH(Table_246[[#This Row],[Data]]))</f>
        <v>1</v>
      </c>
      <c r="B70" s="32">
        <v>46051</v>
      </c>
      <c r="C70" s="109" t="s">
        <v>1042</v>
      </c>
      <c r="D70" s="43">
        <v>1</v>
      </c>
      <c r="E70" s="48" t="s">
        <v>1063</v>
      </c>
      <c r="F70" s="48" t="s">
        <v>22</v>
      </c>
      <c r="G70" s="49">
        <f>IFERROR(VLOOKUP(C70,PROD!$A$2:$E$1204,5,0),"0")</f>
        <v>0</v>
      </c>
      <c r="H70" s="10">
        <f>Table_246[[#This Row],[QT]]*Table_246[[#This Row],[Custo 
Un]]</f>
        <v>0</v>
      </c>
      <c r="I70" s="52">
        <v>45.39</v>
      </c>
      <c r="J70" s="263">
        <f t="shared" si="6"/>
        <v>45.39</v>
      </c>
      <c r="K70" s="10">
        <f t="shared" si="7"/>
        <v>45.39</v>
      </c>
      <c r="L70" s="50">
        <f>Table_246[[#This Row],[Valor da 
venda]]-Table_246[[#This Row],[Valor gasto]]</f>
        <v>45.39</v>
      </c>
      <c r="M70" s="111">
        <f t="shared" si="8"/>
        <v>1</v>
      </c>
      <c r="N70" s="52" t="s">
        <v>20</v>
      </c>
      <c r="O70" s="114" t="str">
        <f>IF([1]!Table_246[[#This Row],[Coluna2]]&gt;0.5, "🔥 Excelente", IF([1]!Table_246[[#This Row],[Coluna2]]&gt;0.4, "👍 Bom", "⚠️ Baixo"))</f>
        <v>🔥 Excelente</v>
      </c>
    </row>
    <row r="71" spans="1:15" ht="15.75" customHeight="1">
      <c r="A71" s="28">
        <f>IF(Table_246[[#This Row],[Data]]="","",MONTH(Table_246[[#This Row],[Data]]))</f>
        <v>1</v>
      </c>
      <c r="B71" s="32">
        <v>46052</v>
      </c>
      <c r="C71" s="109" t="s">
        <v>146</v>
      </c>
      <c r="D71" s="43">
        <v>1</v>
      </c>
      <c r="E71" s="48" t="s">
        <v>1008</v>
      </c>
      <c r="F71" s="48" t="s">
        <v>555</v>
      </c>
      <c r="G71" s="49">
        <f>IFERROR(VLOOKUP(C71,PROD!$A$2:$E$1204,5,0),"0")</f>
        <v>7.0000000000000007E-2</v>
      </c>
      <c r="H71" s="10">
        <f>Table_246[[#This Row],[QT]]*Table_246[[#This Row],[Custo 
Un]]</f>
        <v>7.0000000000000007E-2</v>
      </c>
      <c r="I71" s="52">
        <v>1</v>
      </c>
      <c r="J71" s="263">
        <f t="shared" si="6"/>
        <v>1</v>
      </c>
      <c r="K71" s="10">
        <f t="shared" si="7"/>
        <v>1</v>
      </c>
      <c r="L71" s="50">
        <f>Table_246[[#This Row],[Valor da 
venda]]-Table_246[[#This Row],[Valor gasto]]</f>
        <v>0.92999999999999994</v>
      </c>
      <c r="M71" s="111">
        <f t="shared" si="8"/>
        <v>0.92999999999999994</v>
      </c>
      <c r="N71" s="52" t="s">
        <v>20</v>
      </c>
      <c r="O71" s="114" t="str">
        <f>IF([1]!Table_246[[#This Row],[Coluna2]]&gt;0.5, "🔥 Excelente", IF([1]!Table_246[[#This Row],[Coluna2]]&gt;0.4, "👍 Bom", "⚠️ Baixo"))</f>
        <v>🔥 Excelente</v>
      </c>
    </row>
    <row r="72" spans="1:15" ht="15.75" customHeight="1">
      <c r="A72" s="28">
        <f>IF(Table_246[[#This Row],[Data]]="","",MONTH(Table_246[[#This Row],[Data]]))</f>
        <v>1</v>
      </c>
      <c r="B72" s="32">
        <v>46052</v>
      </c>
      <c r="C72" s="109" t="s">
        <v>1042</v>
      </c>
      <c r="D72" s="43">
        <v>1</v>
      </c>
      <c r="E72" s="48" t="s">
        <v>1064</v>
      </c>
      <c r="F72" s="48" t="s">
        <v>1016</v>
      </c>
      <c r="G72" s="49">
        <f>IFERROR(VLOOKUP(C72,PROD!$A$2:$E$1204,5,0),"0")</f>
        <v>0</v>
      </c>
      <c r="H72" s="10">
        <f>Table_246[[#This Row],[QT]]*Table_246[[#This Row],[Custo 
Un]]</f>
        <v>0</v>
      </c>
      <c r="I72" s="52">
        <v>55.2</v>
      </c>
      <c r="J72" s="263">
        <f t="shared" si="6"/>
        <v>55.2</v>
      </c>
      <c r="K72" s="10">
        <f t="shared" si="7"/>
        <v>55.2</v>
      </c>
      <c r="L72" s="50">
        <f>Table_246[[#This Row],[Valor da 
venda]]-Table_246[[#This Row],[Valor gasto]]</f>
        <v>55.2</v>
      </c>
      <c r="M72" s="111">
        <f t="shared" si="8"/>
        <v>1</v>
      </c>
      <c r="N72" s="52" t="s">
        <v>20</v>
      </c>
      <c r="O72" s="114" t="str">
        <f>IF([1]!Table_246[[#This Row],[Coluna2]]&gt;0.5, "🔥 Excelente", IF([1]!Table_246[[#This Row],[Coluna2]]&gt;0.4, "👍 Bom", "⚠️ Baixo"))</f>
        <v>🔥 Excelente</v>
      </c>
    </row>
    <row r="73" spans="1:15" ht="15.75" customHeight="1">
      <c r="A73" s="28">
        <f>IF(Table_246[[#This Row],[Data]]="","",MONTH(Table_246[[#This Row],[Data]]))</f>
        <v>1</v>
      </c>
      <c r="B73" s="32">
        <v>46053</v>
      </c>
      <c r="C73" s="109" t="s">
        <v>1065</v>
      </c>
      <c r="D73" s="43">
        <v>1</v>
      </c>
      <c r="E73" s="48" t="s">
        <v>630</v>
      </c>
      <c r="F73" s="48" t="s">
        <v>555</v>
      </c>
      <c r="G73" s="49">
        <v>12</v>
      </c>
      <c r="H73" s="10">
        <f>Table_246[[#This Row],[QT]]*Table_246[[#This Row],[Custo 
Un]]</f>
        <v>12</v>
      </c>
      <c r="I73" s="52">
        <v>20</v>
      </c>
      <c r="J73" s="263">
        <f t="shared" si="6"/>
        <v>20</v>
      </c>
      <c r="K73" s="10">
        <f t="shared" si="7"/>
        <v>20</v>
      </c>
      <c r="L73" s="50">
        <f>Table_246[[#This Row],[Valor da 
venda]]-Table_246[[#This Row],[Valor gasto]]</f>
        <v>8</v>
      </c>
      <c r="M73" s="111">
        <f t="shared" si="8"/>
        <v>0.4</v>
      </c>
      <c r="N73" s="52" t="s">
        <v>20</v>
      </c>
      <c r="O73" s="114" t="str">
        <f>IF([1]!Table_246[[#This Row],[Coluna2]]&gt;0.5, "🔥 Excelente", IF([1]!Table_246[[#This Row],[Coluna2]]&gt;0.4, "👍 Bom", "⚠️ Baixo"))</f>
        <v>⚠️ Baixo</v>
      </c>
    </row>
    <row r="74" spans="1:15" ht="15.75" customHeight="1">
      <c r="A74" s="28">
        <f>IF(Table_246[[#This Row],[Data]]="","",MONTH(Table_246[[#This Row],[Data]]))</f>
        <v>1</v>
      </c>
      <c r="B74" s="32">
        <v>46053</v>
      </c>
      <c r="C74" s="109" t="s">
        <v>1030</v>
      </c>
      <c r="D74" s="43">
        <v>1</v>
      </c>
      <c r="E74" s="48" t="s">
        <v>630</v>
      </c>
      <c r="F74" s="48" t="s">
        <v>555</v>
      </c>
      <c r="G74" s="49">
        <v>5</v>
      </c>
      <c r="H74" s="10">
        <f>Table_246[[#This Row],[QT]]*Table_246[[#This Row],[Custo 
Un]]</f>
        <v>5</v>
      </c>
      <c r="I74" s="52">
        <v>30</v>
      </c>
      <c r="J74" s="263">
        <f t="shared" si="6"/>
        <v>30</v>
      </c>
      <c r="K74" s="10">
        <f t="shared" si="7"/>
        <v>30</v>
      </c>
      <c r="L74" s="50">
        <f>Table_246[[#This Row],[Valor da 
venda]]-Table_246[[#This Row],[Valor gasto]]</f>
        <v>25</v>
      </c>
      <c r="M74" s="111">
        <f t="shared" si="8"/>
        <v>0.83333333333333337</v>
      </c>
      <c r="N74" s="52" t="s">
        <v>20</v>
      </c>
      <c r="O74" s="114" t="str">
        <f>IF([1]!Table_246[[#This Row],[Coluna2]]&gt;0.5, "🔥 Excelente", IF([1]!Table_246[[#This Row],[Coluna2]]&gt;0.4, "👍 Bom", "⚠️ Baixo"))</f>
        <v>🔥 Excelente</v>
      </c>
    </row>
    <row r="75" spans="1:15" ht="15.75" customHeight="1">
      <c r="A75" s="28">
        <f>IF(Table_246[[#This Row],[Data]]="","",MONTH(Table_246[[#This Row],[Data]]))</f>
        <v>1</v>
      </c>
      <c r="B75" s="32">
        <v>46053</v>
      </c>
      <c r="C75" s="109" t="s">
        <v>1066</v>
      </c>
      <c r="D75" s="43">
        <v>1</v>
      </c>
      <c r="E75" s="48" t="s">
        <v>1008</v>
      </c>
      <c r="F75" s="48" t="s">
        <v>555</v>
      </c>
      <c r="G75" s="49">
        <f>IFERROR(VLOOKUP(C75,PROD!$A$2:$E$1204,5,0),"0")</f>
        <v>0</v>
      </c>
      <c r="H75" s="10">
        <f>Table_246[[#This Row],[QT]]*Table_246[[#This Row],[Custo 
Un]]</f>
        <v>0</v>
      </c>
      <c r="I75" s="52">
        <v>10</v>
      </c>
      <c r="J75" s="263">
        <f t="shared" si="6"/>
        <v>10</v>
      </c>
      <c r="K75" s="10">
        <f t="shared" si="7"/>
        <v>10</v>
      </c>
      <c r="L75" s="50">
        <f>Table_246[[#This Row],[Valor da 
venda]]-Table_246[[#This Row],[Valor gasto]]</f>
        <v>10</v>
      </c>
      <c r="M75" s="111">
        <f t="shared" si="8"/>
        <v>1</v>
      </c>
      <c r="N75" s="52" t="s">
        <v>20</v>
      </c>
      <c r="O75" s="114" t="str">
        <f>IF([1]!Table_246[[#This Row],[Coluna2]]&gt;0.5, "🔥 Excelente", IF([1]!Table_246[[#This Row],[Coluna2]]&gt;0.4, "👍 Bom", "⚠️ Baixo"))</f>
        <v>🔥 Excelente</v>
      </c>
    </row>
    <row r="76" spans="1:15" ht="15.75" customHeight="1">
      <c r="A76" s="28">
        <f>IF(Table_246[[#This Row],[Data]]="","",MONTH(Table_246[[#This Row],[Data]]))</f>
        <v>2</v>
      </c>
      <c r="B76" s="32">
        <v>46054</v>
      </c>
      <c r="C76" s="109" t="s">
        <v>1047</v>
      </c>
      <c r="D76" s="43">
        <v>3</v>
      </c>
      <c r="E76" s="48" t="s">
        <v>1067</v>
      </c>
      <c r="F76" s="48" t="s">
        <v>22</v>
      </c>
      <c r="G76" s="49">
        <f>IFERROR(VLOOKUP(C76,PROD!$A$2:$E$1204,5,0),"0")</f>
        <v>0.7</v>
      </c>
      <c r="H76" s="10">
        <f>Table_246[[#This Row],[QT]]*Table_246[[#This Row],[Custo 
Un]]</f>
        <v>2.0999999999999996</v>
      </c>
      <c r="I76" s="52">
        <v>22.02</v>
      </c>
      <c r="J76" s="263">
        <f t="shared" si="6"/>
        <v>66.06</v>
      </c>
      <c r="K76" s="10">
        <f t="shared" si="7"/>
        <v>66.06</v>
      </c>
      <c r="L76" s="50">
        <f>Table_246[[#This Row],[Valor da 
venda]]-Table_246[[#This Row],[Valor gasto]]</f>
        <v>63.96</v>
      </c>
      <c r="M76" s="111">
        <f t="shared" si="8"/>
        <v>0.96821071752951859</v>
      </c>
      <c r="N76" s="52" t="s">
        <v>20</v>
      </c>
      <c r="O76" s="114" t="str">
        <f>IF([1]!Table_246[[#This Row],[Coluna2]]&gt;0.5, "🔥 Excelente", IF([1]!Table_246[[#This Row],[Coluna2]]&gt;0.4, "👍 Bom", "⚠️ Baixo"))</f>
        <v>🔥 Excelente</v>
      </c>
    </row>
    <row r="77" spans="1:15" ht="15.75" customHeight="1">
      <c r="A77" s="28">
        <f>IF(Table_246[[#This Row],[Data]]="","",MONTH(Table_246[[#This Row],[Data]]))</f>
        <v>2</v>
      </c>
      <c r="B77" s="32">
        <v>46054</v>
      </c>
      <c r="C77" s="109" t="s">
        <v>1047</v>
      </c>
      <c r="D77" s="43">
        <v>1</v>
      </c>
      <c r="E77" s="48" t="s">
        <v>1068</v>
      </c>
      <c r="F77" s="48" t="s">
        <v>22</v>
      </c>
      <c r="G77" s="49">
        <f>IFERROR(VLOOKUP(C77,PROD!$A$2:$E$1204,5,0),"0")</f>
        <v>0.7</v>
      </c>
      <c r="H77" s="10">
        <f>Table_246[[#This Row],[QT]]*Table_246[[#This Row],[Custo 
Un]]</f>
        <v>0.7</v>
      </c>
      <c r="I77" s="52">
        <v>7.02</v>
      </c>
      <c r="J77" s="263">
        <f t="shared" si="6"/>
        <v>7.02</v>
      </c>
      <c r="K77" s="10">
        <f t="shared" si="7"/>
        <v>7.02</v>
      </c>
      <c r="L77" s="50">
        <f>Table_246[[#This Row],[Valor da 
venda]]-Table_246[[#This Row],[Valor gasto]]</f>
        <v>6.3199999999999994</v>
      </c>
      <c r="M77" s="111">
        <f t="shared" si="8"/>
        <v>0.90028490028490027</v>
      </c>
      <c r="N77" s="52" t="s">
        <v>20</v>
      </c>
      <c r="O77" s="114" t="str">
        <f>IF([1]!Table_246[[#This Row],[Coluna2]]&gt;0.5, "🔥 Excelente", IF([1]!Table_246[[#This Row],[Coluna2]]&gt;0.4, "👍 Bom", "⚠️ Baixo"))</f>
        <v>🔥 Excelente</v>
      </c>
    </row>
    <row r="78" spans="1:15" ht="15.75" customHeight="1">
      <c r="A78" s="28">
        <f>IF(Table_246[[#This Row],[Data]]="","",MONTH(Table_246[[#This Row],[Data]]))</f>
        <v>2</v>
      </c>
      <c r="B78" s="32">
        <v>46054</v>
      </c>
      <c r="C78" s="109" t="s">
        <v>1047</v>
      </c>
      <c r="D78" s="43">
        <v>1</v>
      </c>
      <c r="E78" s="48" t="s">
        <v>1069</v>
      </c>
      <c r="F78" s="48" t="s">
        <v>22</v>
      </c>
      <c r="G78" s="49">
        <f>IFERROR(VLOOKUP(C78,PROD!$A$2:$E$1204,5,0),"0")</f>
        <v>0.7</v>
      </c>
      <c r="H78" s="10">
        <f>Table_246[[#This Row],[QT]]*Table_246[[#This Row],[Custo 
Un]]</f>
        <v>0.7</v>
      </c>
      <c r="I78" s="52">
        <v>7.02</v>
      </c>
      <c r="J78" s="263">
        <f t="shared" si="6"/>
        <v>7.02</v>
      </c>
      <c r="K78" s="10">
        <f t="shared" si="7"/>
        <v>7.02</v>
      </c>
      <c r="L78" s="50">
        <f>Table_246[[#This Row],[Valor da 
venda]]-Table_246[[#This Row],[Valor gasto]]</f>
        <v>6.3199999999999994</v>
      </c>
      <c r="M78" s="111">
        <f t="shared" si="8"/>
        <v>0.90028490028490027</v>
      </c>
      <c r="N78" s="52" t="s">
        <v>20</v>
      </c>
      <c r="O78" s="114" t="str">
        <f>IF([1]!Table_246[[#This Row],[Coluna2]]&gt;0.5, "🔥 Excelente", IF([1]!Table_246[[#This Row],[Coluna2]]&gt;0.4, "👍 Bom", "⚠️ Baixo"))</f>
        <v>🔥 Excelente</v>
      </c>
    </row>
    <row r="79" spans="1:15" ht="15.75" customHeight="1">
      <c r="A79" s="28">
        <f>IF(Table_246[[#This Row],[Data]]="","",MONTH(Table_246[[#This Row],[Data]]))</f>
        <v>2</v>
      </c>
      <c r="B79" s="32">
        <v>46054</v>
      </c>
      <c r="C79" s="109" t="s">
        <v>1047</v>
      </c>
      <c r="D79" s="43">
        <v>2</v>
      </c>
      <c r="E79" s="48" t="s">
        <v>1070</v>
      </c>
      <c r="F79" s="48" t="s">
        <v>22</v>
      </c>
      <c r="G79" s="49">
        <f>IFERROR(VLOOKUP(C79,PROD!$A$2:$E$1204,5,0),"0")</f>
        <v>0.7</v>
      </c>
      <c r="H79" s="10">
        <f>Table_246[[#This Row],[QT]]*Table_246[[#This Row],[Custo 
Un]]</f>
        <v>1.4</v>
      </c>
      <c r="I79" s="52">
        <v>14.99</v>
      </c>
      <c r="J79" s="263">
        <f t="shared" si="6"/>
        <v>29.98</v>
      </c>
      <c r="K79" s="10">
        <f t="shared" si="7"/>
        <v>29.98</v>
      </c>
      <c r="L79" s="50">
        <f>Table_246[[#This Row],[Valor da 
venda]]-Table_246[[#This Row],[Valor gasto]]</f>
        <v>28.580000000000002</v>
      </c>
      <c r="M79" s="111">
        <f t="shared" si="8"/>
        <v>0.95330220146764511</v>
      </c>
      <c r="N79" s="52" t="s">
        <v>20</v>
      </c>
      <c r="O79" s="114" t="str">
        <f>IF([1]!Table_246[[#This Row],[Coluna2]]&gt;0.5, "🔥 Excelente", IF([1]!Table_246[[#This Row],[Coluna2]]&gt;0.4, "👍 Bom", "⚠️ Baixo"))</f>
        <v>🔥 Excelente</v>
      </c>
    </row>
    <row r="80" spans="1:15" ht="15.75" customHeight="1">
      <c r="A80" s="28">
        <f>IF(Table_246[[#This Row],[Data]]="","",MONTH(Table_246[[#This Row],[Data]]))</f>
        <v>2</v>
      </c>
      <c r="B80" s="32">
        <v>46055</v>
      </c>
      <c r="C80" s="109" t="s">
        <v>1012</v>
      </c>
      <c r="D80" s="43">
        <v>1</v>
      </c>
      <c r="E80" s="48" t="s">
        <v>1071</v>
      </c>
      <c r="F80" s="48" t="s">
        <v>22</v>
      </c>
      <c r="G80" s="49">
        <f>IFERROR(VLOOKUP(C80,PROD!$A$2:$E$1204,5,0),"0")</f>
        <v>7.5</v>
      </c>
      <c r="H80" s="10">
        <f>Table_246[[#This Row],[QT]]*Table_246[[#This Row],[Custo 
Un]]</f>
        <v>7.5</v>
      </c>
      <c r="I80" s="52">
        <v>14.04</v>
      </c>
      <c r="J80" s="263">
        <f t="shared" si="6"/>
        <v>14.04</v>
      </c>
      <c r="K80" s="10">
        <f t="shared" si="7"/>
        <v>14.04</v>
      </c>
      <c r="L80" s="50">
        <f>Table_246[[#This Row],[Valor da 
venda]]-Table_246[[#This Row],[Valor gasto]]</f>
        <v>6.5399999999999991</v>
      </c>
      <c r="M80" s="111">
        <f t="shared" si="8"/>
        <v>0.46581196581196577</v>
      </c>
      <c r="N80" s="52" t="s">
        <v>20</v>
      </c>
      <c r="O80" s="114" t="str">
        <f>IF([1]!Table_246[[#This Row],[Coluna2]]&gt;0.5, "🔥 Excelente", IF([1]!Table_246[[#This Row],[Coluna2]]&gt;0.4, "👍 Bom", "⚠️ Baixo"))</f>
        <v>👍 Bom</v>
      </c>
    </row>
    <row r="81" spans="1:15" ht="15.75" customHeight="1">
      <c r="A81" s="28">
        <f>IF(Table_246[[#This Row],[Data]]="","",MONTH(Table_246[[#This Row],[Data]]))</f>
        <v>2</v>
      </c>
      <c r="B81" s="32">
        <v>46055</v>
      </c>
      <c r="C81" s="109" t="s">
        <v>1072</v>
      </c>
      <c r="D81" s="43">
        <v>2</v>
      </c>
      <c r="E81" s="48" t="s">
        <v>1008</v>
      </c>
      <c r="F81" s="48" t="s">
        <v>555</v>
      </c>
      <c r="G81" s="49">
        <v>1.4</v>
      </c>
      <c r="H81" s="10">
        <f>Table_246[[#This Row],[QT]]*Table_246[[#This Row],[Custo 
Un]]</f>
        <v>2.8</v>
      </c>
      <c r="I81" s="52">
        <v>5</v>
      </c>
      <c r="J81" s="263">
        <f t="shared" si="6"/>
        <v>10</v>
      </c>
      <c r="K81" s="10">
        <f t="shared" si="7"/>
        <v>10</v>
      </c>
      <c r="L81" s="50">
        <f>Table_246[[#This Row],[Valor da 
venda]]-Table_246[[#This Row],[Valor gasto]]</f>
        <v>7.2</v>
      </c>
      <c r="M81" s="111">
        <f t="shared" si="8"/>
        <v>0.72</v>
      </c>
      <c r="N81" s="52" t="s">
        <v>20</v>
      </c>
      <c r="O81" s="114" t="str">
        <f>IF([1]!Table_246[[#This Row],[Coluna2]]&gt;0.5, "🔥 Excelente", IF([1]!Table_246[[#This Row],[Coluna2]]&gt;0.4, "👍 Bom", "⚠️ Baixo"))</f>
        <v>🔥 Excelente</v>
      </c>
    </row>
    <row r="82" spans="1:15" ht="15.75" customHeight="1">
      <c r="A82" s="28">
        <f>IF(Table_246[[#This Row],[Data]]="","",MONTH(Table_246[[#This Row],[Data]]))</f>
        <v>2</v>
      </c>
      <c r="B82" s="32">
        <v>46056</v>
      </c>
      <c r="C82" s="109" t="s">
        <v>97</v>
      </c>
      <c r="D82" s="43">
        <v>1</v>
      </c>
      <c r="E82" s="48" t="s">
        <v>1008</v>
      </c>
      <c r="F82" s="48" t="s">
        <v>555</v>
      </c>
      <c r="G82" s="49">
        <f>IFERROR(VLOOKUP(C82,PROD!$A$2:$E$1204,5,0),"0")</f>
        <v>3</v>
      </c>
      <c r="H82" s="10">
        <f>Table_246[[#This Row],[QT]]*Table_246[[#This Row],[Custo 
Un]]</f>
        <v>3</v>
      </c>
      <c r="I82" s="52">
        <v>15</v>
      </c>
      <c r="J82" s="263">
        <f t="shared" si="6"/>
        <v>15</v>
      </c>
      <c r="K82" s="10">
        <f t="shared" si="7"/>
        <v>15</v>
      </c>
      <c r="L82" s="50">
        <f>Table_246[[#This Row],[Valor da 
venda]]-Table_246[[#This Row],[Valor gasto]]</f>
        <v>12</v>
      </c>
      <c r="M82" s="111">
        <f t="shared" si="8"/>
        <v>0.8</v>
      </c>
      <c r="N82" s="52" t="s">
        <v>20</v>
      </c>
      <c r="O82" s="114" t="str">
        <f>IF([1]!Table_246[[#This Row],[Coluna2]]&gt;0.5, "🔥 Excelente", IF([1]!Table_246[[#This Row],[Coluna2]]&gt;0.4, "👍 Bom", "⚠️ Baixo"))</f>
        <v>🔥 Excelente</v>
      </c>
    </row>
    <row r="83" spans="1:15" ht="15.75" customHeight="1">
      <c r="A83" s="28">
        <f>IF(Table_246[[#This Row],[Data]]="","",MONTH(Table_246[[#This Row],[Data]]))</f>
        <v>2</v>
      </c>
      <c r="B83" s="32">
        <v>46056</v>
      </c>
      <c r="C83" s="109" t="s">
        <v>1073</v>
      </c>
      <c r="D83" s="43">
        <v>1</v>
      </c>
      <c r="E83" s="48" t="s">
        <v>1074</v>
      </c>
      <c r="F83" s="48" t="s">
        <v>22</v>
      </c>
      <c r="G83" s="49">
        <v>12</v>
      </c>
      <c r="H83" s="10">
        <f>Table_246[[#This Row],[QT]]*Table_246[[#This Row],[Custo 
Un]]</f>
        <v>12</v>
      </c>
      <c r="I83" s="52">
        <v>18.79</v>
      </c>
      <c r="J83" s="263">
        <f t="shared" si="6"/>
        <v>18.79</v>
      </c>
      <c r="K83" s="10">
        <f t="shared" si="7"/>
        <v>18.79</v>
      </c>
      <c r="L83" s="50">
        <f>Table_246[[#This Row],[Valor da 
venda]]-Table_246[[#This Row],[Valor gasto]]</f>
        <v>6.7899999999999991</v>
      </c>
      <c r="M83" s="111">
        <f t="shared" si="8"/>
        <v>0.36136242682277803</v>
      </c>
      <c r="N83" s="52" t="s">
        <v>20</v>
      </c>
      <c r="O83" s="114" t="str">
        <f>IF([1]!Table_246[[#This Row],[Coluna2]]&gt;0.5, "🔥 Excelente", IF([1]!Table_246[[#This Row],[Coluna2]]&gt;0.4, "👍 Bom", "⚠️ Baixo"))</f>
        <v>⚠️ Baixo</v>
      </c>
    </row>
    <row r="84" spans="1:15" ht="15.75" customHeight="1">
      <c r="A84" s="28">
        <f>IF(Table_246[[#This Row],[Data]]="","",MONTH(Table_246[[#This Row],[Data]]))</f>
        <v>2</v>
      </c>
      <c r="B84" s="32">
        <v>46056</v>
      </c>
      <c r="C84" s="109" t="s">
        <v>1047</v>
      </c>
      <c r="D84" s="43">
        <v>1</v>
      </c>
      <c r="E84" s="48" t="s">
        <v>1075</v>
      </c>
      <c r="F84" s="48" t="s">
        <v>22</v>
      </c>
      <c r="G84" s="49">
        <f>IFERROR(VLOOKUP(C84,PROD!$A$2:$E$1204,5,0),"0")</f>
        <v>0.7</v>
      </c>
      <c r="H84" s="10">
        <f>Table_246[[#This Row],[QT]]*Table_246[[#This Row],[Custo 
Un]]</f>
        <v>0.7</v>
      </c>
      <c r="I84" s="52">
        <v>7.02</v>
      </c>
      <c r="J84" s="263">
        <f t="shared" si="6"/>
        <v>7.02</v>
      </c>
      <c r="K84" s="10">
        <f t="shared" si="7"/>
        <v>7.02</v>
      </c>
      <c r="L84" s="50">
        <f>Table_246[[#This Row],[Valor da 
venda]]-Table_246[[#This Row],[Valor gasto]]</f>
        <v>6.3199999999999994</v>
      </c>
      <c r="M84" s="111">
        <f t="shared" si="8"/>
        <v>0.90028490028490027</v>
      </c>
      <c r="N84" s="52" t="s">
        <v>20</v>
      </c>
      <c r="O84" s="114" t="str">
        <f>IF([1]!Table_246[[#This Row],[Coluna2]]&gt;0.5, "🔥 Excelente", IF([1]!Table_246[[#This Row],[Coluna2]]&gt;0.4, "👍 Bom", "⚠️ Baixo"))</f>
        <v>🔥 Excelente</v>
      </c>
    </row>
    <row r="85" spans="1:15" ht="15.75" customHeight="1">
      <c r="A85" s="28">
        <f>IF(Table_246[[#This Row],[Data]]="","",MONTH(Table_246[[#This Row],[Data]]))</f>
        <v>2</v>
      </c>
      <c r="B85" s="32">
        <v>46056</v>
      </c>
      <c r="C85" s="109" t="s">
        <v>1047</v>
      </c>
      <c r="D85" s="83">
        <v>1</v>
      </c>
      <c r="E85" s="86" t="s">
        <v>1076</v>
      </c>
      <c r="F85" s="86" t="s">
        <v>22</v>
      </c>
      <c r="G85" s="49">
        <f>IFERROR(VLOOKUP(C85,PROD!$A$2:$E$1204,5,0),"0")</f>
        <v>0.7</v>
      </c>
      <c r="H85" s="10">
        <f>Table_246[[#This Row],[QT]]*Table_246[[#This Row],[Custo 
Un]]</f>
        <v>0.7</v>
      </c>
      <c r="I85" s="91">
        <v>7.2</v>
      </c>
      <c r="J85" s="91">
        <f t="shared" si="6"/>
        <v>7.2</v>
      </c>
      <c r="K85" s="10">
        <f t="shared" si="7"/>
        <v>7.2</v>
      </c>
      <c r="L85" s="50">
        <f>Table_246[[#This Row],[Valor da 
venda]]-Table_246[[#This Row],[Valor gasto]]</f>
        <v>6.5</v>
      </c>
      <c r="M85" s="111">
        <f t="shared" si="8"/>
        <v>0.90277777777777779</v>
      </c>
      <c r="N85" s="91" t="s">
        <v>20</v>
      </c>
      <c r="O85" t="str">
        <f>IF([1]!Table_246[[#This Row],[Coluna2]]&gt;0.5, "🔥 Excelente", IF([1]!Table_246[[#This Row],[Coluna2]]&gt;0.4, "👍 Bom", "⚠️ Baixo"))</f>
        <v>🔥 Excelente</v>
      </c>
    </row>
    <row r="86" spans="1:15" ht="15.75" customHeight="1">
      <c r="A86" s="28">
        <f>IF(Table_246[[#This Row],[Data]]="","",MONTH(Table_246[[#This Row],[Data]]))</f>
        <v>2</v>
      </c>
      <c r="B86" s="32">
        <v>46056</v>
      </c>
      <c r="C86" s="109" t="s">
        <v>1012</v>
      </c>
      <c r="D86" s="43">
        <v>1</v>
      </c>
      <c r="E86" s="48" t="s">
        <v>1077</v>
      </c>
      <c r="F86" s="48" t="s">
        <v>22</v>
      </c>
      <c r="G86" s="49">
        <f>IFERROR(VLOOKUP(C86,PROD!$A$2:$E$1204,5,0),"0")</f>
        <v>7.5</v>
      </c>
      <c r="H86" s="10">
        <f>Table_246[[#This Row],[QT]]*Table_246[[#This Row],[Custo 
Un]]</f>
        <v>7.5</v>
      </c>
      <c r="I86" s="52">
        <v>14.99</v>
      </c>
      <c r="J86" s="263">
        <f t="shared" si="6"/>
        <v>14.99</v>
      </c>
      <c r="K86" s="10">
        <f t="shared" si="7"/>
        <v>14.99</v>
      </c>
      <c r="L86" s="50">
        <f>Table_246[[#This Row],[Valor da 
venda]]-Table_246[[#This Row],[Valor gasto]]</f>
        <v>7.49</v>
      </c>
      <c r="M86" s="111">
        <f t="shared" si="8"/>
        <v>0.4996664442961975</v>
      </c>
      <c r="N86" s="52" t="s">
        <v>20</v>
      </c>
      <c r="O86" t="str">
        <f>IF([1]!Table_246[[#This Row],[Coluna2]]&gt;0.5, "🔥 Excelente", IF([1]!Table_246[[#This Row],[Coluna2]]&gt;0.4, "👍 Bom", "⚠️ Baixo"))</f>
        <v>👍 Bom</v>
      </c>
    </row>
    <row r="87" spans="1:15" ht="15.75" customHeight="1">
      <c r="A87" s="28">
        <f>IF(Table_246[[#This Row],[Data]]="","",MONTH(Table_246[[#This Row],[Data]]))</f>
        <v>2</v>
      </c>
      <c r="B87" s="32">
        <v>46056</v>
      </c>
      <c r="C87" s="109" t="s">
        <v>1012</v>
      </c>
      <c r="D87" s="43">
        <v>1</v>
      </c>
      <c r="E87" s="48" t="s">
        <v>1078</v>
      </c>
      <c r="F87" s="48" t="s">
        <v>22</v>
      </c>
      <c r="G87" s="49">
        <f>IFERROR(VLOOKUP(C87,PROD!$A$2:$E$1204,5,0),"0")</f>
        <v>7.5</v>
      </c>
      <c r="H87" s="10">
        <f>Table_246[[#This Row],[QT]]*Table_246[[#This Row],[Custo 
Un]]</f>
        <v>7.5</v>
      </c>
      <c r="I87" s="52">
        <v>14.04</v>
      </c>
      <c r="J87" s="263">
        <f t="shared" si="6"/>
        <v>14.04</v>
      </c>
      <c r="K87" s="10">
        <f t="shared" si="7"/>
        <v>14.04</v>
      </c>
      <c r="L87" s="50">
        <f>Table_246[[#This Row],[Valor da 
venda]]-Table_246[[#This Row],[Valor gasto]]</f>
        <v>6.5399999999999991</v>
      </c>
      <c r="M87" s="111">
        <f t="shared" si="8"/>
        <v>0.46581196581196577</v>
      </c>
      <c r="N87" s="52" t="s">
        <v>20</v>
      </c>
      <c r="O87" t="str">
        <f>IF([1]!Table_246[[#This Row],[Coluna2]]&gt;0.5, "🔥 Excelente", IF([1]!Table_246[[#This Row],[Coluna2]]&gt;0.4, "👍 Bom", "⚠️ Baixo"))</f>
        <v>👍 Bom</v>
      </c>
    </row>
    <row r="88" spans="1:15" ht="15.75" customHeight="1">
      <c r="A88" s="28">
        <f>IF(Table_246[[#This Row],[Data]]="","",MONTH(Table_246[[#This Row],[Data]]))</f>
        <v>2</v>
      </c>
      <c r="B88" s="32">
        <v>46057</v>
      </c>
      <c r="C88" s="109" t="s">
        <v>1079</v>
      </c>
      <c r="D88" s="43">
        <v>1</v>
      </c>
      <c r="E88" s="48" t="s">
        <v>1008</v>
      </c>
      <c r="F88" s="48" t="s">
        <v>555</v>
      </c>
      <c r="G88" s="49">
        <f>IFERROR(VLOOKUP(C88,PROD!$A$2:$E$1204,5,0),"0")</f>
        <v>0</v>
      </c>
      <c r="H88" s="10">
        <f>Table_246[[#This Row],[QT]]*Table_246[[#This Row],[Custo 
Un]]</f>
        <v>0</v>
      </c>
      <c r="I88" s="52">
        <v>10</v>
      </c>
      <c r="J88" s="263">
        <f t="shared" si="6"/>
        <v>10</v>
      </c>
      <c r="K88" s="10">
        <f t="shared" si="7"/>
        <v>10</v>
      </c>
      <c r="L88" s="50">
        <f>Table_246[[#This Row],[Valor da 
venda]]-Table_246[[#This Row],[Valor gasto]]</f>
        <v>10</v>
      </c>
      <c r="M88" s="111">
        <f t="shared" si="8"/>
        <v>1</v>
      </c>
      <c r="N88" s="52" t="s">
        <v>20</v>
      </c>
      <c r="O88" t="str">
        <f>IF([1]!Table_246[[#This Row],[Coluna2]]&gt;0.5, "🔥 Excelente", IF([1]!Table_246[[#This Row],[Coluna2]]&gt;0.4, "👍 Bom", "⚠️ Baixo"))</f>
        <v>🔥 Excelente</v>
      </c>
    </row>
    <row r="89" spans="1:15" ht="15.75" customHeight="1">
      <c r="A89" s="28">
        <f>IF(Table_246[[#This Row],[Data]]="","",MONTH(Table_246[[#This Row],[Data]]))</f>
        <v>2</v>
      </c>
      <c r="B89" s="32">
        <v>46057</v>
      </c>
      <c r="C89" s="109" t="s">
        <v>1073</v>
      </c>
      <c r="D89" s="43">
        <v>1</v>
      </c>
      <c r="E89" s="48" t="s">
        <v>1080</v>
      </c>
      <c r="F89" s="48" t="s">
        <v>22</v>
      </c>
      <c r="G89" s="49">
        <v>12.5</v>
      </c>
      <c r="H89" s="10">
        <f>Table_246[[#This Row],[QT]]*Table_246[[#This Row],[Custo 
Un]]</f>
        <v>12.5</v>
      </c>
      <c r="I89" s="52">
        <v>18.79</v>
      </c>
      <c r="J89" s="263">
        <f t="shared" si="6"/>
        <v>18.79</v>
      </c>
      <c r="K89" s="10">
        <f t="shared" si="7"/>
        <v>18.79</v>
      </c>
      <c r="L89" s="50">
        <f>Table_246[[#This Row],[Valor da 
venda]]-Table_246[[#This Row],[Valor gasto]]</f>
        <v>6.2899999999999991</v>
      </c>
      <c r="M89" s="111">
        <f t="shared" si="8"/>
        <v>0.33475252794039378</v>
      </c>
      <c r="N89" s="52" t="s">
        <v>20</v>
      </c>
      <c r="O89" t="str">
        <f>IF([1]!Table_246[[#This Row],[Coluna2]]&gt;0.5, "🔥 Excelente", IF([1]!Table_246[[#This Row],[Coluna2]]&gt;0.4, "👍 Bom", "⚠️ Baixo"))</f>
        <v>⚠️ Baixo</v>
      </c>
    </row>
    <row r="90" spans="1:15" ht="15.75" customHeight="1">
      <c r="A90" s="28">
        <f>IF(Table_246[[#This Row],[Data]]="","",MONTH(Table_246[[#This Row],[Data]]))</f>
        <v>2</v>
      </c>
      <c r="B90" s="32">
        <v>46057</v>
      </c>
      <c r="C90" s="109" t="s">
        <v>1047</v>
      </c>
      <c r="D90" s="43">
        <v>1</v>
      </c>
      <c r="E90" s="48" t="s">
        <v>1081</v>
      </c>
      <c r="F90" s="48" t="s">
        <v>22</v>
      </c>
      <c r="G90" s="49">
        <f>IFERROR(VLOOKUP(C90,PROD!$A$2:$E$1204,5,0),"0")</f>
        <v>0.7</v>
      </c>
      <c r="H90" s="10">
        <f>Table_246[[#This Row],[QT]]*Table_246[[#This Row],[Custo 
Un]]</f>
        <v>0.7</v>
      </c>
      <c r="I90" s="52">
        <v>7.02</v>
      </c>
      <c r="J90" s="263">
        <f t="shared" si="6"/>
        <v>7.02</v>
      </c>
      <c r="K90" s="10">
        <f t="shared" si="7"/>
        <v>7.02</v>
      </c>
      <c r="L90" s="50">
        <f>Table_246[[#This Row],[Valor da 
venda]]-Table_246[[#This Row],[Valor gasto]]</f>
        <v>6.3199999999999994</v>
      </c>
      <c r="M90" s="111">
        <f t="shared" si="8"/>
        <v>0.90028490028490027</v>
      </c>
      <c r="N90" s="52" t="s">
        <v>20</v>
      </c>
      <c r="O90" t="str">
        <f>IF([1]!Table_246[[#This Row],[Coluna2]]&gt;0.5, "🔥 Excelente", IF([1]!Table_246[[#This Row],[Coluna2]]&gt;0.4, "👍 Bom", "⚠️ Baixo"))</f>
        <v>🔥 Excelente</v>
      </c>
    </row>
    <row r="91" spans="1:15" ht="15.75" customHeight="1">
      <c r="A91" s="28">
        <f>IF(Table_246[[#This Row],[Data]]="","",MONTH(Table_246[[#This Row],[Data]]))</f>
        <v>2</v>
      </c>
      <c r="B91" s="32">
        <v>46057</v>
      </c>
      <c r="C91" s="109" t="s">
        <v>1037</v>
      </c>
      <c r="D91" s="43">
        <v>1</v>
      </c>
      <c r="E91" s="48" t="s">
        <v>1082</v>
      </c>
      <c r="F91" s="48" t="s">
        <v>555</v>
      </c>
      <c r="G91" s="49">
        <v>20</v>
      </c>
      <c r="H91" s="10">
        <f>Table_246[[#This Row],[QT]]*Table_246[[#This Row],[Custo 
Un]]</f>
        <v>20</v>
      </c>
      <c r="I91" s="52">
        <v>30</v>
      </c>
      <c r="J91" s="263">
        <f t="shared" si="6"/>
        <v>30</v>
      </c>
      <c r="K91" s="10">
        <f t="shared" si="7"/>
        <v>30</v>
      </c>
      <c r="L91" s="50">
        <f>Table_246[[#This Row],[Valor da 
venda]]-Table_246[[#This Row],[Valor gasto]]</f>
        <v>10</v>
      </c>
      <c r="M91" s="111">
        <f t="shared" si="8"/>
        <v>0.33333333333333331</v>
      </c>
      <c r="N91" s="52" t="s">
        <v>20</v>
      </c>
      <c r="O91" t="str">
        <f>IF([1]!Table_246[[#This Row],[Coluna2]]&gt;0.5, "🔥 Excelente", IF([1]!Table_246[[#This Row],[Coluna2]]&gt;0.4, "👍 Bom", "⚠️ Baixo"))</f>
        <v>⚠️ Baixo</v>
      </c>
    </row>
    <row r="92" spans="1:15" ht="15.75" customHeight="1">
      <c r="A92" s="28">
        <f>IF(Table_246[[#This Row],[Data]]="","",MONTH(Table_246[[#This Row],[Data]]))</f>
        <v>2</v>
      </c>
      <c r="B92" s="32">
        <v>46057</v>
      </c>
      <c r="C92" s="109" t="s">
        <v>1032</v>
      </c>
      <c r="D92" s="43">
        <v>1</v>
      </c>
      <c r="E92" s="48" t="s">
        <v>1082</v>
      </c>
      <c r="F92" s="48" t="s">
        <v>555</v>
      </c>
      <c r="G92" s="49">
        <v>5</v>
      </c>
      <c r="H92" s="10">
        <f>Table_246[[#This Row],[QT]]*Table_246[[#This Row],[Custo 
Un]]</f>
        <v>5</v>
      </c>
      <c r="I92" s="52">
        <v>10</v>
      </c>
      <c r="J92" s="263">
        <f t="shared" si="6"/>
        <v>10</v>
      </c>
      <c r="K92" s="10">
        <f t="shared" si="7"/>
        <v>10</v>
      </c>
      <c r="L92" s="50">
        <f>Table_246[[#This Row],[Valor da 
venda]]-Table_246[[#This Row],[Valor gasto]]</f>
        <v>5</v>
      </c>
      <c r="M92" s="111">
        <f t="shared" si="8"/>
        <v>0.5</v>
      </c>
      <c r="N92" s="52" t="s">
        <v>20</v>
      </c>
      <c r="O92" t="str">
        <f>IF([1]!Table_246[[#This Row],[Coluna2]]&gt;0.5, "🔥 Excelente", IF([1]!Table_246[[#This Row],[Coluna2]]&gt;0.4, "👍 Bom", "⚠️ Baixo"))</f>
        <v>👍 Bom</v>
      </c>
    </row>
    <row r="93" spans="1:15" ht="15.75" customHeight="1">
      <c r="A93" s="28">
        <f>IF(Table_246[[#This Row],[Data]]="","",MONTH(Table_246[[#This Row],[Data]]))</f>
        <v>2</v>
      </c>
      <c r="B93" s="32">
        <v>46057</v>
      </c>
      <c r="C93" s="109" t="s">
        <v>1083</v>
      </c>
      <c r="D93" s="43">
        <v>1</v>
      </c>
      <c r="E93" s="48" t="s">
        <v>1082</v>
      </c>
      <c r="F93" s="48" t="s">
        <v>555</v>
      </c>
      <c r="G93" s="49">
        <v>5</v>
      </c>
      <c r="H93" s="10">
        <f>Table_246[[#This Row],[QT]]*Table_246[[#This Row],[Custo 
Un]]</f>
        <v>5</v>
      </c>
      <c r="I93" s="52">
        <v>10</v>
      </c>
      <c r="J93" s="263">
        <f t="shared" si="6"/>
        <v>10</v>
      </c>
      <c r="K93" s="10">
        <f t="shared" si="7"/>
        <v>10</v>
      </c>
      <c r="L93" s="50">
        <f>Table_246[[#This Row],[Valor da 
venda]]-Table_246[[#This Row],[Valor gasto]]</f>
        <v>5</v>
      </c>
      <c r="M93" s="111">
        <f t="shared" si="8"/>
        <v>0.5</v>
      </c>
      <c r="N93" s="52" t="s">
        <v>20</v>
      </c>
      <c r="O93" t="str">
        <f>IF([1]!Table_246[[#This Row],[Coluna2]]&gt;0.5, "🔥 Excelente", IF([1]!Table_246[[#This Row],[Coluna2]]&gt;0.4, "👍 Bom", "⚠️ Baixo"))</f>
        <v>👍 Bom</v>
      </c>
    </row>
    <row r="94" spans="1:15" ht="15.75" customHeight="1">
      <c r="A94" s="28">
        <f>IF(Table_246[[#This Row],[Data]]="","",MONTH(Table_246[[#This Row],[Data]]))</f>
        <v>2</v>
      </c>
      <c r="B94" s="32">
        <v>46057</v>
      </c>
      <c r="C94" s="109" t="s">
        <v>1047</v>
      </c>
      <c r="D94" s="43">
        <v>1</v>
      </c>
      <c r="E94" s="48" t="s">
        <v>1084</v>
      </c>
      <c r="F94" s="48" t="s">
        <v>22</v>
      </c>
      <c r="G94" s="49">
        <f>IFERROR(VLOOKUP(C94,PROD!$A$2:$E$1204,5,0),"0")</f>
        <v>0.7</v>
      </c>
      <c r="H94" s="10">
        <f>Table_246[[#This Row],[QT]]*Table_246[[#This Row],[Custo 
Un]]</f>
        <v>0.7</v>
      </c>
      <c r="I94" s="52">
        <v>7.02</v>
      </c>
      <c r="J94" s="263">
        <f t="shared" si="6"/>
        <v>7.02</v>
      </c>
      <c r="K94" s="10">
        <f t="shared" si="7"/>
        <v>7.02</v>
      </c>
      <c r="L94" s="50">
        <f>Table_246[[#This Row],[Valor da 
venda]]-Table_246[[#This Row],[Valor gasto]]</f>
        <v>6.3199999999999994</v>
      </c>
      <c r="M94" s="111">
        <f t="shared" si="8"/>
        <v>0.90028490028490027</v>
      </c>
      <c r="N94" s="52" t="s">
        <v>20</v>
      </c>
      <c r="O94" t="str">
        <f>IF([1]!Table_246[[#This Row],[Coluna2]]&gt;0.5, "🔥 Excelente", IF([1]!Table_246[[#This Row],[Coluna2]]&gt;0.4, "👍 Bom", "⚠️ Baixo"))</f>
        <v>🔥 Excelente</v>
      </c>
    </row>
    <row r="95" spans="1:15" ht="15.75" customHeight="1">
      <c r="A95" s="28">
        <f>IF(Table_246[[#This Row],[Data]]="","",MONTH(Table_246[[#This Row],[Data]]))</f>
        <v>2</v>
      </c>
      <c r="B95" s="32">
        <v>46058</v>
      </c>
      <c r="C95" s="109" t="s">
        <v>1047</v>
      </c>
      <c r="D95" s="43">
        <v>1</v>
      </c>
      <c r="E95" s="48" t="s">
        <v>1085</v>
      </c>
      <c r="F95" s="48" t="s">
        <v>22</v>
      </c>
      <c r="G95" s="49">
        <f>IFERROR(VLOOKUP(C95,PROD!$A$2:$E$1204,5,0),"0")</f>
        <v>0.7</v>
      </c>
      <c r="H95" s="10">
        <f>Table_246[[#This Row],[QT]]*Table_246[[#This Row],[Custo 
Un]]</f>
        <v>0.7</v>
      </c>
      <c r="I95" s="52">
        <v>7.02</v>
      </c>
      <c r="J95" s="263">
        <f t="shared" si="6"/>
        <v>7.02</v>
      </c>
      <c r="K95" s="10">
        <f t="shared" si="7"/>
        <v>7.02</v>
      </c>
      <c r="L95" s="50">
        <f>Table_246[[#This Row],[Valor da 
venda]]-Table_246[[#This Row],[Valor gasto]]</f>
        <v>6.3199999999999994</v>
      </c>
      <c r="M95" s="111">
        <f t="shared" si="8"/>
        <v>0.90028490028490027</v>
      </c>
      <c r="N95" s="52" t="s">
        <v>20</v>
      </c>
      <c r="O95" t="str">
        <f>IF([1]!Table_246[[#This Row],[Coluna2]]&gt;0.5, "🔥 Excelente", IF([1]!Table_246[[#This Row],[Coluna2]]&gt;0.4, "👍 Bom", "⚠️ Baixo"))</f>
        <v>🔥 Excelente</v>
      </c>
    </row>
    <row r="96" spans="1:15" ht="15.75" customHeight="1">
      <c r="A96" s="28">
        <f>IF(Table_246[[#This Row],[Data]]="","",MONTH(Table_246[[#This Row],[Data]]))</f>
        <v>2</v>
      </c>
      <c r="B96" s="32">
        <v>46059</v>
      </c>
      <c r="C96" s="109" t="s">
        <v>1047</v>
      </c>
      <c r="D96" s="43">
        <v>1</v>
      </c>
      <c r="E96" s="48" t="s">
        <v>1086</v>
      </c>
      <c r="F96" s="48" t="s">
        <v>22</v>
      </c>
      <c r="G96" s="49">
        <f>IFERROR(VLOOKUP(C96,PROD!$A$2:$E$1204,5,0),"0")</f>
        <v>0.7</v>
      </c>
      <c r="H96" s="10">
        <f>Table_246[[#This Row],[QT]]*Table_246[[#This Row],[Custo 
Un]]</f>
        <v>0.7</v>
      </c>
      <c r="I96" s="52">
        <v>7.02</v>
      </c>
      <c r="J96" s="263">
        <f t="shared" si="6"/>
        <v>7.02</v>
      </c>
      <c r="K96" s="10">
        <f t="shared" si="7"/>
        <v>7.02</v>
      </c>
      <c r="L96" s="50">
        <f>Table_246[[#This Row],[Valor da 
venda]]-Table_246[[#This Row],[Valor gasto]]</f>
        <v>6.3199999999999994</v>
      </c>
      <c r="M96" s="111">
        <f t="shared" si="8"/>
        <v>0.90028490028490027</v>
      </c>
      <c r="N96" s="52" t="s">
        <v>20</v>
      </c>
      <c r="O96" t="str">
        <f>IF([1]!Table_246[[#This Row],[Coluna2]]&gt;0.5, "🔥 Excelente", IF([1]!Table_246[[#This Row],[Coluna2]]&gt;0.4, "👍 Bom", "⚠️ Baixo"))</f>
        <v>🔥 Excelente</v>
      </c>
    </row>
    <row r="97" spans="1:15" ht="15.75" customHeight="1">
      <c r="A97" s="28">
        <f>IF(Table_246[[#This Row],[Data]]="","",MONTH(Table_246[[#This Row],[Data]]))</f>
        <v>2</v>
      </c>
      <c r="B97" s="32">
        <v>46059</v>
      </c>
      <c r="C97" s="109" t="s">
        <v>1047</v>
      </c>
      <c r="D97" s="43">
        <v>1</v>
      </c>
      <c r="E97" s="48" t="s">
        <v>1087</v>
      </c>
      <c r="F97" s="48" t="s">
        <v>22</v>
      </c>
      <c r="G97" s="49">
        <f>IFERROR(VLOOKUP(C97,PROD!$A$2:$E$1204,5,0),"0")</f>
        <v>0.7</v>
      </c>
      <c r="H97" s="10">
        <f>Table_246[[#This Row],[QT]]*Table_246[[#This Row],[Custo 
Un]]</f>
        <v>0.7</v>
      </c>
      <c r="I97" s="52">
        <v>7.02</v>
      </c>
      <c r="J97" s="263">
        <f t="shared" si="6"/>
        <v>7.02</v>
      </c>
      <c r="K97" s="10">
        <f t="shared" si="7"/>
        <v>7.02</v>
      </c>
      <c r="L97" s="50">
        <f>Table_246[[#This Row],[Valor da 
venda]]-Table_246[[#This Row],[Valor gasto]]</f>
        <v>6.3199999999999994</v>
      </c>
      <c r="M97" s="111">
        <f t="shared" si="8"/>
        <v>0.90028490028490027</v>
      </c>
      <c r="N97" s="52" t="s">
        <v>20</v>
      </c>
      <c r="O97" t="str">
        <f>IF([1]!Table_246[[#This Row],[Coluna2]]&gt;0.5, "🔥 Excelente", IF([1]!Table_246[[#This Row],[Coluna2]]&gt;0.4, "👍 Bom", "⚠️ Baixo"))</f>
        <v>🔥 Excelente</v>
      </c>
    </row>
    <row r="98" spans="1:15" ht="15.75" customHeight="1">
      <c r="A98" s="28">
        <f>IF(Table_246[[#This Row],[Data]]="","",MONTH(Table_246[[#This Row],[Data]]))</f>
        <v>2</v>
      </c>
      <c r="B98" s="32">
        <v>46059</v>
      </c>
      <c r="C98" s="36" t="s">
        <v>1088</v>
      </c>
      <c r="D98" s="43">
        <v>1</v>
      </c>
      <c r="E98" s="48" t="s">
        <v>1008</v>
      </c>
      <c r="F98" s="48" t="s">
        <v>555</v>
      </c>
      <c r="G98" s="49">
        <v>11</v>
      </c>
      <c r="H98" s="10">
        <f>Table_246[[#This Row],[QT]]*Table_246[[#This Row],[Custo 
Un]]</f>
        <v>11</v>
      </c>
      <c r="I98" s="52">
        <v>35</v>
      </c>
      <c r="J98" s="263">
        <f t="shared" si="6"/>
        <v>35</v>
      </c>
      <c r="K98" s="10">
        <f t="shared" si="7"/>
        <v>35</v>
      </c>
      <c r="L98" s="50">
        <f>Table_246[[#This Row],[Valor da 
venda]]-Table_246[[#This Row],[Valor gasto]]</f>
        <v>24</v>
      </c>
      <c r="M98" s="111">
        <f t="shared" si="8"/>
        <v>0.68571428571428572</v>
      </c>
      <c r="N98" s="52" t="s">
        <v>20</v>
      </c>
      <c r="O98" t="str">
        <f>IF([1]!Table_246[[#This Row],[Coluna2]]&gt;0.5, "🔥 Excelente", IF([1]!Table_246[[#This Row],[Coluna2]]&gt;0.4, "👍 Bom", "⚠️ Baixo"))</f>
        <v>🔥 Excelente</v>
      </c>
    </row>
    <row r="99" spans="1:15" ht="15.75" customHeight="1">
      <c r="A99" s="28">
        <f>IF(Table_246[[#This Row],[Data]]="","",MONTH(Table_246[[#This Row],[Data]]))</f>
        <v>2</v>
      </c>
      <c r="B99" s="32">
        <v>46059</v>
      </c>
      <c r="C99" s="36" t="s">
        <v>1066</v>
      </c>
      <c r="D99" s="43">
        <v>1</v>
      </c>
      <c r="E99" s="48" t="s">
        <v>1008</v>
      </c>
      <c r="F99" s="48" t="s">
        <v>555</v>
      </c>
      <c r="G99" s="49">
        <f>IFERROR(VLOOKUP(C99,PROD!$A$2:$E$1204,5,0),"0")</f>
        <v>0</v>
      </c>
      <c r="H99" s="10">
        <f>Table_246[[#This Row],[QT]]*Table_246[[#This Row],[Custo 
Un]]</f>
        <v>0</v>
      </c>
      <c r="I99" s="52">
        <v>10</v>
      </c>
      <c r="J99" s="263">
        <f t="shared" si="6"/>
        <v>10</v>
      </c>
      <c r="K99" s="10">
        <f t="shared" si="7"/>
        <v>10</v>
      </c>
      <c r="L99" s="50">
        <f>Table_246[[#This Row],[Valor da 
venda]]-Table_246[[#This Row],[Valor gasto]]</f>
        <v>10</v>
      </c>
      <c r="M99" s="111">
        <f t="shared" si="8"/>
        <v>1</v>
      </c>
      <c r="N99" s="52" t="s">
        <v>20</v>
      </c>
      <c r="O99" t="str">
        <f>IF([1]!Table_246[[#This Row],[Coluna2]]&gt;0.5, "🔥 Excelente", IF([1]!Table_246[[#This Row],[Coluna2]]&gt;0.4, "👍 Bom", "⚠️ Baixo"))</f>
        <v>🔥 Excelente</v>
      </c>
    </row>
    <row r="100" spans="1:15" ht="15.75" customHeight="1">
      <c r="A100" s="28">
        <f>IF(Table_246[[#This Row],[Data]]="","",MONTH(Table_246[[#This Row],[Data]]))</f>
        <v>2</v>
      </c>
      <c r="B100" s="32">
        <v>46061</v>
      </c>
      <c r="C100" s="36" t="s">
        <v>1089</v>
      </c>
      <c r="D100" s="43">
        <v>1</v>
      </c>
      <c r="E100" s="48" t="s">
        <v>1008</v>
      </c>
      <c r="F100" s="48" t="s">
        <v>555</v>
      </c>
      <c r="G100" s="49">
        <v>20</v>
      </c>
      <c r="H100" s="10">
        <f>Table_246[[#This Row],[QT]]*Table_246[[#This Row],[Custo 
Un]]</f>
        <v>20</v>
      </c>
      <c r="I100" s="52">
        <v>45</v>
      </c>
      <c r="J100" s="263">
        <f t="shared" si="6"/>
        <v>45</v>
      </c>
      <c r="K100" s="10">
        <f t="shared" si="7"/>
        <v>45</v>
      </c>
      <c r="L100" s="50">
        <f>Table_246[[#This Row],[Valor da 
venda]]-Table_246[[#This Row],[Valor gasto]]</f>
        <v>25</v>
      </c>
      <c r="M100" s="111">
        <f t="shared" si="8"/>
        <v>0.55555555555555558</v>
      </c>
      <c r="N100" s="52" t="s">
        <v>20</v>
      </c>
      <c r="O100" t="str">
        <f>IF([1]!Table_246[[#This Row],[Coluna2]]&gt;0.5, "🔥 Excelente", IF([1]!Table_246[[#This Row],[Coluna2]]&gt;0.4, "👍 Bom", "⚠️ Baixo"))</f>
        <v>🔥 Excelente</v>
      </c>
    </row>
    <row r="101" spans="1:15" ht="15.75" customHeight="1">
      <c r="A101" s="28">
        <f>IF(Table_246[[#This Row],[Data]]="","",MONTH(Table_246[[#This Row],[Data]]))</f>
        <v>2</v>
      </c>
      <c r="B101" s="32">
        <v>46061</v>
      </c>
      <c r="C101" s="36" t="s">
        <v>1090</v>
      </c>
      <c r="D101" s="43">
        <v>1</v>
      </c>
      <c r="E101" s="48" t="s">
        <v>1008</v>
      </c>
      <c r="F101" s="48" t="s">
        <v>555</v>
      </c>
      <c r="G101" s="49">
        <v>10</v>
      </c>
      <c r="H101" s="10">
        <f>Table_246[[#This Row],[QT]]*Table_246[[#This Row],[Custo 
Un]]</f>
        <v>10</v>
      </c>
      <c r="I101" s="52">
        <v>20</v>
      </c>
      <c r="J101" s="263">
        <f t="shared" si="6"/>
        <v>20</v>
      </c>
      <c r="K101" s="10">
        <f t="shared" si="7"/>
        <v>20</v>
      </c>
      <c r="L101" s="50">
        <f>Table_246[[#This Row],[Valor da 
venda]]-Table_246[[#This Row],[Valor gasto]]</f>
        <v>10</v>
      </c>
      <c r="M101" s="111">
        <f t="shared" si="8"/>
        <v>0.5</v>
      </c>
      <c r="N101" s="52" t="s">
        <v>20</v>
      </c>
      <c r="O101" t="str">
        <f>IF([1]!Table_246[[#This Row],[Coluna2]]&gt;0.5, "🔥 Excelente", IF([1]!Table_246[[#This Row],[Coluna2]]&gt;0.4, "👍 Bom", "⚠️ Baixo"))</f>
        <v>👍 Bom</v>
      </c>
    </row>
    <row r="102" spans="1:15" ht="15.75" customHeight="1">
      <c r="A102" s="28">
        <f>IF(Table_246[[#This Row],[Data]]="","",MONTH(Table_246[[#This Row],[Data]]))</f>
        <v>2</v>
      </c>
      <c r="B102" s="32">
        <v>46061</v>
      </c>
      <c r="C102" s="109" t="s">
        <v>1047</v>
      </c>
      <c r="D102" s="43">
        <v>1</v>
      </c>
      <c r="E102" s="48" t="s">
        <v>1091</v>
      </c>
      <c r="F102" s="48" t="s">
        <v>22</v>
      </c>
      <c r="G102" s="49">
        <f>IFERROR(VLOOKUP(C102,PROD!$A$2:$E$1204,5,0),"0")</f>
        <v>0.7</v>
      </c>
      <c r="H102" s="10">
        <f>Table_246[[#This Row],[QT]]*Table_246[[#This Row],[Custo 
Un]]</f>
        <v>0.7</v>
      </c>
      <c r="I102" s="52">
        <v>7.2</v>
      </c>
      <c r="J102" s="263">
        <f t="shared" si="6"/>
        <v>7.2</v>
      </c>
      <c r="K102" s="10">
        <f t="shared" si="7"/>
        <v>7.2</v>
      </c>
      <c r="L102" s="50">
        <f>Table_246[[#This Row],[Valor da 
venda]]-Table_246[[#This Row],[Valor gasto]]</f>
        <v>6.5</v>
      </c>
      <c r="M102" s="111">
        <f t="shared" si="8"/>
        <v>0.90277777777777779</v>
      </c>
      <c r="N102" s="52" t="s">
        <v>20</v>
      </c>
      <c r="O102" t="str">
        <f>IF([1]!Table_246[[#This Row],[Coluna2]]&gt;0.5, "🔥 Excelente", IF([1]!Table_246[[#This Row],[Coluna2]]&gt;0.4, "👍 Bom", "⚠️ Baixo"))</f>
        <v>🔥 Excelente</v>
      </c>
    </row>
    <row r="103" spans="1:15" ht="15.75" customHeight="1">
      <c r="A103" s="28">
        <f>IF(Table_246[[#This Row],[Data]]="","",MONTH(Table_246[[#This Row],[Data]]))</f>
        <v>2</v>
      </c>
      <c r="B103" s="32">
        <v>46061</v>
      </c>
      <c r="C103" s="82" t="s">
        <v>1092</v>
      </c>
      <c r="D103" s="43">
        <v>2</v>
      </c>
      <c r="E103" s="48" t="s">
        <v>1093</v>
      </c>
      <c r="F103" s="48" t="s">
        <v>22</v>
      </c>
      <c r="G103" s="49">
        <f>IFERROR(VLOOKUP(C103,PROD!$A$2:$E$1204,5,0),"0")</f>
        <v>7.5</v>
      </c>
      <c r="H103" s="10">
        <f>Table_246[[#This Row],[QT]]*Table_246[[#This Row],[Custo 
Un]]</f>
        <v>15</v>
      </c>
      <c r="I103" s="52">
        <f>28.1/2</f>
        <v>14.05</v>
      </c>
      <c r="J103" s="263">
        <f t="shared" si="6"/>
        <v>28.1</v>
      </c>
      <c r="K103" s="10">
        <f t="shared" si="7"/>
        <v>28.1</v>
      </c>
      <c r="L103" s="50">
        <f>Table_246[[#This Row],[Valor da 
venda]]-Table_246[[#This Row],[Valor gasto]]</f>
        <v>13.100000000000001</v>
      </c>
      <c r="M103" s="111">
        <f t="shared" si="8"/>
        <v>0.46619217081850539</v>
      </c>
      <c r="N103" s="52" t="s">
        <v>20</v>
      </c>
      <c r="O103" t="str">
        <f>IF([1]!Table_246[[#This Row],[Coluna2]]&gt;0.5, "🔥 Excelente", IF([1]!Table_246[[#This Row],[Coluna2]]&gt;0.4, "👍 Bom", "⚠️ Baixo"))</f>
        <v>👍 Bom</v>
      </c>
    </row>
    <row r="104" spans="1:15" ht="15.75" customHeight="1">
      <c r="A104" s="28">
        <f>IF(Table_246[[#This Row],[Data]]="","",MONTH(Table_246[[#This Row],[Data]]))</f>
        <v>2</v>
      </c>
      <c r="B104" s="32">
        <v>46062</v>
      </c>
      <c r="C104" s="36" t="s">
        <v>146</v>
      </c>
      <c r="D104" s="43">
        <v>3</v>
      </c>
      <c r="E104" s="48" t="s">
        <v>1094</v>
      </c>
      <c r="F104" s="48" t="s">
        <v>555</v>
      </c>
      <c r="G104" s="49">
        <f>IFERROR(VLOOKUP(C104,PROD!$A$2:$E$1204,5,0),"0")</f>
        <v>7.0000000000000007E-2</v>
      </c>
      <c r="H104" s="10">
        <f>Table_246[[#This Row],[QT]]*Table_246[[#This Row],[Custo 
Un]]</f>
        <v>0.21000000000000002</v>
      </c>
      <c r="I104" s="52">
        <v>1</v>
      </c>
      <c r="J104" s="263">
        <f t="shared" si="6"/>
        <v>3</v>
      </c>
      <c r="K104" s="10">
        <f t="shared" si="7"/>
        <v>3</v>
      </c>
      <c r="L104" s="50">
        <f>Table_246[[#This Row],[Valor da 
venda]]-Table_246[[#This Row],[Valor gasto]]</f>
        <v>2.79</v>
      </c>
      <c r="M104" s="111">
        <f t="shared" si="8"/>
        <v>0.93</v>
      </c>
      <c r="N104" s="52" t="s">
        <v>20</v>
      </c>
      <c r="O104" t="str">
        <f>IF([1]!Table_246[[#This Row],[Coluna2]]&gt;0.5, "🔥 Excelente", IF([1]!Table_246[[#This Row],[Coluna2]]&gt;0.4, "👍 Bom", "⚠️ Baixo"))</f>
        <v>🔥 Excelente</v>
      </c>
    </row>
    <row r="105" spans="1:15" ht="15.75" customHeight="1">
      <c r="A105" s="28">
        <f>IF(Table_246[[#This Row],[Data]]="","",MONTH(Table_246[[#This Row],[Data]]))</f>
        <v>2</v>
      </c>
      <c r="B105" s="32">
        <v>46062</v>
      </c>
      <c r="C105" s="36" t="s">
        <v>1072</v>
      </c>
      <c r="D105" s="43">
        <v>6</v>
      </c>
      <c r="E105" s="48" t="s">
        <v>1095</v>
      </c>
      <c r="F105" s="48" t="s">
        <v>555</v>
      </c>
      <c r="G105" s="49">
        <f>IFERROR(VLOOKUP(C105,PROD!$A$2:$E$1204,5,0),"0")</f>
        <v>0.7</v>
      </c>
      <c r="H105" s="10">
        <f>Table_246[[#This Row],[QT]]*Table_246[[#This Row],[Custo 
Un]]</f>
        <v>4.1999999999999993</v>
      </c>
      <c r="I105" s="52">
        <v>5</v>
      </c>
      <c r="J105" s="263">
        <f t="shared" si="6"/>
        <v>30</v>
      </c>
      <c r="K105" s="10">
        <f t="shared" si="7"/>
        <v>30</v>
      </c>
      <c r="L105" s="50">
        <f>Table_246[[#This Row],[Valor da 
venda]]-Table_246[[#This Row],[Valor gasto]]</f>
        <v>25.8</v>
      </c>
      <c r="M105" s="111">
        <f t="shared" si="8"/>
        <v>0.86</v>
      </c>
      <c r="N105" s="52" t="s">
        <v>20</v>
      </c>
      <c r="O105" t="str">
        <f>IF([1]!Table_246[[#This Row],[Coluna2]]&gt;0.5, "🔥 Excelente", IF([1]!Table_246[[#This Row],[Coluna2]]&gt;0.4, "👍 Bom", "⚠️ Baixo"))</f>
        <v>🔥 Excelente</v>
      </c>
    </row>
    <row r="106" spans="1:15" ht="15.75" customHeight="1">
      <c r="A106" s="28">
        <f>IF(Table_246[[#This Row],[Data]]="","",MONTH(Table_246[[#This Row],[Data]]))</f>
        <v>2</v>
      </c>
      <c r="B106" s="32">
        <v>46062</v>
      </c>
      <c r="C106" s="36" t="s">
        <v>1072</v>
      </c>
      <c r="D106" s="43">
        <v>2</v>
      </c>
      <c r="E106" s="48" t="s">
        <v>1008</v>
      </c>
      <c r="F106" s="48" t="s">
        <v>555</v>
      </c>
      <c r="G106" s="49">
        <f>IFERROR(VLOOKUP(C106,PROD!$A$2:$E$1204,5,0),"0")</f>
        <v>0.7</v>
      </c>
      <c r="H106" s="10">
        <f>Table_246[[#This Row],[QT]]*Table_246[[#This Row],[Custo 
Un]]</f>
        <v>1.4</v>
      </c>
      <c r="I106" s="52">
        <v>5</v>
      </c>
      <c r="J106" s="263">
        <f t="shared" si="6"/>
        <v>10</v>
      </c>
      <c r="K106" s="10">
        <f t="shared" si="7"/>
        <v>10</v>
      </c>
      <c r="L106" s="50">
        <f>Table_246[[#This Row],[Valor da 
venda]]-Table_246[[#This Row],[Valor gasto]]</f>
        <v>8.6</v>
      </c>
      <c r="M106" s="111">
        <f t="shared" si="8"/>
        <v>0.86</v>
      </c>
      <c r="N106" s="52" t="s">
        <v>20</v>
      </c>
      <c r="O106" t="str">
        <f>IF([1]!Table_246[[#This Row],[Coluna2]]&gt;0.5, "🔥 Excelente", IF([1]!Table_246[[#This Row],[Coluna2]]&gt;0.4, "👍 Bom", "⚠️ Baixo"))</f>
        <v>🔥 Excelente</v>
      </c>
    </row>
    <row r="107" spans="1:15" ht="15.75" customHeight="1">
      <c r="A107" s="28">
        <f>IF(Table_246[[#This Row],[Data]]="","",MONTH(Table_246[[#This Row],[Data]]))</f>
        <v>2</v>
      </c>
      <c r="B107" s="32">
        <v>46063</v>
      </c>
      <c r="C107" s="36" t="s">
        <v>1038</v>
      </c>
      <c r="D107" s="43">
        <v>1</v>
      </c>
      <c r="E107" s="48" t="s">
        <v>916</v>
      </c>
      <c r="F107" s="48" t="s">
        <v>555</v>
      </c>
      <c r="G107" s="49">
        <f>IFERROR(VLOOKUP(C107,PROD!$A$2:$E$1204,5,0),"0")</f>
        <v>0</v>
      </c>
      <c r="H107" s="10">
        <f>Table_246[[#This Row],[QT]]*Table_246[[#This Row],[Custo 
Un]]</f>
        <v>0</v>
      </c>
      <c r="I107" s="52">
        <v>30</v>
      </c>
      <c r="J107" s="263">
        <f t="shared" si="6"/>
        <v>30</v>
      </c>
      <c r="K107" s="10">
        <f t="shared" si="7"/>
        <v>30</v>
      </c>
      <c r="L107" s="50">
        <f>Table_246[[#This Row],[Valor da 
venda]]-Table_246[[#This Row],[Valor gasto]]</f>
        <v>30</v>
      </c>
      <c r="M107" s="111">
        <f t="shared" si="8"/>
        <v>1</v>
      </c>
      <c r="N107" s="52" t="s">
        <v>20</v>
      </c>
      <c r="O107" t="str">
        <f>IF([1]!Table_246[[#This Row],[Coluna2]]&gt;0.5, "🔥 Excelente", IF([1]!Table_246[[#This Row],[Coluna2]]&gt;0.4, "👍 Bom", "⚠️ Baixo"))</f>
        <v>🔥 Excelente</v>
      </c>
    </row>
    <row r="108" spans="1:15" ht="15.75" customHeight="1">
      <c r="A108" s="28">
        <f>IF(Table_246[[#This Row],[Data]]="","",MONTH(Table_246[[#This Row],[Data]]))</f>
        <v>2</v>
      </c>
      <c r="B108" s="32">
        <v>46063</v>
      </c>
      <c r="C108" s="36" t="s">
        <v>1096</v>
      </c>
      <c r="D108" s="43">
        <v>1</v>
      </c>
      <c r="E108" s="48" t="s">
        <v>1097</v>
      </c>
      <c r="F108" s="48" t="s">
        <v>555</v>
      </c>
      <c r="G108" s="49" t="str">
        <f>IFERROR(VLOOKUP(C108,PROD!$A$2:$E$1204,5,0),"0")</f>
        <v>0</v>
      </c>
      <c r="H108" s="10">
        <f>Table_246[[#This Row],[QT]]*Table_246[[#This Row],[Custo 
Un]]</f>
        <v>0</v>
      </c>
      <c r="I108" s="52">
        <v>35</v>
      </c>
      <c r="J108" s="263">
        <f t="shared" si="6"/>
        <v>35</v>
      </c>
      <c r="K108" s="10">
        <f t="shared" si="7"/>
        <v>35</v>
      </c>
      <c r="L108" s="50">
        <f>Table_246[[#This Row],[Valor da 
venda]]-Table_246[[#This Row],[Valor gasto]]</f>
        <v>35</v>
      </c>
      <c r="M108" s="111">
        <f t="shared" si="8"/>
        <v>1</v>
      </c>
      <c r="N108" s="52" t="s">
        <v>20</v>
      </c>
      <c r="O108" t="str">
        <f>IF([1]!Table_246[[#This Row],[Coluna2]]&gt;0.5, "🔥 Excelente", IF([1]!Table_246[[#This Row],[Coluna2]]&gt;0.4, "👍 Bom", "⚠️ Baixo"))</f>
        <v>🔥 Excelente</v>
      </c>
    </row>
    <row r="109" spans="1:15" ht="15.75" customHeight="1">
      <c r="A109" s="28">
        <f>IF(Table_246[[#This Row],[Data]]="","",MONTH(Table_246[[#This Row],[Data]]))</f>
        <v>2</v>
      </c>
      <c r="B109" s="32">
        <v>46063</v>
      </c>
      <c r="C109" s="109" t="s">
        <v>1047</v>
      </c>
      <c r="D109" s="43">
        <v>1</v>
      </c>
      <c r="E109" s="48" t="s">
        <v>1098</v>
      </c>
      <c r="F109" s="48" t="s">
        <v>22</v>
      </c>
      <c r="G109" s="49">
        <f>IFERROR(VLOOKUP(C109,PROD!$A$2:$E$1204,5,0),"0")</f>
        <v>0.7</v>
      </c>
      <c r="H109" s="10">
        <f>Table_246[[#This Row],[QT]]*Table_246[[#This Row],[Custo 
Un]]</f>
        <v>0.7</v>
      </c>
      <c r="I109" s="52">
        <v>7.02</v>
      </c>
      <c r="J109" s="263">
        <f t="shared" si="6"/>
        <v>7.02</v>
      </c>
      <c r="K109" s="10">
        <f t="shared" si="7"/>
        <v>7.02</v>
      </c>
      <c r="L109" s="50">
        <f>Table_246[[#This Row],[Valor da 
venda]]-Table_246[[#This Row],[Valor gasto]]</f>
        <v>6.3199999999999994</v>
      </c>
      <c r="M109" s="111">
        <f t="shared" si="8"/>
        <v>0.90028490028490027</v>
      </c>
      <c r="N109" s="52" t="s">
        <v>20</v>
      </c>
      <c r="O109" t="str">
        <f>IF([1]!Table_246[[#This Row],[Coluna2]]&gt;0.5, "🔥 Excelente", IF([1]!Table_246[[#This Row],[Coluna2]]&gt;0.4, "👍 Bom", "⚠️ Baixo"))</f>
        <v>🔥 Excelente</v>
      </c>
    </row>
    <row r="110" spans="1:15" ht="15.75" customHeight="1">
      <c r="A110" s="28">
        <f>IF(Table_246[[#This Row],[Data]]="","",MONTH(Table_246[[#This Row],[Data]]))</f>
        <v>2</v>
      </c>
      <c r="B110" s="32">
        <v>46063</v>
      </c>
      <c r="C110" s="36" t="s">
        <v>1072</v>
      </c>
      <c r="D110" s="43">
        <v>1</v>
      </c>
      <c r="E110" s="48" t="s">
        <v>1008</v>
      </c>
      <c r="F110" s="48" t="s">
        <v>555</v>
      </c>
      <c r="G110" s="49">
        <f>IFERROR(VLOOKUP(C110,PROD!$A$2:$E$1204,5,0),"0")</f>
        <v>0.7</v>
      </c>
      <c r="H110" s="10">
        <f>Table_246[[#This Row],[QT]]*Table_246[[#This Row],[Custo 
Un]]</f>
        <v>0.7</v>
      </c>
      <c r="I110" s="52">
        <v>5</v>
      </c>
      <c r="J110" s="263">
        <f t="shared" si="6"/>
        <v>5</v>
      </c>
      <c r="K110" s="10">
        <f t="shared" si="7"/>
        <v>5</v>
      </c>
      <c r="L110" s="50">
        <f>Table_246[[#This Row],[Valor da 
venda]]-Table_246[[#This Row],[Valor gasto]]</f>
        <v>4.3</v>
      </c>
      <c r="M110" s="111">
        <f t="shared" si="8"/>
        <v>0.86</v>
      </c>
      <c r="N110" s="52" t="s">
        <v>20</v>
      </c>
      <c r="O110" t="str">
        <f>IF([1]!Table_246[[#This Row],[Coluna2]]&gt;0.5, "🔥 Excelente", IF([1]!Table_246[[#This Row],[Coluna2]]&gt;0.4, "👍 Bom", "⚠️ Baixo"))</f>
        <v>🔥 Excelente</v>
      </c>
    </row>
    <row r="111" spans="1:15" ht="15.75" customHeight="1">
      <c r="A111" s="28">
        <f>IF(Table_246[[#This Row],[Data]]="","",MONTH(Table_246[[#This Row],[Data]]))</f>
        <v>2</v>
      </c>
      <c r="B111" s="32">
        <v>46064</v>
      </c>
      <c r="C111" s="36" t="s">
        <v>1099</v>
      </c>
      <c r="D111" s="43">
        <v>1</v>
      </c>
      <c r="E111" s="48" t="s">
        <v>1008</v>
      </c>
      <c r="F111" s="48" t="s">
        <v>555</v>
      </c>
      <c r="G111" s="49">
        <v>5</v>
      </c>
      <c r="H111" s="10">
        <f>Table_246[[#This Row],[QT]]*Table_246[[#This Row],[Custo 
Un]]</f>
        <v>5</v>
      </c>
      <c r="I111" s="52">
        <v>15</v>
      </c>
      <c r="J111" s="263">
        <f t="shared" si="6"/>
        <v>15</v>
      </c>
      <c r="K111" s="10">
        <f t="shared" si="7"/>
        <v>15</v>
      </c>
      <c r="L111" s="50">
        <f>Table_246[[#This Row],[Valor da 
venda]]-Table_246[[#This Row],[Valor gasto]]</f>
        <v>10</v>
      </c>
      <c r="M111" s="111">
        <f t="shared" si="8"/>
        <v>0.66666666666666663</v>
      </c>
      <c r="N111" s="52" t="s">
        <v>20</v>
      </c>
      <c r="O111" t="str">
        <f>IF([1]!Table_246[[#This Row],[Coluna2]]&gt;0.5, "🔥 Excelente", IF([1]!Table_246[[#This Row],[Coluna2]]&gt;0.4, "👍 Bom", "⚠️ Baixo"))</f>
        <v>🔥 Excelente</v>
      </c>
    </row>
    <row r="112" spans="1:15" ht="15.75" customHeight="1">
      <c r="A112" s="28">
        <f>IF(Table_246[[#This Row],[Data]]="","",MONTH(Table_246[[#This Row],[Data]]))</f>
        <v>2</v>
      </c>
      <c r="B112" s="32">
        <v>46064</v>
      </c>
      <c r="C112" s="109" t="s">
        <v>1073</v>
      </c>
      <c r="D112" s="43">
        <v>1</v>
      </c>
      <c r="E112" s="48" t="s">
        <v>1100</v>
      </c>
      <c r="F112" s="48" t="s">
        <v>22</v>
      </c>
      <c r="G112" s="49">
        <v>12.5</v>
      </c>
      <c r="H112" s="10">
        <f>Table_246[[#This Row],[QT]]*Table_246[[#This Row],[Custo 
Un]]</f>
        <v>12.5</v>
      </c>
      <c r="I112" s="52">
        <v>18.79</v>
      </c>
      <c r="J112" s="263">
        <f t="shared" si="6"/>
        <v>18.79</v>
      </c>
      <c r="K112" s="10">
        <f t="shared" si="7"/>
        <v>18.79</v>
      </c>
      <c r="L112" s="50">
        <f>Table_246[[#This Row],[Valor da 
venda]]-Table_246[[#This Row],[Valor gasto]]</f>
        <v>6.2899999999999991</v>
      </c>
      <c r="M112" s="111">
        <f t="shared" si="8"/>
        <v>0.33475252794039378</v>
      </c>
      <c r="N112" s="52" t="s">
        <v>20</v>
      </c>
      <c r="O112" t="str">
        <f>IF([1]!Table_246[[#This Row],[Coluna2]]&gt;0.5, "🔥 Excelente", IF([1]!Table_246[[#This Row],[Coluna2]]&gt;0.4, "👍 Bom", "⚠️ Baixo"))</f>
        <v>⚠️ Baixo</v>
      </c>
    </row>
    <row r="113" spans="1:15" ht="15.75" customHeight="1">
      <c r="A113" s="28">
        <f>IF(Table_246[[#This Row],[Data]]="","",MONTH(Table_246[[#This Row],[Data]]))</f>
        <v>2</v>
      </c>
      <c r="B113" s="32">
        <v>46064</v>
      </c>
      <c r="C113" s="36" t="s">
        <v>97</v>
      </c>
      <c r="D113" s="43">
        <v>2</v>
      </c>
      <c r="E113" s="48" t="s">
        <v>1008</v>
      </c>
      <c r="F113" s="48" t="s">
        <v>555</v>
      </c>
      <c r="G113" s="49">
        <f>IFERROR(VLOOKUP(C113,PROD!$A$2:$E$1204,5,0),"0")</f>
        <v>3</v>
      </c>
      <c r="H113" s="10">
        <f>Table_246[[#This Row],[QT]]*Table_246[[#This Row],[Custo 
Un]]</f>
        <v>6</v>
      </c>
      <c r="I113" s="52">
        <v>15</v>
      </c>
      <c r="J113" s="263">
        <f t="shared" si="6"/>
        <v>30</v>
      </c>
      <c r="K113" s="10">
        <f t="shared" si="7"/>
        <v>30</v>
      </c>
      <c r="L113" s="50">
        <f>Table_246[[#This Row],[Valor da 
venda]]-Table_246[[#This Row],[Valor gasto]]</f>
        <v>24</v>
      </c>
      <c r="M113" s="111">
        <f t="shared" si="8"/>
        <v>0.8</v>
      </c>
      <c r="N113" s="52" t="s">
        <v>20</v>
      </c>
      <c r="O113" t="str">
        <f>IF([1]!Table_246[[#This Row],[Coluna2]]&gt;0.5, "🔥 Excelente", IF([1]!Table_246[[#This Row],[Coluna2]]&gt;0.4, "👍 Bom", "⚠️ Baixo"))</f>
        <v>🔥 Excelente</v>
      </c>
    </row>
    <row r="114" spans="1:15" ht="15.75" customHeight="1">
      <c r="A114" s="28">
        <f>IF(Table_246[[#This Row],[Data]]="","",MONTH(Table_246[[#This Row],[Data]]))</f>
        <v>2</v>
      </c>
      <c r="B114" s="32">
        <v>46064</v>
      </c>
      <c r="C114" s="109" t="s">
        <v>1047</v>
      </c>
      <c r="D114" s="43">
        <v>1</v>
      </c>
      <c r="E114" s="48" t="s">
        <v>1101</v>
      </c>
      <c r="F114" s="48" t="s">
        <v>22</v>
      </c>
      <c r="G114" s="49">
        <f>IFERROR(VLOOKUP(C114,PROD!$A$2:$E$1204,5,0),"0")</f>
        <v>0.7</v>
      </c>
      <c r="H114" s="10">
        <f>Table_246[[#This Row],[QT]]*Table_246[[#This Row],[Custo 
Un]]</f>
        <v>0.7</v>
      </c>
      <c r="I114" s="52">
        <v>7.02</v>
      </c>
      <c r="J114" s="263">
        <f t="shared" si="6"/>
        <v>7.02</v>
      </c>
      <c r="K114" s="10">
        <f t="shared" si="7"/>
        <v>7.02</v>
      </c>
      <c r="L114" s="50">
        <f>Table_246[[#This Row],[Valor da 
venda]]-Table_246[[#This Row],[Valor gasto]]</f>
        <v>6.3199999999999994</v>
      </c>
      <c r="M114" s="111">
        <f t="shared" si="8"/>
        <v>0.90028490028490027</v>
      </c>
      <c r="N114" s="52" t="s">
        <v>20</v>
      </c>
      <c r="O114" t="str">
        <f>IF([1]!Table_246[[#This Row],[Coluna2]]&gt;0.5, "🔥 Excelente", IF([1]!Table_246[[#This Row],[Coluna2]]&gt;0.4, "👍 Bom", "⚠️ Baixo"))</f>
        <v>🔥 Excelente</v>
      </c>
    </row>
    <row r="115" spans="1:15" ht="15.75" customHeight="1">
      <c r="A115" s="28">
        <f>IF(Table_246[[#This Row],[Data]]="","",MONTH(Table_246[[#This Row],[Data]]))</f>
        <v>2</v>
      </c>
      <c r="B115" s="32">
        <v>46064</v>
      </c>
      <c r="C115" s="109" t="s">
        <v>1047</v>
      </c>
      <c r="D115" s="43">
        <v>1</v>
      </c>
      <c r="E115" s="48" t="s">
        <v>1102</v>
      </c>
      <c r="F115" s="48" t="s">
        <v>22</v>
      </c>
      <c r="G115" s="49">
        <f>IFERROR(VLOOKUP(C115,PROD!$A$2:$E$1204,5,0),"0")</f>
        <v>0.7</v>
      </c>
      <c r="H115" s="10">
        <f>Table_246[[#This Row],[QT]]*Table_246[[#This Row],[Custo 
Un]]</f>
        <v>0.7</v>
      </c>
      <c r="I115" s="52">
        <v>7.02</v>
      </c>
      <c r="J115" s="263">
        <f t="shared" si="6"/>
        <v>7.02</v>
      </c>
      <c r="K115" s="10">
        <f t="shared" si="7"/>
        <v>7.02</v>
      </c>
      <c r="L115" s="50">
        <f>Table_246[[#This Row],[Valor da 
venda]]-Table_246[[#This Row],[Valor gasto]]</f>
        <v>6.3199999999999994</v>
      </c>
      <c r="M115" s="111">
        <f t="shared" si="8"/>
        <v>0.90028490028490027</v>
      </c>
      <c r="N115" s="52" t="s">
        <v>20</v>
      </c>
      <c r="O115" t="str">
        <f>IF([1]!Table_246[[#This Row],[Coluna2]]&gt;0.5, "🔥 Excelente", IF([1]!Table_246[[#This Row],[Coluna2]]&gt;0.4, "👍 Bom", "⚠️ Baixo"))</f>
        <v>🔥 Excelente</v>
      </c>
    </row>
    <row r="116" spans="1:15" ht="15.75" customHeight="1">
      <c r="A116" s="28">
        <f>IF(Table_246[[#This Row],[Data]]="","",MONTH(Table_246[[#This Row],[Data]]))</f>
        <v>2</v>
      </c>
      <c r="B116" s="32">
        <v>46064</v>
      </c>
      <c r="C116" s="36" t="s">
        <v>1012</v>
      </c>
      <c r="D116" s="43">
        <v>1</v>
      </c>
      <c r="E116" s="48" t="s">
        <v>1103</v>
      </c>
      <c r="F116" s="48" t="s">
        <v>22</v>
      </c>
      <c r="G116" s="49">
        <f>IFERROR(VLOOKUP(C116,PROD!$A$2:$E$1204,5,0),"0")</f>
        <v>7.5</v>
      </c>
      <c r="H116" s="10">
        <f>Table_246[[#This Row],[QT]]*Table_246[[#This Row],[Custo 
Un]]</f>
        <v>7.5</v>
      </c>
      <c r="I116" s="52">
        <v>12.14</v>
      </c>
      <c r="J116" s="263">
        <f t="shared" si="6"/>
        <v>12.14</v>
      </c>
      <c r="K116" s="10">
        <f t="shared" si="7"/>
        <v>12.14</v>
      </c>
      <c r="L116" s="50">
        <f>Table_246[[#This Row],[Valor da 
venda]]-Table_246[[#This Row],[Valor gasto]]</f>
        <v>4.6400000000000006</v>
      </c>
      <c r="M116" s="111">
        <f t="shared" si="8"/>
        <v>0.38220757825370677</v>
      </c>
      <c r="N116" s="52" t="s">
        <v>20</v>
      </c>
      <c r="O116" t="str">
        <f>IF([1]!Table_246[[#This Row],[Coluna2]]&gt;0.5, "🔥 Excelente", IF([1]!Table_246[[#This Row],[Coluna2]]&gt;0.4, "👍 Bom", "⚠️ Baixo"))</f>
        <v>⚠️ Baixo</v>
      </c>
    </row>
    <row r="117" spans="1:15" ht="15.75" customHeight="1">
      <c r="A117" s="28">
        <f>IF(Table_246[[#This Row],[Data]]="","",MONTH(Table_246[[#This Row],[Data]]))</f>
        <v>2</v>
      </c>
      <c r="B117" s="32">
        <v>46064</v>
      </c>
      <c r="C117" s="36" t="s">
        <v>1012</v>
      </c>
      <c r="D117" s="43">
        <v>3</v>
      </c>
      <c r="E117" s="48" t="s">
        <v>1104</v>
      </c>
      <c r="F117" s="48" t="s">
        <v>22</v>
      </c>
      <c r="G117" s="49">
        <f>IFERROR(VLOOKUP(C117,PROD!$A$2:$E$1204,5,0),"0")</f>
        <v>7.5</v>
      </c>
      <c r="H117" s="10">
        <f>Table_246[[#This Row],[QT]]*Table_246[[#This Row],[Custo 
Un]]</f>
        <v>22.5</v>
      </c>
      <c r="I117" s="52">
        <f>36.44/3</f>
        <v>12.146666666666667</v>
      </c>
      <c r="J117" s="263">
        <f t="shared" si="6"/>
        <v>36.44</v>
      </c>
      <c r="K117" s="10">
        <f t="shared" si="7"/>
        <v>36.44</v>
      </c>
      <c r="L117" s="50">
        <f>Table_246[[#This Row],[Valor da 
venda]]-Table_246[[#This Row],[Valor gasto]]</f>
        <v>13.939999999999998</v>
      </c>
      <c r="M117" s="111">
        <f t="shared" si="8"/>
        <v>0.3825466520307354</v>
      </c>
      <c r="N117" s="52" t="s">
        <v>20</v>
      </c>
      <c r="O117" t="str">
        <f>IF([1]!Table_246[[#This Row],[Coluna2]]&gt;0.5, "🔥 Excelente", IF([1]!Table_246[[#This Row],[Coluna2]]&gt;0.4, "👍 Bom", "⚠️ Baixo"))</f>
        <v>⚠️ Baixo</v>
      </c>
    </row>
    <row r="118" spans="1:15" ht="15.75" customHeight="1">
      <c r="A118" s="28">
        <f>IF(Table_246[[#This Row],[Data]]="","",MONTH(Table_246[[#This Row],[Data]]))</f>
        <v>2</v>
      </c>
      <c r="B118" s="32">
        <v>46065</v>
      </c>
      <c r="C118" s="36" t="s">
        <v>1062</v>
      </c>
      <c r="D118" s="43">
        <v>1</v>
      </c>
      <c r="E118" s="48" t="s">
        <v>756</v>
      </c>
      <c r="F118" s="48" t="s">
        <v>555</v>
      </c>
      <c r="G118" s="49">
        <v>15</v>
      </c>
      <c r="H118" s="10">
        <f>Table_246[[#This Row],[QT]]*Table_246[[#This Row],[Custo 
Un]]</f>
        <v>15</v>
      </c>
      <c r="I118" s="52">
        <v>30</v>
      </c>
      <c r="J118" s="263">
        <f t="shared" si="6"/>
        <v>30</v>
      </c>
      <c r="K118" s="10">
        <f t="shared" si="7"/>
        <v>30</v>
      </c>
      <c r="L118" s="50">
        <f>Table_246[[#This Row],[Valor da 
venda]]-Table_246[[#This Row],[Valor gasto]]</f>
        <v>15</v>
      </c>
      <c r="M118" s="111">
        <f t="shared" si="8"/>
        <v>0.5</v>
      </c>
      <c r="N118" s="52" t="s">
        <v>20</v>
      </c>
      <c r="O118" t="str">
        <f>IF([1]!Table_246[[#This Row],[Coluna2]]&gt;0.5, "🔥 Excelente", IF([1]!Table_246[[#This Row],[Coluna2]]&gt;0.4, "👍 Bom", "⚠️ Baixo"))</f>
        <v>👍 Bom</v>
      </c>
    </row>
    <row r="119" spans="1:15" ht="15.75" customHeight="1">
      <c r="A119" s="28">
        <f>IF(Table_246[[#This Row],[Data]]="","",MONTH(Table_246[[#This Row],[Data]]))</f>
        <v>2</v>
      </c>
      <c r="B119" s="32">
        <v>46065</v>
      </c>
      <c r="C119" s="36" t="s">
        <v>1105</v>
      </c>
      <c r="D119" s="43">
        <v>2</v>
      </c>
      <c r="E119" s="48" t="s">
        <v>1008</v>
      </c>
      <c r="F119" s="48" t="s">
        <v>555</v>
      </c>
      <c r="G119" s="49">
        <v>0</v>
      </c>
      <c r="H119" s="10">
        <f>Table_246[[#This Row],[QT]]*Table_246[[#This Row],[Custo 
Un]]</f>
        <v>0</v>
      </c>
      <c r="I119" s="52">
        <v>10</v>
      </c>
      <c r="J119" s="263">
        <f t="shared" si="6"/>
        <v>20</v>
      </c>
      <c r="K119" s="10">
        <f t="shared" si="7"/>
        <v>20</v>
      </c>
      <c r="L119" s="50">
        <f>Table_246[[#This Row],[Valor da 
venda]]-Table_246[[#This Row],[Valor gasto]]</f>
        <v>20</v>
      </c>
      <c r="M119" s="111">
        <f t="shared" si="8"/>
        <v>1</v>
      </c>
      <c r="N119" s="52" t="s">
        <v>20</v>
      </c>
      <c r="O119" t="str">
        <f>IF([1]!Table_246[[#This Row],[Coluna2]]&gt;0.5, "🔥 Excelente", IF([1]!Table_246[[#This Row],[Coluna2]]&gt;0.4, "👍 Bom", "⚠️ Baixo"))</f>
        <v>🔥 Excelente</v>
      </c>
    </row>
    <row r="120" spans="1:15" ht="15.75" customHeight="1">
      <c r="A120" s="28">
        <f>IF(Table_246[[#This Row],[Data]]="","",MONTH(Table_246[[#This Row],[Data]]))</f>
        <v>2</v>
      </c>
      <c r="B120" s="32">
        <v>46066</v>
      </c>
      <c r="C120" s="109" t="s">
        <v>1047</v>
      </c>
      <c r="D120" s="43">
        <v>2</v>
      </c>
      <c r="E120" s="48" t="s">
        <v>1106</v>
      </c>
      <c r="F120" s="48" t="s">
        <v>22</v>
      </c>
      <c r="G120" s="49">
        <f>IFERROR(VLOOKUP(C120,PROD!$A$2:$E$1204,5,0),"0")</f>
        <v>0.7</v>
      </c>
      <c r="H120" s="10">
        <f>Table_246[[#This Row],[QT]]*Table_246[[#This Row],[Custo 
Un]]</f>
        <v>1.4</v>
      </c>
      <c r="I120" s="52">
        <f>14.42/2</f>
        <v>7.21</v>
      </c>
      <c r="J120" s="263">
        <f t="shared" si="6"/>
        <v>14.42</v>
      </c>
      <c r="K120" s="10">
        <f t="shared" si="7"/>
        <v>14.42</v>
      </c>
      <c r="L120" s="50">
        <f>Table_246[[#This Row],[Valor da 
venda]]-Table_246[[#This Row],[Valor gasto]]</f>
        <v>13.02</v>
      </c>
      <c r="M120" s="111">
        <f t="shared" si="8"/>
        <v>0.90291262135922323</v>
      </c>
      <c r="N120" s="52" t="s">
        <v>20</v>
      </c>
      <c r="O120" t="str">
        <f>IF([1]!Table_246[[#This Row],[Coluna2]]&gt;0.5, "🔥 Excelente", IF([1]!Table_246[[#This Row],[Coluna2]]&gt;0.4, "👍 Bom", "⚠️ Baixo"))</f>
        <v>🔥 Excelente</v>
      </c>
    </row>
    <row r="121" spans="1:15" ht="15.75" customHeight="1">
      <c r="A121" s="28">
        <f>IF(Table_246[[#This Row],[Data]]="","",MONTH(Table_246[[#This Row],[Data]]))</f>
        <v>2</v>
      </c>
      <c r="B121" s="32">
        <v>46066</v>
      </c>
      <c r="C121" s="109" t="s">
        <v>1047</v>
      </c>
      <c r="D121" s="43">
        <v>1</v>
      </c>
      <c r="E121" s="48" t="s">
        <v>1107</v>
      </c>
      <c r="F121" s="48" t="s">
        <v>22</v>
      </c>
      <c r="G121" s="49">
        <f>IFERROR(VLOOKUP(C121,PROD!$A$2:$E$1204,5,0),"0")</f>
        <v>0.7</v>
      </c>
      <c r="H121" s="10">
        <f>Table_246[[#This Row],[QT]]*Table_246[[#This Row],[Custo 
Un]]</f>
        <v>0.7</v>
      </c>
      <c r="I121" s="52">
        <v>7.02</v>
      </c>
      <c r="J121" s="263">
        <f t="shared" si="6"/>
        <v>7.02</v>
      </c>
      <c r="K121" s="10">
        <f t="shared" si="7"/>
        <v>7.02</v>
      </c>
      <c r="L121" s="50">
        <f>Table_246[[#This Row],[Valor da 
venda]]-Table_246[[#This Row],[Valor gasto]]</f>
        <v>6.3199999999999994</v>
      </c>
      <c r="M121" s="111">
        <f t="shared" si="8"/>
        <v>0.90028490028490027</v>
      </c>
      <c r="N121" s="52" t="s">
        <v>20</v>
      </c>
      <c r="O121" t="str">
        <f>IF([1]!Table_246[[#This Row],[Coluna2]]&gt;0.5, "🔥 Excelente", IF([1]!Table_246[[#This Row],[Coluna2]]&gt;0.4, "👍 Bom", "⚠️ Baixo"))</f>
        <v>🔥 Excelente</v>
      </c>
    </row>
    <row r="122" spans="1:15" ht="15.75" customHeight="1">
      <c r="A122" s="28">
        <f>IF(Table_246[[#This Row],[Data]]="","",MONTH(Table_246[[#This Row],[Data]]))</f>
        <v>2</v>
      </c>
      <c r="B122" s="32">
        <v>46066</v>
      </c>
      <c r="C122" s="109" t="s">
        <v>1047</v>
      </c>
      <c r="D122" s="43">
        <v>1</v>
      </c>
      <c r="E122" s="48" t="s">
        <v>2057</v>
      </c>
      <c r="F122" s="48" t="s">
        <v>22</v>
      </c>
      <c r="G122" s="49">
        <f>IFERROR(VLOOKUP(C122,PROD!$A$2:$E$1204,5,0),"0")</f>
        <v>0.7</v>
      </c>
      <c r="H122" s="10">
        <f>Table_246[[#This Row],[QT]]*Table_246[[#This Row],[Custo 
Un]]</f>
        <v>0.7</v>
      </c>
      <c r="I122" s="52">
        <v>7.02</v>
      </c>
      <c r="J122" s="263">
        <f t="shared" si="6"/>
        <v>7.02</v>
      </c>
      <c r="K122" s="10">
        <f t="shared" si="7"/>
        <v>7.02</v>
      </c>
      <c r="L122" s="50">
        <f>Table_246[[#This Row],[Valor da 
venda]]-Table_246[[#This Row],[Valor gasto]]</f>
        <v>6.3199999999999994</v>
      </c>
      <c r="M122" s="111">
        <f t="shared" si="8"/>
        <v>0.90028490028490027</v>
      </c>
      <c r="N122" s="52" t="s">
        <v>20</v>
      </c>
      <c r="O122" t="str">
        <f>IF([1]!Table_246[[#This Row],[Coluna2]]&gt;0.5, "🔥 Excelente", IF([1]!Table_246[[#This Row],[Coluna2]]&gt;0.4, "👍 Bom", "⚠️ Baixo"))</f>
        <v>⚠️ Baixo</v>
      </c>
    </row>
    <row r="123" spans="1:15" ht="15.75" customHeight="1">
      <c r="A123" s="28">
        <f>IF(Table_246[[#This Row],[Data]]="","",MONTH(Table_246[[#This Row],[Data]]))</f>
        <v>2</v>
      </c>
      <c r="B123" s="32">
        <v>46066</v>
      </c>
      <c r="C123" s="36" t="s">
        <v>2050</v>
      </c>
      <c r="D123" s="43">
        <v>1</v>
      </c>
      <c r="E123" s="48" t="s">
        <v>1008</v>
      </c>
      <c r="F123" s="48" t="s">
        <v>555</v>
      </c>
      <c r="G123" s="49" t="str">
        <f>IFERROR(VLOOKUP(C123,PROD!$A$2:$E$1204,5,0),"0")</f>
        <v>0</v>
      </c>
      <c r="H123" s="10">
        <f>Table_246[[#This Row],[QT]]*Table_246[[#This Row],[Custo 
Un]]</f>
        <v>0</v>
      </c>
      <c r="I123" s="52">
        <v>10</v>
      </c>
      <c r="J123" s="263">
        <f t="shared" si="6"/>
        <v>10</v>
      </c>
      <c r="K123" s="10">
        <f t="shared" si="7"/>
        <v>10</v>
      </c>
      <c r="L123" s="50">
        <f>Table_246[[#This Row],[Valor da 
venda]]-Table_246[[#This Row],[Valor gasto]]</f>
        <v>10</v>
      </c>
      <c r="M123" s="111">
        <f t="shared" si="8"/>
        <v>1</v>
      </c>
      <c r="N123" s="52" t="s">
        <v>20</v>
      </c>
      <c r="O123" t="str">
        <f>IF([1]!Table_246[[#This Row],[Coluna2]]&gt;0.5, "🔥 Excelente", IF([1]!Table_246[[#This Row],[Coluna2]]&gt;0.4, "👍 Bom", "⚠️ Baixo"))</f>
        <v>⚠️ Baixo</v>
      </c>
    </row>
    <row r="124" spans="1:15" ht="15.75" customHeight="1">
      <c r="A124" s="28">
        <f>IF(Table_246[[#This Row],[Data]]="","",MONTH(Table_246[[#This Row],[Data]]))</f>
        <v>2</v>
      </c>
      <c r="B124" s="32">
        <v>46066</v>
      </c>
      <c r="C124" s="36" t="s">
        <v>2051</v>
      </c>
      <c r="D124" s="43">
        <v>1</v>
      </c>
      <c r="E124" s="48" t="s">
        <v>1008</v>
      </c>
      <c r="F124" s="48" t="s">
        <v>555</v>
      </c>
      <c r="G124" s="49">
        <v>20</v>
      </c>
      <c r="H124" s="10">
        <f>Table_246[[#This Row],[QT]]*Table_246[[#This Row],[Custo 
Un]]</f>
        <v>20</v>
      </c>
      <c r="I124" s="52">
        <v>50</v>
      </c>
      <c r="J124" s="263">
        <f t="shared" si="6"/>
        <v>50</v>
      </c>
      <c r="K124" s="10">
        <f t="shared" si="7"/>
        <v>50</v>
      </c>
      <c r="L124" s="50">
        <f>Table_246[[#This Row],[Valor da 
venda]]-Table_246[[#This Row],[Valor gasto]]</f>
        <v>30</v>
      </c>
      <c r="M124" s="111">
        <f t="shared" si="8"/>
        <v>0.6</v>
      </c>
      <c r="N124" s="52" t="s">
        <v>20</v>
      </c>
      <c r="O124" t="str">
        <f>IF([1]!Table_246[[#This Row],[Coluna2]]&gt;0.5, "🔥 Excelente", IF([1]!Table_246[[#This Row],[Coluna2]]&gt;0.4, "👍 Bom", "⚠️ Baixo"))</f>
        <v>👍 Bom</v>
      </c>
    </row>
    <row r="125" spans="1:15" ht="15.75" customHeight="1">
      <c r="A125" s="28">
        <f>IF(Table_246[[#This Row],[Data]]="","",MONTH(Table_246[[#This Row],[Data]]))</f>
        <v>2</v>
      </c>
      <c r="B125" s="32">
        <v>46066</v>
      </c>
      <c r="C125" s="36" t="s">
        <v>2053</v>
      </c>
      <c r="D125" s="43">
        <v>1</v>
      </c>
      <c r="E125" s="48" t="s">
        <v>2052</v>
      </c>
      <c r="F125" s="48" t="s">
        <v>22</v>
      </c>
      <c r="G125" s="49" t="str">
        <f>IFERROR(VLOOKUP(C125,PROD!$A$2:$E$1204,5,0),"0")</f>
        <v>0</v>
      </c>
      <c r="H125" s="10">
        <f>Table_246[[#This Row],[QT]]*Table_246[[#This Row],[Custo 
Un]]</f>
        <v>0</v>
      </c>
      <c r="I125" s="52">
        <f>771.52-585</f>
        <v>186.51999999999998</v>
      </c>
      <c r="J125" s="263">
        <f t="shared" si="6"/>
        <v>186.51999999999998</v>
      </c>
      <c r="K125" s="10">
        <f t="shared" si="7"/>
        <v>186.51999999999998</v>
      </c>
      <c r="L125" s="50">
        <f>Table_246[[#This Row],[Valor da 
venda]]-Table_246[[#This Row],[Valor gasto]]</f>
        <v>186.51999999999998</v>
      </c>
      <c r="M125" s="111">
        <f t="shared" si="8"/>
        <v>1</v>
      </c>
      <c r="N125" s="52" t="s">
        <v>20</v>
      </c>
      <c r="O125" t="str">
        <f>IF([1]!Table_246[[#This Row],[Coluna2]]&gt;0.5, "🔥 Excelente", IF([1]!Table_246[[#This Row],[Coluna2]]&gt;0.4, "👍 Bom", "⚠️ Baixo"))</f>
        <v>🔥 Excelente</v>
      </c>
    </row>
    <row r="126" spans="1:15" ht="15.75" customHeight="1">
      <c r="A126" s="28">
        <f>IF(Table_246[[#This Row],[Data]]="","",MONTH(Table_246[[#This Row],[Data]]))</f>
        <v>2</v>
      </c>
      <c r="B126" s="32">
        <v>46067</v>
      </c>
      <c r="C126" s="36" t="s">
        <v>97</v>
      </c>
      <c r="D126" s="43">
        <v>1</v>
      </c>
      <c r="E126" s="48" t="s">
        <v>1008</v>
      </c>
      <c r="F126" s="48" t="s">
        <v>555</v>
      </c>
      <c r="G126" s="49">
        <f>IFERROR(VLOOKUP(C126,PROD!$A$2:$E$1204,5,0),"0")</f>
        <v>3</v>
      </c>
      <c r="H126" s="10">
        <f>Table_246[[#This Row],[QT]]*Table_246[[#This Row],[Custo 
Un]]</f>
        <v>3</v>
      </c>
      <c r="I126" s="52">
        <v>15</v>
      </c>
      <c r="J126" s="263">
        <f t="shared" si="6"/>
        <v>15</v>
      </c>
      <c r="K126" s="10">
        <f t="shared" si="7"/>
        <v>15</v>
      </c>
      <c r="L126" s="50">
        <f>Table_246[[#This Row],[Valor da 
venda]]-Table_246[[#This Row],[Valor gasto]]</f>
        <v>12</v>
      </c>
      <c r="M126" s="111">
        <f t="shared" si="8"/>
        <v>0.8</v>
      </c>
      <c r="N126" s="52" t="s">
        <v>20</v>
      </c>
      <c r="O126" t="str">
        <f>IF([1]!Table_246[[#This Row],[Coluna2]]&gt;0.5, "🔥 Excelente", IF([1]!Table_246[[#This Row],[Coluna2]]&gt;0.4, "👍 Bom", "⚠️ Baixo"))</f>
        <v>⚠️ Baixo</v>
      </c>
    </row>
    <row r="127" spans="1:15" ht="15.75" customHeight="1">
      <c r="A127" s="28">
        <f>IF(Table_246[[#This Row],[Data]]="","",MONTH(Table_246[[#This Row],[Data]]))</f>
        <v>2</v>
      </c>
      <c r="B127" s="32">
        <v>46067</v>
      </c>
      <c r="C127" s="36" t="s">
        <v>2054</v>
      </c>
      <c r="D127" s="43">
        <v>1</v>
      </c>
      <c r="E127" s="48" t="s">
        <v>1008</v>
      </c>
      <c r="F127" s="48" t="s">
        <v>555</v>
      </c>
      <c r="G127" s="49">
        <v>4</v>
      </c>
      <c r="H127" s="10">
        <f>Table_246[[#This Row],[QT]]*Table_246[[#This Row],[Custo 
Un]]</f>
        <v>4</v>
      </c>
      <c r="I127" s="52">
        <v>10</v>
      </c>
      <c r="J127" s="263">
        <f t="shared" si="6"/>
        <v>10</v>
      </c>
      <c r="K127" s="10">
        <f t="shared" si="7"/>
        <v>10</v>
      </c>
      <c r="L127" s="50">
        <f>Table_246[[#This Row],[Valor da 
venda]]-Table_246[[#This Row],[Valor gasto]]</f>
        <v>6</v>
      </c>
      <c r="M127" s="111">
        <f t="shared" si="8"/>
        <v>0.6</v>
      </c>
      <c r="N127" s="52" t="s">
        <v>20</v>
      </c>
      <c r="O127" t="str">
        <f>IF([1]!Table_246[[#This Row],[Coluna2]]&gt;0.5, "🔥 Excelente", IF([1]!Table_246[[#This Row],[Coluna2]]&gt;0.4, "👍 Bom", "⚠️ Baixo"))</f>
        <v>🔥 Excelente</v>
      </c>
    </row>
    <row r="128" spans="1:15" ht="15.75" customHeight="1">
      <c r="A128" s="28">
        <f>IF(Table_246[[#This Row],[Data]]="","",MONTH(Table_246[[#This Row],[Data]]))</f>
        <v>2</v>
      </c>
      <c r="B128" s="32">
        <v>46067</v>
      </c>
      <c r="C128" s="109" t="s">
        <v>1047</v>
      </c>
      <c r="D128" s="43">
        <v>1</v>
      </c>
      <c r="E128" s="48" t="s">
        <v>2055</v>
      </c>
      <c r="F128" s="48" t="s">
        <v>22</v>
      </c>
      <c r="G128" s="49">
        <f>IFERROR(VLOOKUP(C128,PROD!$A$2:$E$1204,5,0),"0")</f>
        <v>0.7</v>
      </c>
      <c r="H128" s="10">
        <f>Table_246[[#This Row],[QT]]*Table_246[[#This Row],[Custo 
Un]]</f>
        <v>0.7</v>
      </c>
      <c r="I128" s="52">
        <v>7.2</v>
      </c>
      <c r="J128" s="263">
        <f t="shared" si="6"/>
        <v>7.2</v>
      </c>
      <c r="K128" s="10">
        <f t="shared" si="7"/>
        <v>7.2</v>
      </c>
      <c r="L128" s="50">
        <f>Table_246[[#This Row],[Valor da 
venda]]-Table_246[[#This Row],[Valor gasto]]</f>
        <v>6.5</v>
      </c>
      <c r="M128" s="111">
        <f t="shared" si="8"/>
        <v>0.90277777777777779</v>
      </c>
      <c r="N128" s="52" t="s">
        <v>20</v>
      </c>
      <c r="O128" t="str">
        <f>IF([1]!Table_246[[#This Row],[Coluna2]]&gt;0.5, "🔥 Excelente", IF([1]!Table_246[[#This Row],[Coluna2]]&gt;0.4, "👍 Bom", "⚠️ Baixo"))</f>
        <v>⚠️ Baixo</v>
      </c>
    </row>
    <row r="129" spans="1:15" ht="15.75" customHeight="1">
      <c r="A129" s="28">
        <f>IF(Table_246[[#This Row],[Data]]="","",MONTH(Table_246[[#This Row],[Data]]))</f>
        <v>2</v>
      </c>
      <c r="B129" s="32">
        <v>46067</v>
      </c>
      <c r="C129" s="109" t="s">
        <v>1047</v>
      </c>
      <c r="D129" s="43">
        <v>1</v>
      </c>
      <c r="E129" s="48" t="s">
        <v>2056</v>
      </c>
      <c r="F129" s="48" t="s">
        <v>22</v>
      </c>
      <c r="G129" s="49">
        <f>IFERROR(VLOOKUP(C129,PROD!$A$2:$E$1204,5,0),"0")</f>
        <v>0.7</v>
      </c>
      <c r="H129" s="10">
        <f>Table_246[[#This Row],[QT]]*Table_246[[#This Row],[Custo 
Un]]</f>
        <v>0.7</v>
      </c>
      <c r="I129" s="52">
        <v>7.2</v>
      </c>
      <c r="J129" s="263">
        <f t="shared" si="6"/>
        <v>7.2</v>
      </c>
      <c r="K129" s="10">
        <f t="shared" si="7"/>
        <v>7.2</v>
      </c>
      <c r="L129" s="50">
        <f>Table_246[[#This Row],[Valor da 
venda]]-Table_246[[#This Row],[Valor gasto]]</f>
        <v>6.5</v>
      </c>
      <c r="M129" s="111">
        <f t="shared" si="8"/>
        <v>0.90277777777777779</v>
      </c>
      <c r="N129" s="52" t="s">
        <v>20</v>
      </c>
      <c r="O129" t="str">
        <f>IF([1]!Table_246[[#This Row],[Coluna2]]&gt;0.5, "🔥 Excelente", IF([1]!Table_246[[#This Row],[Coluna2]]&gt;0.4, "👍 Bom", "⚠️ Baixo"))</f>
        <v>🔥 Excelente</v>
      </c>
    </row>
    <row r="130" spans="1:15" ht="15.75" customHeight="1">
      <c r="A130" s="28">
        <f>IF(Table_246[[#This Row],[Data]]="","",MONTH(Table_246[[#This Row],[Data]]))</f>
        <v>2</v>
      </c>
      <c r="B130" s="32">
        <v>46068</v>
      </c>
      <c r="C130" s="109" t="s">
        <v>1047</v>
      </c>
      <c r="D130" s="43">
        <v>1</v>
      </c>
      <c r="E130" s="48" t="s">
        <v>2061</v>
      </c>
      <c r="F130" s="48" t="s">
        <v>22</v>
      </c>
      <c r="G130" s="49">
        <f>IFERROR(VLOOKUP(C130,PROD!$A$2:$E$1204,5,0),"0")</f>
        <v>0.7</v>
      </c>
      <c r="H130" s="10">
        <f>Table_246[[#This Row],[QT]]*Table_246[[#This Row],[Custo 
Un]]</f>
        <v>0.7</v>
      </c>
      <c r="I130" s="52">
        <v>7.2</v>
      </c>
      <c r="J130" s="263">
        <f t="shared" ref="J130:J193" si="9">I130*D130</f>
        <v>7.2</v>
      </c>
      <c r="K130" s="10">
        <f t="shared" ref="K130:K191" si="10">I130*D130</f>
        <v>7.2</v>
      </c>
      <c r="L130" s="50">
        <f>Table_246[[#This Row],[Valor da 
venda]]-Table_246[[#This Row],[Valor gasto]]</f>
        <v>6.5</v>
      </c>
      <c r="M130" s="111">
        <f t="shared" ref="M130:M193" si="11">IFERROR(L130/K130, 0)</f>
        <v>0.90277777777777779</v>
      </c>
      <c r="N130" s="52" t="s">
        <v>20</v>
      </c>
      <c r="O130" t="str">
        <f>IF([1]!Table_246[[#This Row],[Coluna2]]&gt;0.5, "🔥 Excelente", IF([1]!Table_246[[#This Row],[Coluna2]]&gt;0.4, "👍 Bom", "⚠️ Baixo"))</f>
        <v>⚠️ Baixo</v>
      </c>
    </row>
    <row r="131" spans="1:15" ht="15.75" customHeight="1">
      <c r="A131" s="28">
        <f>IF(Table_246[[#This Row],[Data]]="","",MONTH(Table_246[[#This Row],[Data]]))</f>
        <v>2</v>
      </c>
      <c r="B131" s="32">
        <v>46068</v>
      </c>
      <c r="C131" s="109" t="s">
        <v>1047</v>
      </c>
      <c r="D131" s="43">
        <v>1</v>
      </c>
      <c r="E131" s="48" t="s">
        <v>2062</v>
      </c>
      <c r="F131" s="48" t="s">
        <v>22</v>
      </c>
      <c r="G131" s="49">
        <f>IFERROR(VLOOKUP(C131,PROD!$A$2:$E$1204,5,0),"0")</f>
        <v>0.7</v>
      </c>
      <c r="H131" s="10">
        <f>Table_246[[#This Row],[QT]]*Table_246[[#This Row],[Custo 
Un]]</f>
        <v>0.7</v>
      </c>
      <c r="I131" s="52">
        <v>7.2</v>
      </c>
      <c r="J131" s="263">
        <f t="shared" si="9"/>
        <v>7.2</v>
      </c>
      <c r="K131" s="10">
        <f t="shared" si="10"/>
        <v>7.2</v>
      </c>
      <c r="L131" s="50">
        <f>Table_246[[#This Row],[Valor da 
venda]]-Table_246[[#This Row],[Valor gasto]]</f>
        <v>6.5</v>
      </c>
      <c r="M131" s="111">
        <f t="shared" si="11"/>
        <v>0.90277777777777779</v>
      </c>
      <c r="N131" s="52" t="s">
        <v>20</v>
      </c>
      <c r="O131" t="str">
        <f>IF([1]!Table_246[[#This Row],[Coluna2]]&gt;0.5, "🔥 Excelente", IF([1]!Table_246[[#This Row],[Coluna2]]&gt;0.4, "👍 Bom", "⚠️ Baixo"))</f>
        <v>👍 Bom</v>
      </c>
    </row>
    <row r="132" spans="1:15" ht="15.75" customHeight="1">
      <c r="A132" s="28">
        <f>IF(Table_246[[#This Row],[Data]]="","",MONTH(Table_246[[#This Row],[Data]]))</f>
        <v>2</v>
      </c>
      <c r="B132" s="32">
        <v>46068</v>
      </c>
      <c r="C132" s="109" t="s">
        <v>1047</v>
      </c>
      <c r="D132" s="43">
        <v>1</v>
      </c>
      <c r="E132" s="48" t="s">
        <v>2063</v>
      </c>
      <c r="F132" s="48" t="s">
        <v>22</v>
      </c>
      <c r="G132" s="49">
        <f>IFERROR(VLOOKUP(C132,PROD!$A$2:$E$1204,5,0),"0")</f>
        <v>0.7</v>
      </c>
      <c r="H132" s="10">
        <f>Table_246[[#This Row],[QT]]*Table_246[[#This Row],[Custo 
Un]]</f>
        <v>0.7</v>
      </c>
      <c r="I132" s="52">
        <v>7.2</v>
      </c>
      <c r="J132" s="263">
        <f t="shared" si="9"/>
        <v>7.2</v>
      </c>
      <c r="K132" s="10">
        <f t="shared" si="10"/>
        <v>7.2</v>
      </c>
      <c r="L132" s="50">
        <f>Table_246[[#This Row],[Valor da 
venda]]-Table_246[[#This Row],[Valor gasto]]</f>
        <v>6.5</v>
      </c>
      <c r="M132" s="111">
        <f t="shared" si="11"/>
        <v>0.90277777777777779</v>
      </c>
      <c r="N132" s="52" t="s">
        <v>20</v>
      </c>
      <c r="O132" t="str">
        <f>IF([1]!Table_246[[#This Row],[Coluna2]]&gt;0.5, "🔥 Excelente", IF([1]!Table_246[[#This Row],[Coluna2]]&gt;0.4, "👍 Bom", "⚠️ Baixo"))</f>
        <v>👍 Bom</v>
      </c>
    </row>
    <row r="133" spans="1:15" ht="15.75" customHeight="1">
      <c r="A133" s="28">
        <f>IF(Table_246[[#This Row],[Data]]="","",MONTH(Table_246[[#This Row],[Data]]))</f>
        <v>2</v>
      </c>
      <c r="B133" s="32">
        <v>46069</v>
      </c>
      <c r="C133" s="36" t="s">
        <v>937</v>
      </c>
      <c r="D133" s="43">
        <v>1</v>
      </c>
      <c r="E133" s="48" t="s">
        <v>2058</v>
      </c>
      <c r="F133" s="48" t="s">
        <v>22</v>
      </c>
      <c r="G133" s="49">
        <v>3</v>
      </c>
      <c r="H133" s="10">
        <f>Table_246[[#This Row],[QT]]*Table_246[[#This Row],[Custo 
Un]]</f>
        <v>3</v>
      </c>
      <c r="I133" s="52">
        <v>4.54</v>
      </c>
      <c r="J133" s="263">
        <f t="shared" si="9"/>
        <v>4.54</v>
      </c>
      <c r="K133" s="10">
        <f t="shared" si="10"/>
        <v>4.54</v>
      </c>
      <c r="L133" s="50">
        <f>Table_246[[#This Row],[Valor da 
venda]]-Table_246[[#This Row],[Valor gasto]]</f>
        <v>1.54</v>
      </c>
      <c r="M133" s="111">
        <f t="shared" si="11"/>
        <v>0.33920704845814981</v>
      </c>
      <c r="N133" s="52" t="s">
        <v>20</v>
      </c>
      <c r="O133" t="str">
        <f>IF([1]!Table_246[[#This Row],[Coluna2]]&gt;0.5, "🔥 Excelente", IF([1]!Table_246[[#This Row],[Coluna2]]&gt;0.4, "👍 Bom", "⚠️ Baixo"))</f>
        <v>🔥 Excelente</v>
      </c>
    </row>
    <row r="134" spans="1:15" ht="15.75" customHeight="1">
      <c r="A134" s="28">
        <f>IF(Table_246[[#This Row],[Data]]="","",MONTH(Table_246[[#This Row],[Data]]))</f>
        <v>2</v>
      </c>
      <c r="B134" s="32">
        <v>46069</v>
      </c>
      <c r="C134" s="36" t="s">
        <v>1012</v>
      </c>
      <c r="D134" s="43">
        <v>1</v>
      </c>
      <c r="E134" s="48" t="s">
        <v>2059</v>
      </c>
      <c r="F134" s="48" t="s">
        <v>22</v>
      </c>
      <c r="G134" s="49">
        <f>IFERROR(VLOOKUP(C134,PROD!$A$2:$E$1204,5,0),"0")</f>
        <v>7.5</v>
      </c>
      <c r="H134" s="10">
        <f>Table_246[[#This Row],[QT]]*Table_246[[#This Row],[Custo 
Un]]</f>
        <v>7.5</v>
      </c>
      <c r="I134" s="52">
        <v>12.14</v>
      </c>
      <c r="J134" s="263">
        <f t="shared" si="9"/>
        <v>12.14</v>
      </c>
      <c r="K134" s="10">
        <f t="shared" si="10"/>
        <v>12.14</v>
      </c>
      <c r="L134" s="50">
        <f>Table_246[[#This Row],[Valor da 
venda]]-Table_246[[#This Row],[Valor gasto]]</f>
        <v>4.6400000000000006</v>
      </c>
      <c r="M134" s="111">
        <f t="shared" si="11"/>
        <v>0.38220757825370677</v>
      </c>
      <c r="N134" s="52" t="s">
        <v>20</v>
      </c>
      <c r="O134" t="str">
        <f>IF([1]!Table_246[[#This Row],[Coluna2]]&gt;0.5, "🔥 Excelente", IF([1]!Table_246[[#This Row],[Coluna2]]&gt;0.4, "👍 Bom", "⚠️ Baixo"))</f>
        <v>👍 Bom</v>
      </c>
    </row>
    <row r="135" spans="1:15" ht="15.75" customHeight="1">
      <c r="A135" s="28">
        <f>IF(Table_246[[#This Row],[Data]]="","",MONTH(Table_246[[#This Row],[Data]]))</f>
        <v>2</v>
      </c>
      <c r="B135" s="32">
        <v>46069</v>
      </c>
      <c r="C135" s="109" t="s">
        <v>1047</v>
      </c>
      <c r="D135" s="43">
        <v>1</v>
      </c>
      <c r="E135" s="48" t="s">
        <v>2060</v>
      </c>
      <c r="F135" s="48" t="s">
        <v>22</v>
      </c>
      <c r="G135" s="49">
        <f>IFERROR(VLOOKUP(C135,PROD!$A$2:$E$1204,5,0),"0")</f>
        <v>0.7</v>
      </c>
      <c r="H135" s="10">
        <f>Table_246[[#This Row],[QT]]*Table_246[[#This Row],[Custo 
Un]]</f>
        <v>0.7</v>
      </c>
      <c r="I135" s="52">
        <v>5.5</v>
      </c>
      <c r="J135" s="263">
        <f t="shared" si="9"/>
        <v>5.5</v>
      </c>
      <c r="K135" s="10">
        <f t="shared" si="10"/>
        <v>5.5</v>
      </c>
      <c r="L135" s="50">
        <f>Table_246[[#This Row],[Valor da 
venda]]-Table_246[[#This Row],[Valor gasto]]</f>
        <v>4.8</v>
      </c>
      <c r="M135" s="111">
        <f t="shared" si="11"/>
        <v>0.87272727272727268</v>
      </c>
      <c r="N135" s="52" t="s">
        <v>20</v>
      </c>
      <c r="O135" t="str">
        <f>IF([1]!Table_246[[#This Row],[Coluna2]]&gt;0.5, "🔥 Excelente", IF([1]!Table_246[[#This Row],[Coluna2]]&gt;0.4, "👍 Bom", "⚠️ Baixo"))</f>
        <v>⚠️ Baixo</v>
      </c>
    </row>
    <row r="136" spans="1:15" ht="15.75" customHeight="1">
      <c r="A136" s="28">
        <f>IF(Table_246[[#This Row],[Data]]="","",MONTH(Table_246[[#This Row],[Data]]))</f>
        <v>2</v>
      </c>
      <c r="B136" s="32">
        <v>46069</v>
      </c>
      <c r="C136" s="36" t="s">
        <v>1072</v>
      </c>
      <c r="D136" s="43">
        <v>3</v>
      </c>
      <c r="E136" s="48" t="s">
        <v>1008</v>
      </c>
      <c r="F136" s="48" t="s">
        <v>555</v>
      </c>
      <c r="G136" s="49">
        <f>IFERROR(VLOOKUP(C136,PROD!$A$2:$E$1204,5,0),"0")</f>
        <v>0.7</v>
      </c>
      <c r="H136" s="10">
        <f>Table_246[[#This Row],[QT]]*Table_246[[#This Row],[Custo 
Un]]</f>
        <v>2.0999999999999996</v>
      </c>
      <c r="I136" s="52">
        <v>5</v>
      </c>
      <c r="J136" s="263">
        <f t="shared" si="9"/>
        <v>15</v>
      </c>
      <c r="K136" s="10">
        <f t="shared" si="10"/>
        <v>15</v>
      </c>
      <c r="L136" s="50">
        <f>Table_246[[#This Row],[Valor da 
venda]]-Table_246[[#This Row],[Valor gasto]]</f>
        <v>12.9</v>
      </c>
      <c r="M136" s="111">
        <f t="shared" si="11"/>
        <v>0.86</v>
      </c>
      <c r="N136" s="52" t="s">
        <v>20</v>
      </c>
      <c r="O136" t="str">
        <f>IF([1]!Table_246[[#This Row],[Coluna2]]&gt;0.5, "🔥 Excelente", IF([1]!Table_246[[#This Row],[Coluna2]]&gt;0.4, "👍 Bom", "⚠️ Baixo"))</f>
        <v>⚠️ Baixo</v>
      </c>
    </row>
    <row r="137" spans="1:15" ht="15.75" customHeight="1">
      <c r="A137" s="28">
        <f>IF(Table_246[[#This Row],[Data]]="","",MONTH(Table_246[[#This Row],[Data]]))</f>
        <v>2</v>
      </c>
      <c r="B137" s="32">
        <v>46070</v>
      </c>
      <c r="C137" s="109" t="s">
        <v>1047</v>
      </c>
      <c r="D137" s="43">
        <v>1</v>
      </c>
      <c r="E137" s="48" t="s">
        <v>2064</v>
      </c>
      <c r="F137" s="48" t="s">
        <v>22</v>
      </c>
      <c r="G137" s="49">
        <f>IFERROR(VLOOKUP(C137,PROD!$A$2:$E$1204,5,0),"0")</f>
        <v>0.7</v>
      </c>
      <c r="H137" s="10">
        <f>Table_246[[#This Row],[QT]]*Table_246[[#This Row],[Custo 
Un]]</f>
        <v>0.7</v>
      </c>
      <c r="I137" s="52">
        <v>5.5</v>
      </c>
      <c r="J137" s="263">
        <f t="shared" si="9"/>
        <v>5.5</v>
      </c>
      <c r="K137" s="10">
        <f t="shared" si="10"/>
        <v>5.5</v>
      </c>
      <c r="L137" s="50">
        <f>Table_246[[#This Row],[Valor da 
venda]]-Table_246[[#This Row],[Valor gasto]]</f>
        <v>4.8</v>
      </c>
      <c r="M137" s="111">
        <f t="shared" si="11"/>
        <v>0.87272727272727268</v>
      </c>
      <c r="N137" s="52" t="s">
        <v>20</v>
      </c>
      <c r="O137" t="str">
        <f>IF([1]!Table_246[[#This Row],[Coluna2]]&gt;0.5, "🔥 Excelente", IF([1]!Table_246[[#This Row],[Coluna2]]&gt;0.4, "👍 Bom", "⚠️ Baixo"))</f>
        <v>⚠️ Baixo</v>
      </c>
    </row>
    <row r="138" spans="1:15" ht="15.75" customHeight="1">
      <c r="A138" s="28">
        <f>IF(Table_246[[#This Row],[Data]]="","",MONTH(Table_246[[#This Row],[Data]]))</f>
        <v>2</v>
      </c>
      <c r="B138" s="32">
        <v>46070</v>
      </c>
      <c r="C138" s="36" t="s">
        <v>1012</v>
      </c>
      <c r="D138" s="43">
        <v>1</v>
      </c>
      <c r="E138" s="48" t="s">
        <v>2065</v>
      </c>
      <c r="F138" s="48" t="s">
        <v>22</v>
      </c>
      <c r="G138" s="49">
        <f>IFERROR(VLOOKUP(C138,PROD!$A$2:$E$1204,5,0),"0")</f>
        <v>7.5</v>
      </c>
      <c r="H138" s="10">
        <f>Table_246[[#This Row],[QT]]*Table_246[[#This Row],[Custo 
Un]]</f>
        <v>7.5</v>
      </c>
      <c r="I138" s="52">
        <v>12.14</v>
      </c>
      <c r="J138" s="263">
        <f t="shared" si="9"/>
        <v>12.14</v>
      </c>
      <c r="K138" s="10">
        <f t="shared" si="10"/>
        <v>12.14</v>
      </c>
      <c r="L138" s="50">
        <f>Table_246[[#This Row],[Valor da 
venda]]-Table_246[[#This Row],[Valor gasto]]</f>
        <v>4.6400000000000006</v>
      </c>
      <c r="M138" s="111">
        <f t="shared" si="11"/>
        <v>0.38220757825370677</v>
      </c>
      <c r="N138" s="52" t="s">
        <v>20</v>
      </c>
      <c r="O138" t="str">
        <f>IF([1]!Table_246[[#This Row],[Coluna2]]&gt;0.5, "🔥 Excelente", IF([1]!Table_246[[#This Row],[Coluna2]]&gt;0.4, "👍 Bom", "⚠️ Baixo"))</f>
        <v>🔥 Excelente</v>
      </c>
    </row>
    <row r="139" spans="1:15" ht="15.75" customHeight="1">
      <c r="A139" s="28">
        <f>IF(Table_246[[#This Row],[Data]]="","",MONTH(Table_246[[#This Row],[Data]]))</f>
        <v>2</v>
      </c>
      <c r="B139" s="32">
        <v>46071</v>
      </c>
      <c r="C139" s="36" t="s">
        <v>2066</v>
      </c>
      <c r="D139" s="43">
        <v>1</v>
      </c>
      <c r="E139" s="48" t="s">
        <v>2067</v>
      </c>
      <c r="F139" s="48" t="s">
        <v>555</v>
      </c>
      <c r="G139" s="49">
        <v>15</v>
      </c>
      <c r="H139" s="10">
        <f>Table_246[[#This Row],[QT]]*Table_246[[#This Row],[Custo 
Un]]</f>
        <v>15</v>
      </c>
      <c r="I139" s="52">
        <v>30</v>
      </c>
      <c r="J139" s="263">
        <f t="shared" si="9"/>
        <v>30</v>
      </c>
      <c r="K139" s="10">
        <f t="shared" si="10"/>
        <v>30</v>
      </c>
      <c r="L139" s="50">
        <f>Table_246[[#This Row],[Valor da 
venda]]-Table_246[[#This Row],[Valor gasto]]</f>
        <v>15</v>
      </c>
      <c r="M139" s="111">
        <f t="shared" si="11"/>
        <v>0.5</v>
      </c>
      <c r="N139" s="52" t="s">
        <v>20</v>
      </c>
      <c r="O139" t="str">
        <f>IF([1]!Table_246[[#This Row],[Coluna2]]&gt;0.5, "🔥 Excelente", IF([1]!Table_246[[#This Row],[Coluna2]]&gt;0.4, "👍 Bom", "⚠️ Baixo"))</f>
        <v>🔥 Excelente</v>
      </c>
    </row>
    <row r="140" spans="1:15" ht="15.75" customHeight="1">
      <c r="A140" s="28">
        <f>IF(Table_246[[#This Row],[Data]]="","",MONTH(Table_246[[#This Row],[Data]]))</f>
        <v>2</v>
      </c>
      <c r="B140" s="32">
        <v>46071</v>
      </c>
      <c r="C140" s="36" t="s">
        <v>1007</v>
      </c>
      <c r="D140" s="43">
        <v>1</v>
      </c>
      <c r="E140" s="48" t="s">
        <v>2067</v>
      </c>
      <c r="F140" s="48" t="s">
        <v>555</v>
      </c>
      <c r="G140" s="49">
        <f>IFERROR(VLOOKUP(C140,PROD!$A$2:$E$1204,5,0),"0")</f>
        <v>0</v>
      </c>
      <c r="H140" s="10">
        <f>Table_246[[#This Row],[QT]]*Table_246[[#This Row],[Custo 
Un]]</f>
        <v>0</v>
      </c>
      <c r="I140" s="52">
        <v>10</v>
      </c>
      <c r="J140" s="263">
        <f t="shared" si="9"/>
        <v>10</v>
      </c>
      <c r="K140" s="10">
        <f t="shared" si="10"/>
        <v>10</v>
      </c>
      <c r="L140" s="50">
        <f>Table_246[[#This Row],[Valor da 
venda]]-Table_246[[#This Row],[Valor gasto]]</f>
        <v>10</v>
      </c>
      <c r="M140" s="111">
        <f t="shared" si="11"/>
        <v>1</v>
      </c>
      <c r="N140" s="52" t="s">
        <v>20</v>
      </c>
      <c r="O140" t="str">
        <f>IF([1]!Table_246[[#This Row],[Coluna2]]&gt;0.5, "🔥 Excelente", IF([1]!Table_246[[#This Row],[Coluna2]]&gt;0.4, "👍 Bom", "⚠️ Baixo"))</f>
        <v>🔥 Excelente</v>
      </c>
    </row>
    <row r="141" spans="1:15" ht="15.75" customHeight="1">
      <c r="A141" s="28">
        <f>IF(Table_246[[#This Row],[Data]]="","",MONTH(Table_246[[#This Row],[Data]]))</f>
        <v>2</v>
      </c>
      <c r="B141" s="32">
        <v>46072</v>
      </c>
      <c r="C141" s="36" t="s">
        <v>97</v>
      </c>
      <c r="D141" s="43">
        <v>2</v>
      </c>
      <c r="E141" s="48" t="s">
        <v>1008</v>
      </c>
      <c r="F141" s="48" t="s">
        <v>555</v>
      </c>
      <c r="G141" s="49">
        <f>IFERROR(VLOOKUP(C141,PROD!$A$2:$E$1204,5,0),"0")</f>
        <v>3</v>
      </c>
      <c r="H141" s="10">
        <f>Table_246[[#This Row],[QT]]*Table_246[[#This Row],[Custo 
Un]]</f>
        <v>6</v>
      </c>
      <c r="I141" s="52">
        <v>15</v>
      </c>
      <c r="J141" s="263">
        <f t="shared" si="9"/>
        <v>30</v>
      </c>
      <c r="K141" s="10">
        <f t="shared" si="10"/>
        <v>30</v>
      </c>
      <c r="L141" s="50">
        <f>Table_246[[#This Row],[Valor da 
venda]]-Table_246[[#This Row],[Valor gasto]]</f>
        <v>24</v>
      </c>
      <c r="M141" s="111">
        <f t="shared" si="11"/>
        <v>0.8</v>
      </c>
      <c r="N141" s="52" t="s">
        <v>20</v>
      </c>
      <c r="O141" t="str">
        <f>IF([1]!Table_246[[#This Row],[Coluna2]]&gt;0.5, "🔥 Excelente", IF([1]!Table_246[[#This Row],[Coluna2]]&gt;0.4, "👍 Bom", "⚠️ Baixo"))</f>
        <v>⚠️ Baixo</v>
      </c>
    </row>
    <row r="142" spans="1:15" ht="15.75" customHeight="1">
      <c r="A142" s="28">
        <f>IF(Table_246[[#This Row],[Data]]="","",MONTH(Table_246[[#This Row],[Data]]))</f>
        <v>2</v>
      </c>
      <c r="B142" s="32">
        <v>46071</v>
      </c>
      <c r="C142" s="36" t="s">
        <v>2068</v>
      </c>
      <c r="D142" s="43">
        <v>2</v>
      </c>
      <c r="E142" s="48" t="s">
        <v>1008</v>
      </c>
      <c r="F142" s="48" t="s">
        <v>555</v>
      </c>
      <c r="G142" s="49">
        <v>0.5</v>
      </c>
      <c r="H142" s="10">
        <f>Table_246[[#This Row],[QT]]*Table_246[[#This Row],[Custo 
Un]]</f>
        <v>1</v>
      </c>
      <c r="I142" s="52">
        <v>5</v>
      </c>
      <c r="J142" s="263">
        <f t="shared" si="9"/>
        <v>10</v>
      </c>
      <c r="K142" s="10">
        <f t="shared" si="10"/>
        <v>10</v>
      </c>
      <c r="L142" s="50">
        <f>Table_246[[#This Row],[Valor da 
venda]]-Table_246[[#This Row],[Valor gasto]]</f>
        <v>9</v>
      </c>
      <c r="M142" s="111">
        <f t="shared" si="11"/>
        <v>0.9</v>
      </c>
      <c r="N142" s="52" t="s">
        <v>20</v>
      </c>
      <c r="O142" t="str">
        <f>IF([1]!Table_246[[#This Row],[Coluna2]]&gt;0.5, "🔥 Excelente", IF([1]!Table_246[[#This Row],[Coluna2]]&gt;0.4, "👍 Bom", "⚠️ Baixo"))</f>
        <v>🔥 Excelente</v>
      </c>
    </row>
    <row r="143" spans="1:15" ht="15.75" customHeight="1">
      <c r="A143" s="28">
        <f>IF(Table_246[[#This Row],[Data]]="","",MONTH(Table_246[[#This Row],[Data]]))</f>
        <v>2</v>
      </c>
      <c r="B143" s="32">
        <v>46072</v>
      </c>
      <c r="C143" s="36" t="s">
        <v>2070</v>
      </c>
      <c r="D143" s="43">
        <v>1</v>
      </c>
      <c r="E143" s="48" t="s">
        <v>2069</v>
      </c>
      <c r="F143" s="48" t="s">
        <v>22</v>
      </c>
      <c r="G143" s="49">
        <v>10</v>
      </c>
      <c r="H143" s="10">
        <f>Table_246[[#This Row],[QT]]*Table_246[[#This Row],[Custo 
Un]]</f>
        <v>10</v>
      </c>
      <c r="I143" s="52">
        <v>18.8</v>
      </c>
      <c r="J143" s="263">
        <f t="shared" si="9"/>
        <v>18.8</v>
      </c>
      <c r="K143" s="10">
        <f t="shared" si="10"/>
        <v>18.8</v>
      </c>
      <c r="L143" s="50">
        <f>Table_246[[#This Row],[Valor da 
venda]]-Table_246[[#This Row],[Valor gasto]]</f>
        <v>8.8000000000000007</v>
      </c>
      <c r="M143" s="111">
        <f t="shared" si="11"/>
        <v>0.46808510638297873</v>
      </c>
      <c r="N143" s="52" t="s">
        <v>20</v>
      </c>
      <c r="O143" t="str">
        <f>IF([1]!Table_246[[#This Row],[Coluna2]]&gt;0.5, "🔥 Excelente", IF([1]!Table_246[[#This Row],[Coluna2]]&gt;0.4, "👍 Bom", "⚠️ Baixo"))</f>
        <v>⚠️ Baixo</v>
      </c>
    </row>
    <row r="144" spans="1:15" ht="15.75" customHeight="1">
      <c r="A144" s="28">
        <f>IF(Table_246[[#This Row],[Data]]="","",MONTH(Table_246[[#This Row],[Data]]))</f>
        <v>2</v>
      </c>
      <c r="B144" s="32">
        <v>46072</v>
      </c>
      <c r="C144" s="36" t="s">
        <v>1012</v>
      </c>
      <c r="D144" s="43">
        <v>1</v>
      </c>
      <c r="E144" s="48" t="s">
        <v>2071</v>
      </c>
      <c r="F144" s="48" t="s">
        <v>22</v>
      </c>
      <c r="G144" s="49">
        <f>IFERROR(VLOOKUP(C144,PROD!$A$2:$E$1204,5,0),"0")</f>
        <v>7.5</v>
      </c>
      <c r="H144" s="10">
        <f>Table_246[[#This Row],[QT]]*Table_246[[#This Row],[Custo 
Un]]</f>
        <v>7.5</v>
      </c>
      <c r="I144" s="52">
        <v>14.04</v>
      </c>
      <c r="J144" s="263">
        <f t="shared" si="9"/>
        <v>14.04</v>
      </c>
      <c r="K144" s="10">
        <f t="shared" si="10"/>
        <v>14.04</v>
      </c>
      <c r="L144" s="50">
        <f>Table_246[[#This Row],[Valor da 
venda]]-Table_246[[#This Row],[Valor gasto]]</f>
        <v>6.5399999999999991</v>
      </c>
      <c r="M144" s="111">
        <f t="shared" si="11"/>
        <v>0.46581196581196577</v>
      </c>
      <c r="N144" s="52" t="s">
        <v>20</v>
      </c>
      <c r="O144" t="str">
        <f>IF([1]!Table_246[[#This Row],[Coluna2]]&gt;0.5, "🔥 Excelente", IF([1]!Table_246[[#This Row],[Coluna2]]&gt;0.4, "👍 Bom", "⚠️ Baixo"))</f>
        <v>⚠️ Baixo</v>
      </c>
    </row>
    <row r="145" spans="1:15" ht="15.75" customHeight="1">
      <c r="A145" s="28">
        <f>IF(Table_246[[#This Row],[Data]]="","",MONTH(Table_246[[#This Row],[Data]]))</f>
        <v>2</v>
      </c>
      <c r="B145" s="32">
        <v>46072</v>
      </c>
      <c r="C145" s="109" t="s">
        <v>1047</v>
      </c>
      <c r="D145" s="43">
        <v>1</v>
      </c>
      <c r="E145" s="48" t="s">
        <v>2072</v>
      </c>
      <c r="F145" s="48" t="s">
        <v>22</v>
      </c>
      <c r="G145" s="49">
        <f>IFERROR(VLOOKUP(C145,PROD!$A$2:$E$1204,5,0),"0")</f>
        <v>0.7</v>
      </c>
      <c r="H145" s="10">
        <f>Table_246[[#This Row],[QT]]*Table_246[[#This Row],[Custo 
Un]]</f>
        <v>0.7</v>
      </c>
      <c r="I145" s="52">
        <v>5.5</v>
      </c>
      <c r="J145" s="263">
        <f t="shared" si="9"/>
        <v>5.5</v>
      </c>
      <c r="K145" s="10">
        <f t="shared" si="10"/>
        <v>5.5</v>
      </c>
      <c r="L145" s="50">
        <f>Table_246[[#This Row],[Valor da 
venda]]-Table_246[[#This Row],[Valor gasto]]</f>
        <v>4.8</v>
      </c>
      <c r="M145" s="111">
        <f t="shared" si="11"/>
        <v>0.87272727272727268</v>
      </c>
      <c r="N145" s="52" t="s">
        <v>20</v>
      </c>
      <c r="O145" t="str">
        <f>IF([1]!Table_246[[#This Row],[Coluna2]]&gt;0.5, "🔥 Excelente", IF([1]!Table_246[[#This Row],[Coluna2]]&gt;0.4, "👍 Bom", "⚠️ Baixo"))</f>
        <v>⚠️ Baixo</v>
      </c>
    </row>
    <row r="146" spans="1:15" ht="15.75" customHeight="1">
      <c r="A146" s="28">
        <f>IF(Table_246[[#This Row],[Data]]="","",MONTH(Table_246[[#This Row],[Data]]))</f>
        <v>2</v>
      </c>
      <c r="B146" s="32">
        <v>46073</v>
      </c>
      <c r="C146" s="109" t="s">
        <v>1201</v>
      </c>
      <c r="D146" s="43">
        <v>1</v>
      </c>
      <c r="E146" s="48" t="s">
        <v>2075</v>
      </c>
      <c r="F146" s="48" t="s">
        <v>1016</v>
      </c>
      <c r="G146" s="49">
        <f>IFERROR(VLOOKUP(C146,PROD!$A$2:$E$1204,5,0),"0")</f>
        <v>0.7</v>
      </c>
      <c r="H146" s="10">
        <f>Table_246[[#This Row],[QT]]*Table_246[[#This Row],[Custo 
Un]]</f>
        <v>0.7</v>
      </c>
      <c r="I146" s="52">
        <v>8.99</v>
      </c>
      <c r="J146" s="263">
        <f t="shared" si="9"/>
        <v>8.99</v>
      </c>
      <c r="K146" s="10">
        <f t="shared" si="10"/>
        <v>8.99</v>
      </c>
      <c r="L146" s="50">
        <f>Table_246[[#This Row],[Valor da 
venda]]-Table_246[[#This Row],[Valor gasto]]</f>
        <v>8.2900000000000009</v>
      </c>
      <c r="M146" s="111">
        <f t="shared" si="11"/>
        <v>0.92213570634037823</v>
      </c>
      <c r="N146" s="52" t="s">
        <v>20</v>
      </c>
      <c r="O146" t="str">
        <f>IF([1]!Table_246[[#This Row],[Coluna2]]&gt;0.5, "🔥 Excelente", IF([1]!Table_246[[#This Row],[Coluna2]]&gt;0.4, "👍 Bom", "⚠️ Baixo"))</f>
        <v>⚠️ Baixo</v>
      </c>
    </row>
    <row r="147" spans="1:15" ht="15.75" customHeight="1">
      <c r="A147" s="28">
        <f>IF(Table_246[[#This Row],[Data]]="","",MONTH(Table_246[[#This Row],[Data]]))</f>
        <v>2</v>
      </c>
      <c r="B147" s="32">
        <v>46073</v>
      </c>
      <c r="C147" s="36" t="s">
        <v>2073</v>
      </c>
      <c r="D147" s="43">
        <v>1</v>
      </c>
      <c r="E147" s="48" t="s">
        <v>2074</v>
      </c>
      <c r="F147" s="48" t="s">
        <v>1016</v>
      </c>
      <c r="G147" s="49">
        <f>IFERROR(VLOOKUP(C147,PROD!$A$2:$E$1204,5,0),"0")</f>
        <v>34</v>
      </c>
      <c r="H147" s="10">
        <f>Table_246[[#This Row],[QT]]*Table_246[[#This Row],[Custo 
Un]]</f>
        <v>34</v>
      </c>
      <c r="I147" s="52">
        <v>108.2</v>
      </c>
      <c r="J147" s="263">
        <f t="shared" si="9"/>
        <v>108.2</v>
      </c>
      <c r="K147" s="10">
        <f t="shared" si="10"/>
        <v>108.2</v>
      </c>
      <c r="L147" s="50">
        <f>Table_246[[#This Row],[Valor da 
venda]]-Table_246[[#This Row],[Valor gasto]]</f>
        <v>74.2</v>
      </c>
      <c r="M147" s="111">
        <f t="shared" si="11"/>
        <v>0.6857670979667283</v>
      </c>
      <c r="N147" s="52" t="s">
        <v>20</v>
      </c>
      <c r="O147" t="str">
        <f>IF([1]!Table_246[[#This Row],[Coluna2]]&gt;0.5, "🔥 Excelente", IF([1]!Table_246[[#This Row],[Coluna2]]&gt;0.4, "👍 Bom", "⚠️ Baixo"))</f>
        <v>⚠️ Baixo</v>
      </c>
    </row>
    <row r="148" spans="1:15" ht="15.75" customHeight="1">
      <c r="A148" s="28">
        <f>IF(Table_246[[#This Row],[Data]]="","",MONTH(Table_246[[#This Row],[Data]]))</f>
        <v>2</v>
      </c>
      <c r="B148" s="32">
        <v>46073</v>
      </c>
      <c r="C148" s="36" t="s">
        <v>2076</v>
      </c>
      <c r="D148" s="43">
        <v>2</v>
      </c>
      <c r="E148" s="48" t="s">
        <v>821</v>
      </c>
      <c r="F148" s="48" t="s">
        <v>555</v>
      </c>
      <c r="G148" s="49" t="str">
        <f>IFERROR(VLOOKUP(C148,PROD!$A$2:$E$1204,5,0),"0")</f>
        <v>0</v>
      </c>
      <c r="H148" s="10">
        <f>Table_246[[#This Row],[QT]]*Table_246[[#This Row],[Custo 
Un]]</f>
        <v>0</v>
      </c>
      <c r="I148" s="52">
        <v>5</v>
      </c>
      <c r="J148" s="263">
        <f t="shared" si="9"/>
        <v>10</v>
      </c>
      <c r="K148" s="10">
        <f t="shared" si="10"/>
        <v>10</v>
      </c>
      <c r="L148" s="50">
        <f>Table_246[[#This Row],[Valor da 
venda]]-Table_246[[#This Row],[Valor gasto]]</f>
        <v>10</v>
      </c>
      <c r="M148" s="111">
        <f t="shared" si="11"/>
        <v>1</v>
      </c>
      <c r="N148" s="52" t="s">
        <v>20</v>
      </c>
      <c r="O148" t="str">
        <f>IF([1]!Table_246[[#This Row],[Coluna2]]&gt;0.5, "🔥 Excelente", IF([1]!Table_246[[#This Row],[Coluna2]]&gt;0.4, "👍 Bom", "⚠️ Baixo"))</f>
        <v>⚠️ Baixo</v>
      </c>
    </row>
    <row r="149" spans="1:15" ht="15.75">
      <c r="A149" s="28">
        <f>IF(Table_246[[#This Row],[Data]]="","",MONTH(Table_246[[#This Row],[Data]]))</f>
        <v>2</v>
      </c>
      <c r="B149" s="32">
        <v>46074</v>
      </c>
      <c r="C149" s="79" t="s">
        <v>1072</v>
      </c>
      <c r="D149" s="84">
        <v>4</v>
      </c>
      <c r="E149" s="87" t="s">
        <v>2077</v>
      </c>
      <c r="F149" s="87" t="s">
        <v>555</v>
      </c>
      <c r="G149" s="49">
        <f>IFERROR(VLOOKUP(C149,PROD!$A$2:$E$1204,5,0),"0")</f>
        <v>0.7</v>
      </c>
      <c r="H149" s="10">
        <f>Table_246[[#This Row],[QT]]*Table_246[[#This Row],[Custo 
Un]]</f>
        <v>2.8</v>
      </c>
      <c r="I149" s="92">
        <v>5</v>
      </c>
      <c r="J149" s="92">
        <f t="shared" si="9"/>
        <v>20</v>
      </c>
      <c r="K149" s="10">
        <f t="shared" si="10"/>
        <v>20</v>
      </c>
      <c r="L149" s="50">
        <f>Table_246[[#This Row],[Valor da 
venda]]-Table_246[[#This Row],[Valor gasto]]</f>
        <v>17.2</v>
      </c>
      <c r="M149" s="111">
        <f t="shared" si="11"/>
        <v>0.86</v>
      </c>
      <c r="N149" s="92" t="s">
        <v>20</v>
      </c>
      <c r="O149" t="str">
        <f>IF([1]!Table_246[[#This Row],[Coluna2]]&gt;0.5, "🔥 Excelente", IF([1]!Table_246[[#This Row],[Coluna2]]&gt;0.4, "👍 Bom", "⚠️ Baixo"))</f>
        <v>⚠️ Baixo</v>
      </c>
    </row>
    <row r="150" spans="1:15" ht="15.75" customHeight="1" collapsed="1">
      <c r="A150" s="28">
        <f>IF(Table_246[[#This Row],[Data]]="","",MONTH(Table_246[[#This Row],[Data]]))</f>
        <v>2</v>
      </c>
      <c r="B150" s="32">
        <v>46074</v>
      </c>
      <c r="C150" s="36" t="s">
        <v>2079</v>
      </c>
      <c r="D150" s="43">
        <v>1</v>
      </c>
      <c r="E150" s="48" t="s">
        <v>2078</v>
      </c>
      <c r="F150" s="48" t="s">
        <v>555</v>
      </c>
      <c r="G150" s="49" t="str">
        <f>IFERROR(VLOOKUP(C150,PROD!$A$2:$E$1204,5,0),"0")</f>
        <v>0</v>
      </c>
      <c r="H150" s="10">
        <f>Table_246[[#This Row],[QT]]*Table_246[[#This Row],[Custo 
Un]]</f>
        <v>0</v>
      </c>
      <c r="I150" s="52">
        <v>300</v>
      </c>
      <c r="J150" s="263">
        <f t="shared" si="9"/>
        <v>300</v>
      </c>
      <c r="K150" s="10">
        <f t="shared" si="10"/>
        <v>300</v>
      </c>
      <c r="L150" s="50">
        <f>Table_246[[#This Row],[Valor da 
venda]]-Table_246[[#This Row],[Valor gasto]]</f>
        <v>300</v>
      </c>
      <c r="M150" s="111">
        <f t="shared" si="11"/>
        <v>1</v>
      </c>
      <c r="N150" s="52" t="s">
        <v>20</v>
      </c>
      <c r="O150" s="114" t="str">
        <f>IF([1]!Table_246[[#This Row],[Coluna2]]&gt;0.5, "🔥 Excelente", IF([1]!Table_246[[#This Row],[Coluna2]]&gt;0.4, "👍 Bom", "⚠️ Baixo"))</f>
        <v>⚠️ Baixo</v>
      </c>
    </row>
    <row r="151" spans="1:15" ht="15.75" customHeight="1">
      <c r="A151" s="28">
        <f>IF(Table_246[[#This Row],[Data]]="","",MONTH(Table_246[[#This Row],[Data]]))</f>
        <v>2</v>
      </c>
      <c r="B151" s="32">
        <v>46074</v>
      </c>
      <c r="C151" s="36" t="s">
        <v>2080</v>
      </c>
      <c r="D151" s="83">
        <v>1</v>
      </c>
      <c r="E151" s="48" t="s">
        <v>2078</v>
      </c>
      <c r="F151" s="48" t="s">
        <v>555</v>
      </c>
      <c r="G151" s="49">
        <v>5</v>
      </c>
      <c r="H151" s="10">
        <f>Table_246[[#This Row],[QT]]*Table_246[[#This Row],[Custo 
Un]]</f>
        <v>5</v>
      </c>
      <c r="I151" s="91">
        <v>20</v>
      </c>
      <c r="J151" s="91">
        <f t="shared" si="9"/>
        <v>20</v>
      </c>
      <c r="K151" s="10">
        <f t="shared" si="10"/>
        <v>20</v>
      </c>
      <c r="L151" s="50">
        <f>Table_246[[#This Row],[Valor da 
venda]]-Table_246[[#This Row],[Valor gasto]]</f>
        <v>15</v>
      </c>
      <c r="M151" s="111">
        <f t="shared" si="11"/>
        <v>0.75</v>
      </c>
      <c r="N151" s="91" t="s">
        <v>20</v>
      </c>
      <c r="O151" t="str">
        <f>IF([1]!Table_246[[#This Row],[Coluna2]]&gt;0.5, "🔥 Excelente", IF([1]!Table_246[[#This Row],[Coluna2]]&gt;0.4, "👍 Bom", "⚠️ Baixo"))</f>
        <v>⚠️ Baixo</v>
      </c>
    </row>
    <row r="152" spans="1:15" ht="15.75" customHeight="1">
      <c r="A152" s="28">
        <f>IF(Table_246[[#This Row],[Data]]="","",MONTH(Table_246[[#This Row],[Data]]))</f>
        <v>2</v>
      </c>
      <c r="B152" s="32">
        <v>46075</v>
      </c>
      <c r="C152" s="36" t="s">
        <v>1092</v>
      </c>
      <c r="D152" s="43">
        <v>2</v>
      </c>
      <c r="E152" s="48" t="s">
        <v>2083</v>
      </c>
      <c r="F152" s="48" t="s">
        <v>22</v>
      </c>
      <c r="G152" s="49">
        <f>IFERROR(VLOOKUP(C152,PROD!$A$2:$E$1204,5,0),"0")</f>
        <v>7.5</v>
      </c>
      <c r="H152" s="10">
        <f>Table_246[[#This Row],[QT]]*Table_246[[#This Row],[Custo 
Un]]</f>
        <v>15</v>
      </c>
      <c r="I152" s="52">
        <f>24.3/2</f>
        <v>12.15</v>
      </c>
      <c r="J152" s="263">
        <f t="shared" si="9"/>
        <v>24.3</v>
      </c>
      <c r="K152" s="10">
        <f t="shared" si="10"/>
        <v>24.3</v>
      </c>
      <c r="L152" s="50">
        <f>Table_246[[#This Row],[Valor da 
venda]]-Table_246[[#This Row],[Valor gasto]]</f>
        <v>9.3000000000000007</v>
      </c>
      <c r="M152" s="111">
        <f t="shared" si="11"/>
        <v>0.38271604938271608</v>
      </c>
      <c r="N152" s="52" t="s">
        <v>20</v>
      </c>
      <c r="O152" t="str">
        <f>IF([1]!Table_246[[#This Row],[Coluna2]]&gt;0.5, "🔥 Excelente", IF([1]!Table_246[[#This Row],[Coluna2]]&gt;0.4, "👍 Bom", "⚠️ Baixo"))</f>
        <v>⚠️ Baixo</v>
      </c>
    </row>
    <row r="153" spans="1:15" ht="15.75" customHeight="1">
      <c r="A153" s="28">
        <f>IF(Table_246[[#This Row],[Data]]="","",MONTH(Table_246[[#This Row],[Data]]))</f>
        <v>2</v>
      </c>
      <c r="B153" s="32">
        <v>46075</v>
      </c>
      <c r="C153" s="36" t="s">
        <v>2082</v>
      </c>
      <c r="D153" s="43">
        <v>1</v>
      </c>
      <c r="E153" s="48" t="s">
        <v>2081</v>
      </c>
      <c r="F153" s="48" t="s">
        <v>22</v>
      </c>
      <c r="G153" s="49" t="str">
        <f>IFERROR(VLOOKUP(C153,PROD!$A$2:$E$1204,5,0),"0")</f>
        <v>0</v>
      </c>
      <c r="H153" s="10">
        <f>Table_246[[#This Row],[QT]]*Table_246[[#This Row],[Custo 
Un]]</f>
        <v>0</v>
      </c>
      <c r="I153" s="52">
        <f>364.54-350</f>
        <v>14.54000000000002</v>
      </c>
      <c r="J153" s="263">
        <f t="shared" si="9"/>
        <v>14.54000000000002</v>
      </c>
      <c r="K153" s="10">
        <f t="shared" si="10"/>
        <v>14.54000000000002</v>
      </c>
      <c r="L153" s="50">
        <f>Table_246[[#This Row],[Valor da 
venda]]-Table_246[[#This Row],[Valor gasto]]</f>
        <v>14.54000000000002</v>
      </c>
      <c r="M153" s="111">
        <f t="shared" si="11"/>
        <v>1</v>
      </c>
      <c r="N153" s="52" t="s">
        <v>20</v>
      </c>
      <c r="O153" t="str">
        <f>IF([1]!Table_246[[#This Row],[Coluna2]]&gt;0.5, "🔥 Excelente", IF([1]!Table_246[[#This Row],[Coluna2]]&gt;0.4, "👍 Bom", "⚠️ Baixo"))</f>
        <v>⚠️ Baixo</v>
      </c>
    </row>
    <row r="154" spans="1:15" ht="15.75" customHeight="1">
      <c r="A154" s="28">
        <f>IF(Table_246[[#This Row],[Data]]="","",MONTH(Table_246[[#This Row],[Data]]))</f>
        <v>2</v>
      </c>
      <c r="B154" s="32">
        <v>46076</v>
      </c>
      <c r="C154" s="36" t="s">
        <v>2073</v>
      </c>
      <c r="D154" s="43">
        <v>1</v>
      </c>
      <c r="E154" s="48" t="s">
        <v>2084</v>
      </c>
      <c r="F154" s="48" t="s">
        <v>555</v>
      </c>
      <c r="G154" s="49">
        <f>IFERROR(VLOOKUP(C154,PROD!$A$2:$E$1204,5,0),"0")</f>
        <v>34</v>
      </c>
      <c r="H154" s="10">
        <f>Table_246[[#This Row],[QT]]*Table_246[[#This Row],[Custo 
Un]]</f>
        <v>34</v>
      </c>
      <c r="I154" s="52">
        <v>110</v>
      </c>
      <c r="J154" s="263">
        <f t="shared" si="9"/>
        <v>110</v>
      </c>
      <c r="K154" s="10">
        <f t="shared" si="10"/>
        <v>110</v>
      </c>
      <c r="L154" s="50">
        <f>Table_246[[#This Row],[Valor da 
venda]]-Table_246[[#This Row],[Valor gasto]]</f>
        <v>76</v>
      </c>
      <c r="M154" s="111">
        <f t="shared" si="11"/>
        <v>0.69090909090909092</v>
      </c>
      <c r="N154" s="52" t="s">
        <v>20</v>
      </c>
      <c r="O154" t="str">
        <f>IF([1]!Table_246[[#This Row],[Coluna2]]&gt;0.5, "🔥 Excelente", IF([1]!Table_246[[#This Row],[Coluna2]]&gt;0.4, "👍 Bom", "⚠️ Baixo"))</f>
        <v>⚠️ Baixo</v>
      </c>
    </row>
    <row r="155" spans="1:15" ht="15.75" customHeight="1">
      <c r="A155" s="28">
        <f>IF(Table_246[[#This Row],[Data]]="","",MONTH(Table_246[[#This Row],[Data]]))</f>
        <v>2</v>
      </c>
      <c r="B155" s="32">
        <v>46076</v>
      </c>
      <c r="C155" s="36" t="s">
        <v>1009</v>
      </c>
      <c r="D155" s="43">
        <v>1</v>
      </c>
      <c r="E155" s="48" t="s">
        <v>2085</v>
      </c>
      <c r="F155" s="48" t="s">
        <v>555</v>
      </c>
      <c r="G155" s="49">
        <v>10</v>
      </c>
      <c r="H155" s="10">
        <f>Table_246[[#This Row],[QT]]*Table_246[[#This Row],[Custo 
Un]]</f>
        <v>10</v>
      </c>
      <c r="I155" s="52">
        <v>10</v>
      </c>
      <c r="J155" s="263">
        <f t="shared" si="9"/>
        <v>10</v>
      </c>
      <c r="K155" s="10">
        <f t="shared" si="10"/>
        <v>10</v>
      </c>
      <c r="L155" s="50">
        <f>Table_246[[#This Row],[Valor da 
venda]]-Table_246[[#This Row],[Valor gasto]]</f>
        <v>0</v>
      </c>
      <c r="M155" s="111">
        <f t="shared" si="11"/>
        <v>0</v>
      </c>
      <c r="N155" s="52" t="s">
        <v>20</v>
      </c>
      <c r="O155" t="str">
        <f>IF([1]!Table_246[[#This Row],[Coluna2]]&gt;0.5, "🔥 Excelente", IF([1]!Table_246[[#This Row],[Coluna2]]&gt;0.4, "👍 Bom", "⚠️ Baixo"))</f>
        <v>⚠️ Baixo</v>
      </c>
    </row>
    <row r="156" spans="1:15" ht="15.75" customHeight="1">
      <c r="A156" s="28">
        <f>IF(Table_246[[#This Row],[Data]]="","",MONTH(Table_246[[#This Row],[Data]]))</f>
        <v>2</v>
      </c>
      <c r="B156" s="32">
        <v>46076</v>
      </c>
      <c r="C156" s="109" t="s">
        <v>1201</v>
      </c>
      <c r="D156" s="43">
        <v>1</v>
      </c>
      <c r="E156" s="48" t="s">
        <v>2086</v>
      </c>
      <c r="F156" s="48" t="s">
        <v>1016</v>
      </c>
      <c r="G156" s="49">
        <f>IFERROR(VLOOKUP(C156,PROD!$A$2:$E$1204,5,0),"0")</f>
        <v>0.7</v>
      </c>
      <c r="H156" s="10">
        <f>Table_246[[#This Row],[QT]]*Table_246[[#This Row],[Custo 
Un]]</f>
        <v>0.7</v>
      </c>
      <c r="I156" s="52">
        <v>9.1999999999999993</v>
      </c>
      <c r="J156" s="263">
        <f t="shared" si="9"/>
        <v>9.1999999999999993</v>
      </c>
      <c r="K156" s="10">
        <f t="shared" si="10"/>
        <v>9.1999999999999993</v>
      </c>
      <c r="L156" s="50">
        <f>Table_246[[#This Row],[Valor da 
venda]]-Table_246[[#This Row],[Valor gasto]]</f>
        <v>8.5</v>
      </c>
      <c r="M156" s="111">
        <f t="shared" si="11"/>
        <v>0.92391304347826098</v>
      </c>
      <c r="N156" s="52" t="s">
        <v>20</v>
      </c>
      <c r="O156" t="str">
        <f>IF([1]!Table_246[[#This Row],[Coluna2]]&gt;0.5, "🔥 Excelente", IF([1]!Table_246[[#This Row],[Coluna2]]&gt;0.4, "👍 Bom", "⚠️ Baixo"))</f>
        <v>⚠️ Baixo</v>
      </c>
    </row>
    <row r="157" spans="1:15" ht="15.75" customHeight="1">
      <c r="A157" s="28">
        <f>IF(Table_246[[#This Row],[Data]]="","",MONTH(Table_246[[#This Row],[Data]]))</f>
        <v>2</v>
      </c>
      <c r="B157" s="32">
        <v>46076</v>
      </c>
      <c r="C157" s="109" t="s">
        <v>1047</v>
      </c>
      <c r="D157" s="43">
        <v>1</v>
      </c>
      <c r="E157" s="48" t="s">
        <v>2087</v>
      </c>
      <c r="F157" s="48" t="s">
        <v>22</v>
      </c>
      <c r="G157" s="49">
        <f>IFERROR(VLOOKUP(C157,PROD!$A$2:$E$1204,5,0),"0")</f>
        <v>0.7</v>
      </c>
      <c r="H157" s="10">
        <f>Table_246[[#This Row],[QT]]*Table_246[[#This Row],[Custo 
Un]]</f>
        <v>0.7</v>
      </c>
      <c r="I157" s="52">
        <v>5.5</v>
      </c>
      <c r="J157" s="263">
        <f t="shared" si="9"/>
        <v>5.5</v>
      </c>
      <c r="K157" s="10">
        <f t="shared" si="10"/>
        <v>5.5</v>
      </c>
      <c r="L157" s="50">
        <f>Table_246[[#This Row],[Valor da 
venda]]-Table_246[[#This Row],[Valor gasto]]</f>
        <v>4.8</v>
      </c>
      <c r="M157" s="111">
        <f t="shared" si="11"/>
        <v>0.87272727272727268</v>
      </c>
      <c r="N157" s="52" t="s">
        <v>20</v>
      </c>
      <c r="O157" t="str">
        <f>IF([1]!Table_246[[#This Row],[Coluna2]]&gt;0.5, "🔥 Excelente", IF([1]!Table_246[[#This Row],[Coluna2]]&gt;0.4, "👍 Bom", "⚠️ Baixo"))</f>
        <v>⚠️ Baixo</v>
      </c>
    </row>
    <row r="158" spans="1:15" ht="15.75" customHeight="1">
      <c r="A158" s="28">
        <f>IF(Table_246[[#This Row],[Data]]="","",MONTH(Table_246[[#This Row],[Data]]))</f>
        <v>2</v>
      </c>
      <c r="B158" s="32">
        <v>46077</v>
      </c>
      <c r="C158" s="36" t="s">
        <v>1066</v>
      </c>
      <c r="D158" s="43">
        <v>1</v>
      </c>
      <c r="E158" s="48" t="s">
        <v>635</v>
      </c>
      <c r="F158" s="48" t="s">
        <v>555</v>
      </c>
      <c r="G158" s="49">
        <f>IFERROR(VLOOKUP(C158,PROD!$A$2:$E$1204,5,0),"0")</f>
        <v>0</v>
      </c>
      <c r="H158" s="10">
        <f>Table_246[[#This Row],[QT]]*Table_246[[#This Row],[Custo 
Un]]</f>
        <v>0</v>
      </c>
      <c r="I158" s="52">
        <v>10</v>
      </c>
      <c r="J158" s="263">
        <f t="shared" si="9"/>
        <v>10</v>
      </c>
      <c r="K158" s="10">
        <f t="shared" si="10"/>
        <v>10</v>
      </c>
      <c r="L158" s="50">
        <f>Table_246[[#This Row],[Valor da 
venda]]-Table_246[[#This Row],[Valor gasto]]</f>
        <v>10</v>
      </c>
      <c r="M158" s="111">
        <f t="shared" si="11"/>
        <v>1</v>
      </c>
      <c r="N158" s="52" t="s">
        <v>20</v>
      </c>
      <c r="O158" t="str">
        <f>IF([1]!Table_246[[#This Row],[Coluna2]]&gt;0.5, "🔥 Excelente", IF([1]!Table_246[[#This Row],[Coluna2]]&gt;0.4, "👍 Bom", "⚠️ Baixo"))</f>
        <v>⚠️ Baixo</v>
      </c>
    </row>
    <row r="159" spans="1:15" ht="15.75" customHeight="1">
      <c r="A159" s="28">
        <f>IF(Table_246[[#This Row],[Data]]="","",MONTH(Table_246[[#This Row],[Data]]))</f>
        <v>2</v>
      </c>
      <c r="B159" s="32">
        <v>46078</v>
      </c>
      <c r="C159" s="109" t="s">
        <v>1201</v>
      </c>
      <c r="D159" s="43">
        <v>4</v>
      </c>
      <c r="E159" s="48" t="s">
        <v>2088</v>
      </c>
      <c r="F159" s="48" t="s">
        <v>1016</v>
      </c>
      <c r="G159" s="49">
        <f>IFERROR(VLOOKUP(C159,PROD!$A$2:$E$1204,5,0),"0")</f>
        <v>0.7</v>
      </c>
      <c r="H159" s="10">
        <f>Table_246[[#This Row],[QT]]*Table_246[[#This Row],[Custo 
Un]]</f>
        <v>2.8</v>
      </c>
      <c r="I159" s="52">
        <v>5</v>
      </c>
      <c r="J159" s="263">
        <f t="shared" si="9"/>
        <v>20</v>
      </c>
      <c r="K159" s="10">
        <f t="shared" si="10"/>
        <v>20</v>
      </c>
      <c r="L159" s="50">
        <f>Table_246[[#This Row],[Valor da 
venda]]-Table_246[[#This Row],[Valor gasto]]</f>
        <v>17.2</v>
      </c>
      <c r="M159" s="111">
        <f t="shared" si="11"/>
        <v>0.86</v>
      </c>
      <c r="N159" s="52" t="s">
        <v>20</v>
      </c>
      <c r="O159" t="str">
        <f>IF([1]!Table_246[[#This Row],[Coluna2]]&gt;0.5, "🔥 Excelente", IF([1]!Table_246[[#This Row],[Coluna2]]&gt;0.4, "👍 Bom", "⚠️ Baixo"))</f>
        <v>⚠️ Baixo</v>
      </c>
    </row>
    <row r="160" spans="1:15" ht="15.75" customHeight="1">
      <c r="A160" s="28">
        <f>IF(Table_246[[#This Row],[Data]]="","",MONTH(Table_246[[#This Row],[Data]]))</f>
        <v>2</v>
      </c>
      <c r="B160" s="32">
        <v>46078</v>
      </c>
      <c r="C160" s="109" t="s">
        <v>1201</v>
      </c>
      <c r="D160" s="43">
        <v>1</v>
      </c>
      <c r="E160" s="48" t="s">
        <v>2089</v>
      </c>
      <c r="F160" s="48" t="s">
        <v>1016</v>
      </c>
      <c r="G160" s="49">
        <f>IFERROR(VLOOKUP(C160,PROD!$A$2:$E$1204,5,0),"0")</f>
        <v>0.7</v>
      </c>
      <c r="H160" s="10">
        <f>Table_246[[#This Row],[QT]]*Table_246[[#This Row],[Custo 
Un]]</f>
        <v>0.7</v>
      </c>
      <c r="I160" s="52">
        <v>9.1999999999999993</v>
      </c>
      <c r="J160" s="263">
        <f t="shared" si="9"/>
        <v>9.1999999999999993</v>
      </c>
      <c r="K160" s="10">
        <f t="shared" si="10"/>
        <v>9.1999999999999993</v>
      </c>
      <c r="L160" s="50">
        <f>Table_246[[#This Row],[Valor da 
venda]]-Table_246[[#This Row],[Valor gasto]]</f>
        <v>8.5</v>
      </c>
      <c r="M160" s="111">
        <f t="shared" si="11"/>
        <v>0.92391304347826098</v>
      </c>
      <c r="N160" s="52" t="s">
        <v>20</v>
      </c>
      <c r="O160" t="str">
        <f>IF([1]!Table_246[[#This Row],[Coluna2]]&gt;0.5, "🔥 Excelente", IF([1]!Table_246[[#This Row],[Coluna2]]&gt;0.4, "👍 Bom", "⚠️ Baixo"))</f>
        <v>⚠️ Baixo</v>
      </c>
    </row>
    <row r="161" spans="1:15" ht="15.75" customHeight="1">
      <c r="A161" s="28">
        <f>IF(Table_246[[#This Row],[Data]]="","",MONTH(Table_246[[#This Row],[Data]]))</f>
        <v>2</v>
      </c>
      <c r="B161" s="32">
        <v>46079</v>
      </c>
      <c r="C161" s="36" t="s">
        <v>2090</v>
      </c>
      <c r="D161" s="43">
        <v>1</v>
      </c>
      <c r="E161" s="48" t="s">
        <v>2093</v>
      </c>
      <c r="F161" s="48" t="s">
        <v>555</v>
      </c>
      <c r="G161" s="49" t="str">
        <f>IFERROR(VLOOKUP(C161,PROD!$A$2:$E$1204,5,0),"0")</f>
        <v>0</v>
      </c>
      <c r="H161" s="10">
        <f>Table_246[[#This Row],[QT]]*Table_246[[#This Row],[Custo 
Un]]</f>
        <v>0</v>
      </c>
      <c r="I161" s="52">
        <v>15</v>
      </c>
      <c r="J161" s="263">
        <f t="shared" si="9"/>
        <v>15</v>
      </c>
      <c r="K161" s="10">
        <f t="shared" si="10"/>
        <v>15</v>
      </c>
      <c r="L161" s="50">
        <f>Table_246[[#This Row],[Valor da 
venda]]-Table_246[[#This Row],[Valor gasto]]</f>
        <v>15</v>
      </c>
      <c r="M161" s="111">
        <f t="shared" si="11"/>
        <v>1</v>
      </c>
      <c r="N161" s="52" t="s">
        <v>20</v>
      </c>
      <c r="O161" t="str">
        <f>IF([1]!Table_246[[#This Row],[Coluna2]]&gt;0.5, "🔥 Excelente", IF([1]!Table_246[[#This Row],[Coluna2]]&gt;0.4, "👍 Bom", "⚠️ Baixo"))</f>
        <v>⚠️ Baixo</v>
      </c>
    </row>
    <row r="162" spans="1:15" ht="15.75" customHeight="1">
      <c r="A162" s="28">
        <f>IF(Table_246[[#This Row],[Data]]="","",MONTH(Table_246[[#This Row],[Data]]))</f>
        <v>2</v>
      </c>
      <c r="B162" s="32">
        <v>46079</v>
      </c>
      <c r="C162" s="36" t="s">
        <v>2091</v>
      </c>
      <c r="D162" s="43">
        <v>1</v>
      </c>
      <c r="E162" s="48" t="s">
        <v>2093</v>
      </c>
      <c r="F162" s="48" t="s">
        <v>555</v>
      </c>
      <c r="G162" s="49" t="str">
        <f>IFERROR(VLOOKUP(C162,PROD!$A$2:$E$1204,5,0),"0")</f>
        <v>0</v>
      </c>
      <c r="H162" s="10">
        <f>Table_246[[#This Row],[QT]]*Table_246[[#This Row],[Custo 
Un]]</f>
        <v>0</v>
      </c>
      <c r="I162" s="52">
        <v>25</v>
      </c>
      <c r="J162" s="263">
        <f t="shared" si="9"/>
        <v>25</v>
      </c>
      <c r="K162" s="10">
        <f t="shared" si="10"/>
        <v>25</v>
      </c>
      <c r="L162" s="50">
        <f>Table_246[[#This Row],[Valor da 
venda]]-Table_246[[#This Row],[Valor gasto]]</f>
        <v>25</v>
      </c>
      <c r="M162" s="111">
        <f t="shared" si="11"/>
        <v>1</v>
      </c>
      <c r="N162" s="52" t="s">
        <v>20</v>
      </c>
      <c r="O162" t="str">
        <f>IF([1]!Table_246[[#This Row],[Coluna2]]&gt;0.5, "🔥 Excelente", IF([1]!Table_246[[#This Row],[Coluna2]]&gt;0.4, "👍 Bom", "⚠️ Baixo"))</f>
        <v>⚠️ Baixo</v>
      </c>
    </row>
    <row r="163" spans="1:15" ht="15.75" customHeight="1">
      <c r="A163" s="28">
        <f>IF(Table_246[[#This Row],[Data]]="","",MONTH(Table_246[[#This Row],[Data]]))</f>
        <v>2</v>
      </c>
      <c r="B163" s="32">
        <v>46079</v>
      </c>
      <c r="C163" s="36" t="s">
        <v>2092</v>
      </c>
      <c r="D163" s="43">
        <v>1</v>
      </c>
      <c r="E163" s="48" t="s">
        <v>2093</v>
      </c>
      <c r="F163" s="48" t="s">
        <v>555</v>
      </c>
      <c r="G163" s="49">
        <v>20</v>
      </c>
      <c r="H163" s="10">
        <f>Table_246[[#This Row],[QT]]*Table_246[[#This Row],[Custo 
Un]]</f>
        <v>20</v>
      </c>
      <c r="I163" s="52">
        <v>30</v>
      </c>
      <c r="J163" s="263">
        <f t="shared" si="9"/>
        <v>30</v>
      </c>
      <c r="K163" s="10">
        <f t="shared" si="10"/>
        <v>30</v>
      </c>
      <c r="L163" s="50">
        <f>Table_246[[#This Row],[Valor da 
venda]]-Table_246[[#This Row],[Valor gasto]]</f>
        <v>10</v>
      </c>
      <c r="M163" s="111">
        <f t="shared" si="11"/>
        <v>0.33333333333333331</v>
      </c>
      <c r="N163" s="52" t="s">
        <v>20</v>
      </c>
      <c r="O163" t="str">
        <f>IF([1]!Table_246[[#This Row],[Coluna2]]&gt;0.5, "🔥 Excelente", IF([1]!Table_246[[#This Row],[Coluna2]]&gt;0.4, "👍 Bom", "⚠️ Baixo"))</f>
        <v>⚠️ Baixo</v>
      </c>
    </row>
    <row r="164" spans="1:15" ht="15.75" customHeight="1">
      <c r="A164" s="28">
        <f>IF(Table_246[[#This Row],[Data]]="","",MONTH(Table_246[[#This Row],[Data]]))</f>
        <v>2</v>
      </c>
      <c r="B164" s="32">
        <v>46079</v>
      </c>
      <c r="C164" s="36" t="s">
        <v>1090</v>
      </c>
      <c r="D164" s="43">
        <v>1</v>
      </c>
      <c r="E164" s="48" t="s">
        <v>2093</v>
      </c>
      <c r="F164" s="48" t="s">
        <v>555</v>
      </c>
      <c r="G164" s="49">
        <v>10</v>
      </c>
      <c r="H164" s="10">
        <f>Table_246[[#This Row],[QT]]*Table_246[[#This Row],[Custo 
Un]]</f>
        <v>10</v>
      </c>
      <c r="I164" s="52">
        <v>15</v>
      </c>
      <c r="J164" s="263">
        <f t="shared" si="9"/>
        <v>15</v>
      </c>
      <c r="K164" s="10">
        <f t="shared" si="10"/>
        <v>15</v>
      </c>
      <c r="L164" s="50">
        <f>Table_246[[#This Row],[Valor da 
venda]]-Table_246[[#This Row],[Valor gasto]]</f>
        <v>5</v>
      </c>
      <c r="M164" s="111">
        <f t="shared" si="11"/>
        <v>0.33333333333333331</v>
      </c>
      <c r="N164" s="52" t="s">
        <v>20</v>
      </c>
      <c r="O164" t="str">
        <f>IF([1]!Table_246[[#This Row],[Coluna2]]&gt;0.5, "🔥 Excelente", IF([1]!Table_246[[#This Row],[Coluna2]]&gt;0.4, "👍 Bom", "⚠️ Baixo"))</f>
        <v>⚠️ Baixo</v>
      </c>
    </row>
    <row r="165" spans="1:15" ht="15.75" customHeight="1">
      <c r="A165" s="28">
        <f>IF(Table_246[[#This Row],[Data]]="","",MONTH(Table_246[[#This Row],[Data]]))</f>
        <v>3</v>
      </c>
      <c r="B165" s="32">
        <v>46083</v>
      </c>
      <c r="C165" s="36" t="s">
        <v>2094</v>
      </c>
      <c r="D165" s="43">
        <v>1</v>
      </c>
      <c r="E165" s="48" t="s">
        <v>1008</v>
      </c>
      <c r="F165" s="48" t="s">
        <v>555</v>
      </c>
      <c r="G165" s="49">
        <v>5</v>
      </c>
      <c r="H165" s="10">
        <f>Table_246[[#This Row],[QT]]*Table_246[[#This Row],[Custo 
Un]]</f>
        <v>5</v>
      </c>
      <c r="I165" s="52">
        <v>10</v>
      </c>
      <c r="J165" s="263">
        <f t="shared" si="9"/>
        <v>10</v>
      </c>
      <c r="K165" s="10">
        <f t="shared" si="10"/>
        <v>10</v>
      </c>
      <c r="L165" s="50">
        <f>Table_246[[#This Row],[Valor da 
venda]]-Table_246[[#This Row],[Valor gasto]]</f>
        <v>5</v>
      </c>
      <c r="M165" s="111">
        <f t="shared" si="11"/>
        <v>0.5</v>
      </c>
      <c r="N165" s="52" t="s">
        <v>20</v>
      </c>
      <c r="O165" t="str">
        <f>IF([1]!Table_246[[#This Row],[Coluna2]]&gt;0.5, "🔥 Excelente", IF([1]!Table_246[[#This Row],[Coluna2]]&gt;0.4, "👍 Bom", "⚠️ Baixo"))</f>
        <v>⚠️ Baixo</v>
      </c>
    </row>
    <row r="166" spans="1:15" ht="15.75" customHeight="1">
      <c r="A166" s="28">
        <f>IF(Table_246[[#This Row],[Data]]="","",MONTH(Table_246[[#This Row],[Data]]))</f>
        <v>3</v>
      </c>
      <c r="B166" s="32">
        <v>46083</v>
      </c>
      <c r="C166" s="36" t="s">
        <v>2095</v>
      </c>
      <c r="D166" s="43">
        <v>1</v>
      </c>
      <c r="E166" s="48" t="s">
        <v>1008</v>
      </c>
      <c r="F166" s="48" t="s">
        <v>555</v>
      </c>
      <c r="G166" s="49" t="str">
        <f>IFERROR(VLOOKUP(C166,PROD!$A$2:$E$1204,5,0),"0")</f>
        <v>0</v>
      </c>
      <c r="H166" s="10">
        <f>Table_246[[#This Row],[QT]]*Table_246[[#This Row],[Custo 
Un]]</f>
        <v>0</v>
      </c>
      <c r="I166" s="52">
        <v>25</v>
      </c>
      <c r="J166" s="263">
        <f t="shared" si="9"/>
        <v>25</v>
      </c>
      <c r="K166" s="10">
        <f t="shared" si="10"/>
        <v>25</v>
      </c>
      <c r="L166" s="50">
        <f>Table_246[[#This Row],[Valor da 
venda]]-Table_246[[#This Row],[Valor gasto]]</f>
        <v>25</v>
      </c>
      <c r="M166" s="111">
        <f t="shared" si="11"/>
        <v>1</v>
      </c>
      <c r="N166" s="52" t="s">
        <v>20</v>
      </c>
      <c r="O166" t="str">
        <f>IF([1]!Table_246[[#This Row],[Coluna2]]&gt;0.5, "🔥 Excelente", IF([1]!Table_246[[#This Row],[Coluna2]]&gt;0.4, "👍 Bom", "⚠️ Baixo"))</f>
        <v>⚠️ Baixo</v>
      </c>
    </row>
    <row r="167" spans="1:15" ht="15.75" customHeight="1">
      <c r="A167" s="28">
        <f>IF(Table_246[[#This Row],[Data]]="","",MONTH(Table_246[[#This Row],[Data]]))</f>
        <v>3</v>
      </c>
      <c r="B167" s="32">
        <v>46084</v>
      </c>
      <c r="C167" s="36" t="s">
        <v>2096</v>
      </c>
      <c r="D167" s="43">
        <v>1</v>
      </c>
      <c r="E167" s="48" t="s">
        <v>897</v>
      </c>
      <c r="F167" s="48" t="s">
        <v>555</v>
      </c>
      <c r="G167" s="49">
        <v>400</v>
      </c>
      <c r="H167" s="10">
        <f>Table_246[[#This Row],[QT]]*Table_246[[#This Row],[Custo 
Un]]</f>
        <v>400</v>
      </c>
      <c r="I167" s="52">
        <v>600</v>
      </c>
      <c r="J167" s="263">
        <f t="shared" si="9"/>
        <v>600</v>
      </c>
      <c r="K167" s="10">
        <f t="shared" si="10"/>
        <v>600</v>
      </c>
      <c r="L167" s="50">
        <f>Table_246[[#This Row],[Valor da 
venda]]-Table_246[[#This Row],[Valor gasto]]</f>
        <v>200</v>
      </c>
      <c r="M167" s="111">
        <f t="shared" si="11"/>
        <v>0.33333333333333331</v>
      </c>
      <c r="N167" s="52" t="s">
        <v>993</v>
      </c>
      <c r="O167" t="str">
        <f>IF([1]!Table_246[[#This Row],[Coluna2]]&gt;0.5, "🔥 Excelente", IF([1]!Table_246[[#This Row],[Coluna2]]&gt;0.4, "👍 Bom", "⚠️ Baixo"))</f>
        <v>⚠️ Baixo</v>
      </c>
    </row>
    <row r="168" spans="1:15" ht="15.75" customHeight="1">
      <c r="A168" s="28">
        <f>IF(Table_246[[#This Row],[Data]]="","",MONTH(Table_246[[#This Row],[Data]]))</f>
        <v>3</v>
      </c>
      <c r="B168" s="32">
        <v>46084</v>
      </c>
      <c r="C168" s="36" t="s">
        <v>2098</v>
      </c>
      <c r="D168" s="43">
        <v>1</v>
      </c>
      <c r="E168" s="48" t="s">
        <v>897</v>
      </c>
      <c r="F168" s="48" t="s">
        <v>555</v>
      </c>
      <c r="G168" s="49">
        <v>15</v>
      </c>
      <c r="H168" s="10">
        <f>Table_246[[#This Row],[QT]]*Table_246[[#This Row],[Custo 
Un]]</f>
        <v>15</v>
      </c>
      <c r="I168" s="52">
        <v>30</v>
      </c>
      <c r="J168" s="263">
        <f t="shared" si="9"/>
        <v>30</v>
      </c>
      <c r="K168" s="10">
        <f t="shared" si="10"/>
        <v>30</v>
      </c>
      <c r="L168" s="50">
        <f>Table_246[[#This Row],[Valor da 
venda]]-Table_246[[#This Row],[Valor gasto]]</f>
        <v>15</v>
      </c>
      <c r="M168" s="111">
        <f t="shared" si="11"/>
        <v>0.5</v>
      </c>
      <c r="N168" s="52" t="s">
        <v>993</v>
      </c>
      <c r="O168" t="str">
        <f>IF([1]!Table_246[[#This Row],[Coluna2]]&gt;0.5, "🔥 Excelente", IF([1]!Table_246[[#This Row],[Coluna2]]&gt;0.4, "👍 Bom", "⚠️ Baixo"))</f>
        <v>⚠️ Baixo</v>
      </c>
    </row>
    <row r="169" spans="1:15" ht="15.75" customHeight="1">
      <c r="A169" s="28">
        <f>IF(Table_246[[#This Row],[Data]]="","",MONTH(Table_246[[#This Row],[Data]]))</f>
        <v>3</v>
      </c>
      <c r="B169" s="32">
        <v>46084</v>
      </c>
      <c r="C169" s="36" t="s">
        <v>2099</v>
      </c>
      <c r="D169" s="43">
        <v>1</v>
      </c>
      <c r="E169" s="48" t="s">
        <v>1008</v>
      </c>
      <c r="F169" s="48" t="s">
        <v>555</v>
      </c>
      <c r="G169" s="49">
        <v>5</v>
      </c>
      <c r="H169" s="10">
        <f>Table_246[[#This Row],[QT]]*Table_246[[#This Row],[Custo 
Un]]</f>
        <v>5</v>
      </c>
      <c r="I169" s="52">
        <v>15</v>
      </c>
      <c r="J169" s="263">
        <f t="shared" si="9"/>
        <v>15</v>
      </c>
      <c r="K169" s="10">
        <f t="shared" si="10"/>
        <v>15</v>
      </c>
      <c r="L169" s="50">
        <f>Table_246[[#This Row],[Valor da 
venda]]-Table_246[[#This Row],[Valor gasto]]</f>
        <v>10</v>
      </c>
      <c r="M169" s="111">
        <f t="shared" si="11"/>
        <v>0.66666666666666663</v>
      </c>
      <c r="N169" s="52" t="s">
        <v>20</v>
      </c>
      <c r="O169" t="str">
        <f>IF([1]!Table_246[[#This Row],[Coluna2]]&gt;0.5, "🔥 Excelente", IF([1]!Table_246[[#This Row],[Coluna2]]&gt;0.4, "👍 Bom", "⚠️ Baixo"))</f>
        <v>⚠️ Baixo</v>
      </c>
    </row>
    <row r="170" spans="1:15" ht="15.75" customHeight="1">
      <c r="A170" s="28">
        <f>IF(Table_246[[#This Row],[Data]]="","",MONTH(Table_246[[#This Row],[Data]]))</f>
        <v>3</v>
      </c>
      <c r="B170" s="32">
        <v>46084</v>
      </c>
      <c r="C170" s="36" t="s">
        <v>2100</v>
      </c>
      <c r="D170" s="43">
        <v>2</v>
      </c>
      <c r="E170" s="48" t="s">
        <v>2101</v>
      </c>
      <c r="F170" s="48" t="s">
        <v>555</v>
      </c>
      <c r="G170" s="49">
        <v>140</v>
      </c>
      <c r="H170" s="10">
        <f>Table_246[[#This Row],[QT]]*Table_246[[#This Row],[Custo 
Un]]</f>
        <v>280</v>
      </c>
      <c r="I170" s="52">
        <v>200</v>
      </c>
      <c r="J170" s="263">
        <f t="shared" si="9"/>
        <v>400</v>
      </c>
      <c r="K170" s="10">
        <f t="shared" si="10"/>
        <v>400</v>
      </c>
      <c r="L170" s="50">
        <f>Table_246[[#This Row],[Valor da 
venda]]-Table_246[[#This Row],[Valor gasto]]</f>
        <v>120</v>
      </c>
      <c r="M170" s="111">
        <f t="shared" si="11"/>
        <v>0.3</v>
      </c>
      <c r="N170" s="52" t="s">
        <v>20</v>
      </c>
      <c r="O170" t="str">
        <f>IF([1]!Table_246[[#This Row],[Coluna2]]&gt;0.5, "🔥 Excelente", IF([1]!Table_246[[#This Row],[Coluna2]]&gt;0.4, "👍 Bom", "⚠️ Baixo"))</f>
        <v>⚠️ Baixo</v>
      </c>
    </row>
    <row r="171" spans="1:15" ht="15.75" customHeight="1">
      <c r="A171" s="28">
        <f>IF(Table_246[[#This Row],[Data]]="","",MONTH(Table_246[[#This Row],[Data]]))</f>
        <v>3</v>
      </c>
      <c r="B171" s="32">
        <v>46084</v>
      </c>
      <c r="C171" s="36" t="s">
        <v>2102</v>
      </c>
      <c r="D171" s="43">
        <v>1</v>
      </c>
      <c r="E171" s="48" t="s">
        <v>2101</v>
      </c>
      <c r="F171" s="48" t="s">
        <v>555</v>
      </c>
      <c r="G171" s="49">
        <v>90</v>
      </c>
      <c r="H171" s="10">
        <f>Table_246[[#This Row],[QT]]*Table_246[[#This Row],[Custo 
Un]]</f>
        <v>90</v>
      </c>
      <c r="I171" s="52">
        <v>150</v>
      </c>
      <c r="J171" s="263">
        <f t="shared" si="9"/>
        <v>150</v>
      </c>
      <c r="K171" s="10">
        <f t="shared" si="10"/>
        <v>150</v>
      </c>
      <c r="L171" s="50">
        <f>Table_246[[#This Row],[Valor da 
venda]]-Table_246[[#This Row],[Valor gasto]]</f>
        <v>60</v>
      </c>
      <c r="M171" s="111">
        <f t="shared" si="11"/>
        <v>0.4</v>
      </c>
      <c r="N171" s="52" t="s">
        <v>20</v>
      </c>
      <c r="O171" t="str">
        <f>IF([1]!Table_246[[#This Row],[Coluna2]]&gt;0.5, "🔥 Excelente", IF([1]!Table_246[[#This Row],[Coluna2]]&gt;0.4, "👍 Bom", "⚠️ Baixo"))</f>
        <v>⚠️ Baixo</v>
      </c>
    </row>
    <row r="172" spans="1:15" ht="15.75" customHeight="1">
      <c r="A172" s="28">
        <f>IF(Table_246[[#This Row],[Data]]="","",MONTH(Table_246[[#This Row],[Data]]))</f>
        <v>3</v>
      </c>
      <c r="B172" s="32">
        <v>46084</v>
      </c>
      <c r="C172" s="36" t="s">
        <v>2103</v>
      </c>
      <c r="D172" s="43">
        <v>3</v>
      </c>
      <c r="E172" s="48" t="s">
        <v>2101</v>
      </c>
      <c r="F172" s="48" t="s">
        <v>555</v>
      </c>
      <c r="G172" s="49">
        <v>45</v>
      </c>
      <c r="H172" s="10">
        <f>Table_246[[#This Row],[QT]]*Table_246[[#This Row],[Custo 
Un]]</f>
        <v>135</v>
      </c>
      <c r="I172" s="52">
        <v>55</v>
      </c>
      <c r="J172" s="263">
        <f t="shared" si="9"/>
        <v>165</v>
      </c>
      <c r="K172" s="10">
        <f t="shared" si="10"/>
        <v>165</v>
      </c>
      <c r="L172" s="50">
        <f>Table_246[[#This Row],[Valor da 
venda]]-Table_246[[#This Row],[Valor gasto]]</f>
        <v>30</v>
      </c>
      <c r="M172" s="111">
        <f t="shared" si="11"/>
        <v>0.18181818181818182</v>
      </c>
      <c r="N172" s="52" t="s">
        <v>20</v>
      </c>
      <c r="O172" t="str">
        <f>IF([1]!Table_246[[#This Row],[Coluna2]]&gt;0.5, "🔥 Excelente", IF([1]!Table_246[[#This Row],[Coluna2]]&gt;0.4, "👍 Bom", "⚠️ Baixo"))</f>
        <v>⚠️ Baixo</v>
      </c>
    </row>
    <row r="173" spans="1:15" ht="15.75" customHeight="1">
      <c r="A173" s="28">
        <f>IF(Table_246[[#This Row],[Data]]="","",MONTH(Table_246[[#This Row],[Data]]))</f>
        <v>3</v>
      </c>
      <c r="B173" s="32">
        <v>46085</v>
      </c>
      <c r="C173" s="36" t="s">
        <v>2104</v>
      </c>
      <c r="D173" s="43">
        <v>1</v>
      </c>
      <c r="E173" s="48" t="s">
        <v>1008</v>
      </c>
      <c r="F173" s="48" t="s">
        <v>555</v>
      </c>
      <c r="G173" s="49" t="str">
        <f>IFERROR(VLOOKUP(C173,PROD!$A$2:$E$1204,5,0),"0")</f>
        <v>0</v>
      </c>
      <c r="H173" s="10">
        <f>Table_246[[#This Row],[QT]]*Table_246[[#This Row],[Custo 
Un]]</f>
        <v>0</v>
      </c>
      <c r="I173" s="52">
        <v>8</v>
      </c>
      <c r="J173" s="263">
        <f t="shared" si="9"/>
        <v>8</v>
      </c>
      <c r="K173" s="10">
        <f t="shared" si="10"/>
        <v>8</v>
      </c>
      <c r="L173" s="50">
        <f>Table_246[[#This Row],[Valor da 
venda]]-Table_246[[#This Row],[Valor gasto]]</f>
        <v>8</v>
      </c>
      <c r="M173" s="111">
        <f t="shared" si="11"/>
        <v>1</v>
      </c>
      <c r="N173" s="52" t="s">
        <v>20</v>
      </c>
      <c r="O173" t="str">
        <f>IF([1]!Table_246[[#This Row],[Coluna2]]&gt;0.5, "🔥 Excelente", IF([1]!Table_246[[#This Row],[Coluna2]]&gt;0.4, "👍 Bom", "⚠️ Baixo"))</f>
        <v>⚠️ Baixo</v>
      </c>
    </row>
    <row r="174" spans="1:15" ht="15.75" customHeight="1">
      <c r="A174" s="28">
        <f>IF(Table_246[[#This Row],[Data]]="","",MONTH(Table_246[[#This Row],[Data]]))</f>
        <v>3</v>
      </c>
      <c r="B174" s="32">
        <v>46087</v>
      </c>
      <c r="C174" s="36" t="s">
        <v>146</v>
      </c>
      <c r="D174" s="43">
        <v>1</v>
      </c>
      <c r="E174" s="48" t="s">
        <v>1008</v>
      </c>
      <c r="F174" s="48" t="s">
        <v>555</v>
      </c>
      <c r="G174" s="49">
        <f>IFERROR(VLOOKUP(C174,PROD!$A$2:$E$1204,5,0),"0")</f>
        <v>7.0000000000000007E-2</v>
      </c>
      <c r="H174" s="10">
        <f>Table_246[[#This Row],[QT]]*Table_246[[#This Row],[Custo 
Un]]</f>
        <v>7.0000000000000007E-2</v>
      </c>
      <c r="I174" s="52">
        <v>1</v>
      </c>
      <c r="J174" s="263">
        <f t="shared" si="9"/>
        <v>1</v>
      </c>
      <c r="K174" s="10">
        <f t="shared" si="10"/>
        <v>1</v>
      </c>
      <c r="L174" s="50">
        <f>Table_246[[#This Row],[Valor da 
venda]]-Table_246[[#This Row],[Valor gasto]]</f>
        <v>0.92999999999999994</v>
      </c>
      <c r="M174" s="111">
        <f t="shared" si="11"/>
        <v>0.92999999999999994</v>
      </c>
      <c r="N174" s="52" t="s">
        <v>20</v>
      </c>
      <c r="O174" t="str">
        <f>IF([1]!Table_246[[#This Row],[Coluna2]]&gt;0.5, "🔥 Excelente", IF([1]!Table_246[[#This Row],[Coluna2]]&gt;0.4, "👍 Bom", "⚠️ Baixo"))</f>
        <v>⚠️ Baixo</v>
      </c>
    </row>
    <row r="175" spans="1:15" ht="15.75" customHeight="1">
      <c r="A175" s="28">
        <f>IF(Table_246[[#This Row],[Data]]="","",MONTH(Table_246[[#This Row],[Data]]))</f>
        <v>3</v>
      </c>
      <c r="B175" s="32">
        <v>46087</v>
      </c>
      <c r="C175" s="36" t="s">
        <v>2105</v>
      </c>
      <c r="D175" s="43">
        <v>1</v>
      </c>
      <c r="E175" s="48" t="s">
        <v>893</v>
      </c>
      <c r="F175" s="48" t="s">
        <v>555</v>
      </c>
      <c r="G175" s="49" t="str">
        <f>IFERROR(VLOOKUP(C175,PROD!$A$2:$E$1204,5,0),"0")</f>
        <v>0</v>
      </c>
      <c r="H175" s="10">
        <f>Table_246[[#This Row],[QT]]*Table_246[[#This Row],[Custo 
Un]]</f>
        <v>0</v>
      </c>
      <c r="I175" s="52">
        <v>80</v>
      </c>
      <c r="J175" s="263">
        <f t="shared" si="9"/>
        <v>80</v>
      </c>
      <c r="K175" s="10">
        <f t="shared" si="10"/>
        <v>80</v>
      </c>
      <c r="L175" s="50">
        <f>Table_246[[#This Row],[Valor da 
venda]]-Table_246[[#This Row],[Valor gasto]]</f>
        <v>80</v>
      </c>
      <c r="M175" s="111">
        <f t="shared" si="11"/>
        <v>1</v>
      </c>
      <c r="N175" s="52" t="s">
        <v>20</v>
      </c>
      <c r="O175" t="str">
        <f>IF([1]!Table_246[[#This Row],[Coluna2]]&gt;0.5, "🔥 Excelente", IF([1]!Table_246[[#This Row],[Coluna2]]&gt;0.4, "👍 Bom", "⚠️ Baixo"))</f>
        <v>⚠️ Baixo</v>
      </c>
    </row>
    <row r="176" spans="1:15" ht="15.75" customHeight="1">
      <c r="A176" s="28">
        <f>IF(Table_246[[#This Row],[Data]]="","",MONTH(Table_246[[#This Row],[Data]]))</f>
        <v>3</v>
      </c>
      <c r="B176" s="32">
        <v>46088</v>
      </c>
      <c r="C176" s="36" t="s">
        <v>2106</v>
      </c>
      <c r="D176" s="43">
        <v>1</v>
      </c>
      <c r="E176" s="48" t="s">
        <v>2107</v>
      </c>
      <c r="F176" s="48" t="s">
        <v>2107</v>
      </c>
      <c r="G176" s="49" t="str">
        <f>IFERROR(VLOOKUP(C176,PROD!$A$2:$E$1204,5,0),"0")</f>
        <v>0</v>
      </c>
      <c r="H176" s="10">
        <f>Table_246[[#This Row],[QT]]*Table_246[[#This Row],[Custo 
Un]]</f>
        <v>0</v>
      </c>
      <c r="I176" s="52">
        <v>150</v>
      </c>
      <c r="J176" s="263">
        <f t="shared" si="9"/>
        <v>150</v>
      </c>
      <c r="K176" s="10">
        <f t="shared" si="10"/>
        <v>150</v>
      </c>
      <c r="L176" s="50">
        <f>Table_246[[#This Row],[Valor da 
venda]]-Table_246[[#This Row],[Valor gasto]]</f>
        <v>150</v>
      </c>
      <c r="M176" s="111">
        <f t="shared" si="11"/>
        <v>1</v>
      </c>
      <c r="N176" s="52" t="s">
        <v>20</v>
      </c>
      <c r="O176" t="str">
        <f>IF([1]!Table_246[[#This Row],[Coluna2]]&gt;0.5, "🔥 Excelente", IF([1]!Table_246[[#This Row],[Coluna2]]&gt;0.4, "👍 Bom", "⚠️ Baixo"))</f>
        <v>⚠️ Baixo</v>
      </c>
    </row>
    <row r="177" spans="1:15" ht="15.75" customHeight="1">
      <c r="A177" s="28">
        <f>IF(Table_246[[#This Row],[Data]]="","",MONTH(Table_246[[#This Row],[Data]]))</f>
        <v>3</v>
      </c>
      <c r="B177" s="32">
        <v>46088</v>
      </c>
      <c r="C177" s="36" t="s">
        <v>992</v>
      </c>
      <c r="D177" s="43">
        <v>1</v>
      </c>
      <c r="E177" s="48" t="s">
        <v>747</v>
      </c>
      <c r="F177" s="48" t="s">
        <v>555</v>
      </c>
      <c r="G177" s="49">
        <f>IFERROR(VLOOKUP(C177,PROD!$A$2:$E$1204,5,0),"0")</f>
        <v>15</v>
      </c>
      <c r="H177" s="10">
        <f>Table_246[[#This Row],[QT]]*Table_246[[#This Row],[Custo 
Un]]</f>
        <v>15</v>
      </c>
      <c r="I177" s="52">
        <v>50</v>
      </c>
      <c r="J177" s="263">
        <f t="shared" si="9"/>
        <v>50</v>
      </c>
      <c r="K177" s="10">
        <f t="shared" si="10"/>
        <v>50</v>
      </c>
      <c r="L177" s="50">
        <f>Table_246[[#This Row],[Valor da 
venda]]-Table_246[[#This Row],[Valor gasto]]</f>
        <v>35</v>
      </c>
      <c r="M177" s="111">
        <f t="shared" si="11"/>
        <v>0.7</v>
      </c>
      <c r="N177" s="52" t="s">
        <v>20</v>
      </c>
      <c r="O177" t="str">
        <f>IF([1]!Table_246[[#This Row],[Coluna2]]&gt;0.5, "🔥 Excelente", IF([1]!Table_246[[#This Row],[Coluna2]]&gt;0.4, "👍 Bom", "⚠️ Baixo"))</f>
        <v>⚠️ Baixo</v>
      </c>
    </row>
    <row r="178" spans="1:15" ht="15.75" customHeight="1">
      <c r="A178" s="28">
        <f>IF(Table_246[[#This Row],[Data]]="","",MONTH(Table_246[[#This Row],[Data]]))</f>
        <v>3</v>
      </c>
      <c r="B178" s="32">
        <v>46088</v>
      </c>
      <c r="C178" s="109" t="s">
        <v>1201</v>
      </c>
      <c r="D178" s="43">
        <v>1</v>
      </c>
      <c r="E178" s="48" t="s">
        <v>2108</v>
      </c>
      <c r="F178" s="48" t="s">
        <v>1016</v>
      </c>
      <c r="G178" s="49">
        <f>IFERROR(VLOOKUP(C178,PROD!$A$2:$E$1204,5,0),"0")</f>
        <v>0.7</v>
      </c>
      <c r="H178" s="10">
        <f>Table_246[[#This Row],[QT]]*Table_246[[#This Row],[Custo 
Un]]</f>
        <v>0.7</v>
      </c>
      <c r="I178" s="52">
        <v>8.99</v>
      </c>
      <c r="J178" s="263">
        <f t="shared" si="9"/>
        <v>8.99</v>
      </c>
      <c r="K178" s="10">
        <f t="shared" si="10"/>
        <v>8.99</v>
      </c>
      <c r="L178" s="50">
        <f>Table_246[[#This Row],[Valor da 
venda]]-Table_246[[#This Row],[Valor gasto]]</f>
        <v>8.2900000000000009</v>
      </c>
      <c r="M178" s="111">
        <f t="shared" si="11"/>
        <v>0.92213570634037823</v>
      </c>
      <c r="N178" s="52" t="s">
        <v>20</v>
      </c>
      <c r="O178" t="str">
        <f>IF([1]!Table_246[[#This Row],[Coluna2]]&gt;0.5, "🔥 Excelente", IF([1]!Table_246[[#This Row],[Coluna2]]&gt;0.4, "👍 Bom", "⚠️ Baixo"))</f>
        <v>⚠️ Baixo</v>
      </c>
    </row>
    <row r="179" spans="1:15" ht="15.75" customHeight="1">
      <c r="A179" s="28">
        <f>IF(Table_246[[#This Row],[Data]]="","",MONTH(Table_246[[#This Row],[Data]]))</f>
        <v>3</v>
      </c>
      <c r="B179" s="32">
        <v>46088</v>
      </c>
      <c r="C179" s="109" t="s">
        <v>1201</v>
      </c>
      <c r="D179" s="43">
        <v>2</v>
      </c>
      <c r="E179" s="48" t="s">
        <v>2109</v>
      </c>
      <c r="F179" s="48" t="s">
        <v>1016</v>
      </c>
      <c r="G179" s="49">
        <f>IFERROR(VLOOKUP(C179,PROD!$A$2:$E$1204,5,0),"0")</f>
        <v>0.7</v>
      </c>
      <c r="H179" s="10">
        <f>Table_246[[#This Row],[QT]]*Table_246[[#This Row],[Custo 
Un]]</f>
        <v>1.4</v>
      </c>
      <c r="I179" s="52">
        <v>8.99</v>
      </c>
      <c r="J179" s="263">
        <f t="shared" si="9"/>
        <v>17.98</v>
      </c>
      <c r="K179" s="10">
        <f t="shared" si="10"/>
        <v>17.98</v>
      </c>
      <c r="L179" s="50">
        <f>Table_246[[#This Row],[Valor da 
venda]]-Table_246[[#This Row],[Valor gasto]]</f>
        <v>16.580000000000002</v>
      </c>
      <c r="M179" s="111">
        <f t="shared" si="11"/>
        <v>0.92213570634037823</v>
      </c>
      <c r="N179" s="52" t="s">
        <v>20</v>
      </c>
      <c r="O179" t="str">
        <f>IF([1]!Table_246[[#This Row],[Coluna2]]&gt;0.5, "🔥 Excelente", IF([1]!Table_246[[#This Row],[Coluna2]]&gt;0.4, "👍 Bom", "⚠️ Baixo"))</f>
        <v>⚠️ Baixo</v>
      </c>
    </row>
    <row r="180" spans="1:15" ht="15.75" customHeight="1">
      <c r="A180" s="28">
        <f>IF(Table_246[[#This Row],[Data]]="","",MONTH(Table_246[[#This Row],[Data]]))</f>
        <v>3</v>
      </c>
      <c r="B180" s="32">
        <v>46091</v>
      </c>
      <c r="C180" s="36" t="s">
        <v>97</v>
      </c>
      <c r="D180" s="43">
        <v>1</v>
      </c>
      <c r="E180" s="48" t="s">
        <v>2110</v>
      </c>
      <c r="F180" s="48" t="s">
        <v>555</v>
      </c>
      <c r="G180" s="49">
        <f>IFERROR(VLOOKUP(C180,PROD!$A$2:$E$1204,5,0),"0")</f>
        <v>3</v>
      </c>
      <c r="H180" s="10">
        <f>Table_246[[#This Row],[QT]]*Table_246[[#This Row],[Custo 
Un]]</f>
        <v>3</v>
      </c>
      <c r="I180" s="52">
        <v>15</v>
      </c>
      <c r="J180" s="263">
        <f t="shared" si="9"/>
        <v>15</v>
      </c>
      <c r="K180" s="10">
        <f t="shared" si="10"/>
        <v>15</v>
      </c>
      <c r="L180" s="50">
        <f>Table_246[[#This Row],[Valor da 
venda]]-Table_246[[#This Row],[Valor gasto]]</f>
        <v>12</v>
      </c>
      <c r="M180" s="111">
        <f t="shared" si="11"/>
        <v>0.8</v>
      </c>
      <c r="N180" s="52" t="s">
        <v>20</v>
      </c>
      <c r="O180" t="str">
        <f>IF([1]!Table_246[[#This Row],[Coluna2]]&gt;0.5, "🔥 Excelente", IF([1]!Table_246[[#This Row],[Coluna2]]&gt;0.4, "👍 Bom", "⚠️ Baixo"))</f>
        <v>⚠️ Baixo</v>
      </c>
    </row>
    <row r="181" spans="1:15" ht="15.75" customHeight="1">
      <c r="A181" s="28">
        <f>IF(Table_246[[#This Row],[Data]]="","",MONTH(Table_246[[#This Row],[Data]]))</f>
        <v>3</v>
      </c>
      <c r="B181" s="32">
        <v>46091</v>
      </c>
      <c r="C181" s="36" t="s">
        <v>2111</v>
      </c>
      <c r="D181" s="43">
        <v>1</v>
      </c>
      <c r="E181" s="48" t="s">
        <v>1008</v>
      </c>
      <c r="F181" s="48" t="s">
        <v>555</v>
      </c>
      <c r="G181" s="49">
        <v>5</v>
      </c>
      <c r="H181" s="10">
        <f>Table_246[[#This Row],[QT]]*Table_246[[#This Row],[Custo 
Un]]</f>
        <v>5</v>
      </c>
      <c r="I181" s="52">
        <v>15</v>
      </c>
      <c r="J181" s="263">
        <f t="shared" si="9"/>
        <v>15</v>
      </c>
      <c r="K181" s="10">
        <f t="shared" si="10"/>
        <v>15</v>
      </c>
      <c r="L181" s="50">
        <f>Table_246[[#This Row],[Valor da 
venda]]-Table_246[[#This Row],[Valor gasto]]</f>
        <v>10</v>
      </c>
      <c r="M181" s="111">
        <f t="shared" si="11"/>
        <v>0.66666666666666663</v>
      </c>
      <c r="N181" s="52" t="s">
        <v>20</v>
      </c>
      <c r="O181" t="str">
        <f>IF([1]!Table_246[[#This Row],[Coluna2]]&gt;0.5, "🔥 Excelente", IF([1]!Table_246[[#This Row],[Coluna2]]&gt;0.4, "👍 Bom", "⚠️ Baixo"))</f>
        <v>⚠️ Baixo</v>
      </c>
    </row>
    <row r="182" spans="1:15" ht="15.75" customHeight="1">
      <c r="A182" s="28">
        <f>IF(Table_246[[#This Row],[Data]]="","",MONTH(Table_246[[#This Row],[Data]]))</f>
        <v>3</v>
      </c>
      <c r="B182" s="32">
        <v>46092</v>
      </c>
      <c r="C182" s="36" t="s">
        <v>274</v>
      </c>
      <c r="D182" s="43">
        <v>1</v>
      </c>
      <c r="E182" s="48" t="s">
        <v>1008</v>
      </c>
      <c r="F182" s="48" t="s">
        <v>555</v>
      </c>
      <c r="G182" s="49">
        <f>IFERROR(VLOOKUP(C182,PROD!$A$2:$E$1204,5,0),"0")</f>
        <v>0</v>
      </c>
      <c r="H182" s="10">
        <f>Table_246[[#This Row],[QT]]*Table_246[[#This Row],[Custo 
Un]]</f>
        <v>0</v>
      </c>
      <c r="I182" s="52">
        <v>15</v>
      </c>
      <c r="J182" s="263">
        <f t="shared" si="9"/>
        <v>15</v>
      </c>
      <c r="K182" s="10">
        <f t="shared" si="10"/>
        <v>15</v>
      </c>
      <c r="L182" s="50">
        <f>Table_246[[#This Row],[Valor da 
venda]]-Table_246[[#This Row],[Valor gasto]]</f>
        <v>15</v>
      </c>
      <c r="M182" s="111">
        <f t="shared" si="11"/>
        <v>1</v>
      </c>
      <c r="N182" s="52" t="s">
        <v>20</v>
      </c>
      <c r="O182" t="str">
        <f>IF([1]!Table_246[[#This Row],[Coluna2]]&gt;0.5, "🔥 Excelente", IF([1]!Table_246[[#This Row],[Coluna2]]&gt;0.4, "👍 Bom", "⚠️ Baixo"))</f>
        <v>⚠️ Baixo</v>
      </c>
    </row>
    <row r="183" spans="1:15" ht="15.75" customHeight="1">
      <c r="A183" s="28">
        <f>IF(Table_246[[#This Row],[Data]]="","",MONTH(Table_246[[#This Row],[Data]]))</f>
        <v>3</v>
      </c>
      <c r="B183" s="32">
        <v>46092</v>
      </c>
      <c r="C183" s="109" t="s">
        <v>1047</v>
      </c>
      <c r="D183" s="43">
        <v>1</v>
      </c>
      <c r="E183" s="48" t="s">
        <v>2112</v>
      </c>
      <c r="F183" s="48" t="s">
        <v>22</v>
      </c>
      <c r="G183" s="49">
        <f>IFERROR(VLOOKUP(C183,PROD!$A$2:$E$1204,5,0),"0")</f>
        <v>0.7</v>
      </c>
      <c r="H183" s="10">
        <f>Table_246[[#This Row],[QT]]*Table_246[[#This Row],[Custo 
Un]]</f>
        <v>0.7</v>
      </c>
      <c r="I183" s="52">
        <v>7.02</v>
      </c>
      <c r="J183" s="263">
        <f t="shared" si="9"/>
        <v>7.02</v>
      </c>
      <c r="K183" s="10">
        <f t="shared" si="10"/>
        <v>7.02</v>
      </c>
      <c r="L183" s="50">
        <f>Table_246[[#This Row],[Valor da 
venda]]-Table_246[[#This Row],[Valor gasto]]</f>
        <v>6.3199999999999994</v>
      </c>
      <c r="M183" s="111">
        <f t="shared" si="11"/>
        <v>0.90028490028490027</v>
      </c>
      <c r="N183" s="52" t="s">
        <v>20</v>
      </c>
      <c r="O183" t="str">
        <f>IF([1]!Table_246[[#This Row],[Coluna2]]&gt;0.5, "🔥 Excelente", IF([1]!Table_246[[#This Row],[Coluna2]]&gt;0.4, "👍 Bom", "⚠️ Baixo"))</f>
        <v>⚠️ Baixo</v>
      </c>
    </row>
    <row r="184" spans="1:15" ht="15.75" customHeight="1">
      <c r="A184" s="28">
        <f>IF(Table_246[[#This Row],[Data]]="","",MONTH(Table_246[[#This Row],[Data]]))</f>
        <v>3</v>
      </c>
      <c r="B184" s="32">
        <v>46092</v>
      </c>
      <c r="C184" s="109" t="s">
        <v>1047</v>
      </c>
      <c r="D184" s="43">
        <v>1</v>
      </c>
      <c r="E184" s="48" t="s">
        <v>2113</v>
      </c>
      <c r="F184" s="48" t="s">
        <v>22</v>
      </c>
      <c r="G184" s="49">
        <f>IFERROR(VLOOKUP(C184,PROD!$A$2:$E$1204,5,0),"0")</f>
        <v>0.7</v>
      </c>
      <c r="H184" s="10">
        <f>Table_246[[#This Row],[QT]]*Table_246[[#This Row],[Custo 
Un]]</f>
        <v>0.7</v>
      </c>
      <c r="I184" s="52">
        <v>5.5</v>
      </c>
      <c r="J184" s="263">
        <f t="shared" si="9"/>
        <v>5.5</v>
      </c>
      <c r="K184" s="10">
        <f t="shared" si="10"/>
        <v>5.5</v>
      </c>
      <c r="L184" s="50">
        <f>Table_246[[#This Row],[Valor da 
venda]]-Table_246[[#This Row],[Valor gasto]]</f>
        <v>4.8</v>
      </c>
      <c r="M184" s="111">
        <f t="shared" si="11"/>
        <v>0.87272727272727268</v>
      </c>
      <c r="N184" s="52" t="s">
        <v>20</v>
      </c>
      <c r="O184" t="str">
        <f>IF([1]!Table_246[[#This Row],[Coluna2]]&gt;0.5, "🔥 Excelente", IF([1]!Table_246[[#This Row],[Coluna2]]&gt;0.4, "👍 Bom", "⚠️ Baixo"))</f>
        <v>⚠️ Baixo</v>
      </c>
    </row>
    <row r="185" spans="1:15" ht="15.75" customHeight="1">
      <c r="A185" s="28">
        <f>IF(Table_246[[#This Row],[Data]]="","",MONTH(Table_246[[#This Row],[Data]]))</f>
        <v>3</v>
      </c>
      <c r="B185" s="32">
        <v>46093</v>
      </c>
      <c r="C185" s="109" t="s">
        <v>1047</v>
      </c>
      <c r="D185" s="43">
        <v>1</v>
      </c>
      <c r="E185" s="48" t="s">
        <v>2114</v>
      </c>
      <c r="F185" s="48" t="s">
        <v>22</v>
      </c>
      <c r="G185" s="49">
        <f>IFERROR(VLOOKUP(C185,PROD!$A$2:$E$1204,5,0),"0")</f>
        <v>0.7</v>
      </c>
      <c r="H185" s="10">
        <f>Table_246[[#This Row],[QT]]*Table_246[[#This Row],[Custo 
Un]]</f>
        <v>0.7</v>
      </c>
      <c r="I185" s="52">
        <v>5.5</v>
      </c>
      <c r="J185" s="263">
        <f t="shared" si="9"/>
        <v>5.5</v>
      </c>
      <c r="K185" s="10">
        <f t="shared" si="10"/>
        <v>5.5</v>
      </c>
      <c r="L185" s="50">
        <f>Table_246[[#This Row],[Valor da 
venda]]-Table_246[[#This Row],[Valor gasto]]</f>
        <v>4.8</v>
      </c>
      <c r="M185" s="111">
        <f t="shared" si="11"/>
        <v>0.87272727272727268</v>
      </c>
      <c r="N185" s="52" t="s">
        <v>20</v>
      </c>
      <c r="O185" t="str">
        <f>IF([1]!Table_246[[#This Row],[Coluna2]]&gt;0.5, "🔥 Excelente", IF([1]!Table_246[[#This Row],[Coluna2]]&gt;0.4, "👍 Bom", "⚠️ Baixo"))</f>
        <v>⚠️ Baixo</v>
      </c>
    </row>
    <row r="186" spans="1:15" ht="15.75" customHeight="1">
      <c r="A186" s="28">
        <f>IF(Table_246[[#This Row],[Data]]="","",MONTH(Table_246[[#This Row],[Data]]))</f>
        <v>3</v>
      </c>
      <c r="B186" s="32">
        <v>46093</v>
      </c>
      <c r="C186" s="109" t="s">
        <v>1047</v>
      </c>
      <c r="D186" s="43">
        <v>1</v>
      </c>
      <c r="E186" s="48" t="s">
        <v>2115</v>
      </c>
      <c r="F186" s="48" t="s">
        <v>22</v>
      </c>
      <c r="G186" s="49">
        <f>IFERROR(VLOOKUP(C186,PROD!$A$2:$E$1204,5,0),"0")</f>
        <v>0.7</v>
      </c>
      <c r="H186" s="10">
        <f>Table_246[[#This Row],[QT]]*Table_246[[#This Row],[Custo 
Un]]</f>
        <v>0.7</v>
      </c>
      <c r="I186" s="52">
        <v>5.5</v>
      </c>
      <c r="J186" s="263">
        <f t="shared" si="9"/>
        <v>5.5</v>
      </c>
      <c r="K186" s="10">
        <f t="shared" si="10"/>
        <v>5.5</v>
      </c>
      <c r="L186" s="50">
        <f>Table_246[[#This Row],[Valor da 
venda]]-Table_246[[#This Row],[Valor gasto]]</f>
        <v>4.8</v>
      </c>
      <c r="M186" s="111">
        <f t="shared" si="11"/>
        <v>0.87272727272727268</v>
      </c>
      <c r="N186" s="52" t="s">
        <v>20</v>
      </c>
      <c r="O186" t="str">
        <f>IF([1]!Table_246[[#This Row],[Coluna2]]&gt;0.5, "🔥 Excelente", IF([1]!Table_246[[#This Row],[Coluna2]]&gt;0.4, "👍 Bom", "⚠️ Baixo"))</f>
        <v>⚠️ Baixo</v>
      </c>
    </row>
    <row r="187" spans="1:15" ht="15.75" customHeight="1">
      <c r="A187" s="28">
        <f>IF(Table_246[[#This Row],[Data]]="","",MONTH(Table_246[[#This Row],[Data]]))</f>
        <v>3</v>
      </c>
      <c r="B187" s="32">
        <v>46093</v>
      </c>
      <c r="C187" s="109" t="s">
        <v>1047</v>
      </c>
      <c r="D187" s="43">
        <v>1</v>
      </c>
      <c r="E187" s="48" t="s">
        <v>2116</v>
      </c>
      <c r="F187" s="48" t="s">
        <v>22</v>
      </c>
      <c r="G187" s="49">
        <f>IFERROR(VLOOKUP(C187,PROD!$A$2:$E$1204,5,0),"0")</f>
        <v>0.7</v>
      </c>
      <c r="H187" s="10">
        <f>Table_246[[#This Row],[QT]]*Table_246[[#This Row],[Custo 
Un]]</f>
        <v>0.7</v>
      </c>
      <c r="I187" s="52">
        <v>5.5</v>
      </c>
      <c r="J187" s="263">
        <f t="shared" si="9"/>
        <v>5.5</v>
      </c>
      <c r="K187" s="10">
        <f t="shared" si="10"/>
        <v>5.5</v>
      </c>
      <c r="L187" s="50">
        <f>Table_246[[#This Row],[Valor da 
venda]]-Table_246[[#This Row],[Valor gasto]]</f>
        <v>4.8</v>
      </c>
      <c r="M187" s="111">
        <f t="shared" si="11"/>
        <v>0.87272727272727268</v>
      </c>
      <c r="N187" s="52" t="s">
        <v>20</v>
      </c>
      <c r="O187" t="str">
        <f>IF([1]!Table_246[[#This Row],[Coluna2]]&gt;0.5, "🔥 Excelente", IF([1]!Table_246[[#This Row],[Coluna2]]&gt;0.4, "👍 Bom", "⚠️ Baixo"))</f>
        <v>⚠️ Baixo</v>
      </c>
    </row>
    <row r="188" spans="1:15" ht="15.75" customHeight="1">
      <c r="A188" s="28">
        <f>IF(Table_246[[#This Row],[Data]]="","",MONTH(Table_246[[#This Row],[Data]]))</f>
        <v>3</v>
      </c>
      <c r="B188" s="32">
        <v>46093</v>
      </c>
      <c r="C188" s="109" t="s">
        <v>1047</v>
      </c>
      <c r="D188" s="43">
        <v>1</v>
      </c>
      <c r="E188" s="48" t="s">
        <v>2117</v>
      </c>
      <c r="F188" s="48" t="s">
        <v>22</v>
      </c>
      <c r="G188" s="49">
        <f>IFERROR(VLOOKUP(C188,PROD!$A$2:$E$1204,5,0),"0")</f>
        <v>0.7</v>
      </c>
      <c r="H188" s="10">
        <f>Table_246[[#This Row],[QT]]*Table_246[[#This Row],[Custo 
Un]]</f>
        <v>0.7</v>
      </c>
      <c r="I188" s="52">
        <v>5.5</v>
      </c>
      <c r="J188" s="263">
        <f t="shared" si="9"/>
        <v>5.5</v>
      </c>
      <c r="K188" s="10">
        <f t="shared" si="10"/>
        <v>5.5</v>
      </c>
      <c r="L188" s="50">
        <f>Table_246[[#This Row],[Valor da 
venda]]-Table_246[[#This Row],[Valor gasto]]</f>
        <v>4.8</v>
      </c>
      <c r="M188" s="111">
        <f t="shared" si="11"/>
        <v>0.87272727272727268</v>
      </c>
      <c r="N188" s="52" t="s">
        <v>20</v>
      </c>
      <c r="O188" t="str">
        <f>IF([1]!Table_246[[#This Row],[Coluna2]]&gt;0.5, "🔥 Excelente", IF([1]!Table_246[[#This Row],[Coluna2]]&gt;0.4, "👍 Bom", "⚠️ Baixo"))</f>
        <v>⚠️ Baixo</v>
      </c>
    </row>
    <row r="189" spans="1:15" ht="15.75" customHeight="1">
      <c r="A189" s="28">
        <f>IF(Table_246[[#This Row],[Data]]="","",MONTH(Table_246[[#This Row],[Data]]))</f>
        <v>3</v>
      </c>
      <c r="B189" s="32">
        <v>46093</v>
      </c>
      <c r="C189" s="109" t="s">
        <v>1047</v>
      </c>
      <c r="D189" s="43">
        <v>1</v>
      </c>
      <c r="E189" s="48" t="s">
        <v>2119</v>
      </c>
      <c r="F189" s="48" t="s">
        <v>22</v>
      </c>
      <c r="G189" s="49">
        <f>IFERROR(VLOOKUP(C189,PROD!$A$2:$E$1204,5,0),"0")</f>
        <v>0.7</v>
      </c>
      <c r="H189" s="10">
        <f>Table_246[[#This Row],[QT]]*Table_246[[#This Row],[Custo 
Un]]</f>
        <v>0.7</v>
      </c>
      <c r="I189" s="52">
        <v>5.5</v>
      </c>
      <c r="J189" s="263">
        <f t="shared" si="9"/>
        <v>5.5</v>
      </c>
      <c r="K189" s="10">
        <f t="shared" si="10"/>
        <v>5.5</v>
      </c>
      <c r="L189" s="50">
        <f>Table_246[[#This Row],[Valor da 
venda]]-Table_246[[#This Row],[Valor gasto]]</f>
        <v>4.8</v>
      </c>
      <c r="M189" s="111">
        <f t="shared" si="11"/>
        <v>0.87272727272727268</v>
      </c>
      <c r="N189" s="52" t="s">
        <v>20</v>
      </c>
      <c r="O189" t="str">
        <f>IF([1]!Table_246[[#This Row],[Coluna2]]&gt;0.5, "🔥 Excelente", IF([1]!Table_246[[#This Row],[Coluna2]]&gt;0.4, "👍 Bom", "⚠️ Baixo"))</f>
        <v>⚠️ Baixo</v>
      </c>
    </row>
    <row r="190" spans="1:15" ht="15.75" customHeight="1">
      <c r="A190" s="28">
        <f>IF(Table_246[[#This Row],[Data]]="","",MONTH(Table_246[[#This Row],[Data]]))</f>
        <v>3</v>
      </c>
      <c r="B190" s="32">
        <v>46094</v>
      </c>
      <c r="C190" s="109" t="s">
        <v>1047</v>
      </c>
      <c r="D190" s="43">
        <v>1</v>
      </c>
      <c r="E190" s="48" t="s">
        <v>2118</v>
      </c>
      <c r="F190" s="48" t="s">
        <v>22</v>
      </c>
      <c r="G190" s="49">
        <f>IFERROR(VLOOKUP(C190,PROD!$A$2:$E$1204,5,0),"0")</f>
        <v>0.7</v>
      </c>
      <c r="H190" s="10">
        <f>Table_246[[#This Row],[QT]]*Table_246[[#This Row],[Custo 
Un]]</f>
        <v>0.7</v>
      </c>
      <c r="I190" s="52">
        <v>5.5</v>
      </c>
      <c r="J190" s="263">
        <f t="shared" si="9"/>
        <v>5.5</v>
      </c>
      <c r="K190" s="10">
        <f t="shared" si="10"/>
        <v>5.5</v>
      </c>
      <c r="L190" s="50">
        <f>Table_246[[#This Row],[Valor da 
venda]]-Table_246[[#This Row],[Valor gasto]]</f>
        <v>4.8</v>
      </c>
      <c r="M190" s="111">
        <f t="shared" si="11"/>
        <v>0.87272727272727268</v>
      </c>
      <c r="N190" s="52" t="s">
        <v>20</v>
      </c>
      <c r="O190" t="str">
        <f>IF([1]!Table_246[[#This Row],[Coluna2]]&gt;0.5, "🔥 Excelente", IF([1]!Table_246[[#This Row],[Coluna2]]&gt;0.4, "👍 Bom", "⚠️ Baixo"))</f>
        <v>⚠️ Baixo</v>
      </c>
    </row>
    <row r="191" spans="1:15" ht="15.75" customHeight="1">
      <c r="A191" s="28">
        <f>IF(Table_246[[#This Row],[Data]]="","",MONTH(Table_246[[#This Row],[Data]]))</f>
        <v>3</v>
      </c>
      <c r="B191" s="32">
        <v>46094</v>
      </c>
      <c r="C191" s="109" t="s">
        <v>1047</v>
      </c>
      <c r="D191" s="43">
        <v>1</v>
      </c>
      <c r="E191" s="48" t="s">
        <v>2120</v>
      </c>
      <c r="F191" s="48" t="s">
        <v>22</v>
      </c>
      <c r="G191" s="49">
        <f>IFERROR(VLOOKUP(C191,PROD!$A$2:$E$1204,5,0),"0")</f>
        <v>0.7</v>
      </c>
      <c r="H191" s="10">
        <f>Table_246[[#This Row],[QT]]*Table_246[[#This Row],[Custo 
Un]]</f>
        <v>0.7</v>
      </c>
      <c r="I191" s="52">
        <v>5.5</v>
      </c>
      <c r="J191" s="263">
        <f t="shared" si="9"/>
        <v>5.5</v>
      </c>
      <c r="K191" s="10">
        <f t="shared" si="10"/>
        <v>5.5</v>
      </c>
      <c r="L191" s="50">
        <f>Table_246[[#This Row],[Valor da 
venda]]-Table_246[[#This Row],[Valor gasto]]</f>
        <v>4.8</v>
      </c>
      <c r="M191" s="111">
        <f t="shared" si="11"/>
        <v>0.87272727272727268</v>
      </c>
      <c r="N191" s="52" t="s">
        <v>20</v>
      </c>
      <c r="O191" t="str">
        <f>IF([1]!Table_246[[#This Row],[Coluna2]]&gt;0.5, "🔥 Excelente", IF([1]!Table_246[[#This Row],[Coluna2]]&gt;0.4, "👍 Bom", "⚠️ Baixo"))</f>
        <v>⚠️ Baixo</v>
      </c>
    </row>
    <row r="192" spans="1:15" ht="15.75" customHeight="1">
      <c r="A192" s="28">
        <f>IF(Table_246[[#This Row],[Data]]="","",MONTH(Table_246[[#This Row],[Data]]))</f>
        <v>3</v>
      </c>
      <c r="B192" s="32">
        <v>46094</v>
      </c>
      <c r="C192" s="109" t="s">
        <v>1047</v>
      </c>
      <c r="D192" s="43">
        <v>1</v>
      </c>
      <c r="E192" s="48" t="s">
        <v>2121</v>
      </c>
      <c r="F192" s="48" t="s">
        <v>22</v>
      </c>
      <c r="G192" s="49">
        <f>IFERROR(VLOOKUP(C192,PROD!$A$2:$E$1204,5,0),"0")</f>
        <v>0.7</v>
      </c>
      <c r="H192" s="10">
        <f>Table_246[[#This Row],[QT]]*Table_246[[#This Row],[Custo 
Un]]</f>
        <v>0.7</v>
      </c>
      <c r="I192" s="52">
        <v>5.5</v>
      </c>
      <c r="J192" s="263">
        <f t="shared" si="9"/>
        <v>5.5</v>
      </c>
      <c r="K192" s="10">
        <f t="shared" ref="K192:K249" si="12">I192*D192</f>
        <v>5.5</v>
      </c>
      <c r="L192" s="50">
        <f>Table_246[[#This Row],[Valor da 
venda]]-Table_246[[#This Row],[Valor gasto]]</f>
        <v>4.8</v>
      </c>
      <c r="M192" s="111">
        <f t="shared" si="11"/>
        <v>0.87272727272727268</v>
      </c>
      <c r="N192" s="52" t="s">
        <v>20</v>
      </c>
      <c r="O192" t="str">
        <f>IF([1]!Table_246[[#This Row],[Coluna2]]&gt;0.5, "🔥 Excelente", IF([1]!Table_246[[#This Row],[Coluna2]]&gt;0.4, "👍 Bom", "⚠️ Baixo"))</f>
        <v>⚠️ Baixo</v>
      </c>
    </row>
    <row r="193" spans="1:15" ht="15.75" customHeight="1">
      <c r="A193" s="28">
        <f>IF(Table_246[[#This Row],[Data]]="","",MONTH(Table_246[[#This Row],[Data]]))</f>
        <v>3</v>
      </c>
      <c r="B193" s="32">
        <v>46093</v>
      </c>
      <c r="C193" s="36" t="s">
        <v>2125</v>
      </c>
      <c r="D193" s="43">
        <v>1</v>
      </c>
      <c r="E193" s="48" t="s">
        <v>2123</v>
      </c>
      <c r="F193" s="48" t="s">
        <v>1016</v>
      </c>
      <c r="G193" s="49">
        <v>15</v>
      </c>
      <c r="H193" s="10">
        <f>Table_246[[#This Row],[QT]]*Table_246[[#This Row],[Custo 
Un]]</f>
        <v>15</v>
      </c>
      <c r="I193" s="52">
        <v>43.52</v>
      </c>
      <c r="J193" s="263">
        <f t="shared" si="9"/>
        <v>43.52</v>
      </c>
      <c r="K193" s="10">
        <f t="shared" si="12"/>
        <v>43.52</v>
      </c>
      <c r="L193" s="50">
        <f>Table_246[[#This Row],[Valor da 
venda]]-Table_246[[#This Row],[Valor gasto]]</f>
        <v>28.520000000000003</v>
      </c>
      <c r="M193" s="111">
        <f t="shared" si="11"/>
        <v>0.65533088235294124</v>
      </c>
      <c r="N193" s="52" t="s">
        <v>20</v>
      </c>
      <c r="O193" t="str">
        <f>IF([1]!Table_246[[#This Row],[Coluna2]]&gt;0.5, "🔥 Excelente", IF([1]!Table_246[[#This Row],[Coluna2]]&gt;0.4, "👍 Bom", "⚠️ Baixo"))</f>
        <v>⚠️ Baixo</v>
      </c>
    </row>
    <row r="194" spans="1:15" ht="15.75" customHeight="1">
      <c r="A194" s="28">
        <f>IF(Table_246[[#This Row],[Data]]="","",MONTH(Table_246[[#This Row],[Data]]))</f>
        <v>3</v>
      </c>
      <c r="B194" s="32">
        <v>46093</v>
      </c>
      <c r="C194" s="109" t="s">
        <v>1201</v>
      </c>
      <c r="D194" s="43">
        <v>1</v>
      </c>
      <c r="E194" s="48" t="s">
        <v>2122</v>
      </c>
      <c r="F194" s="48" t="s">
        <v>1016</v>
      </c>
      <c r="G194" s="49">
        <f>IFERROR(VLOOKUP(C194,PROD!$A$2:$E$1204,5,0),"0")</f>
        <v>0.7</v>
      </c>
      <c r="H194" s="10">
        <f>Table_246[[#This Row],[QT]]*Table_246[[#This Row],[Custo 
Un]]</f>
        <v>0.7</v>
      </c>
      <c r="I194" s="52">
        <v>8.99</v>
      </c>
      <c r="J194" s="263">
        <f t="shared" ref="J194:J257" si="13">I194*D194</f>
        <v>8.99</v>
      </c>
      <c r="K194" s="10">
        <f t="shared" si="12"/>
        <v>8.99</v>
      </c>
      <c r="L194" s="50">
        <f>Table_246[[#This Row],[Valor da 
venda]]-Table_246[[#This Row],[Valor gasto]]</f>
        <v>8.2900000000000009</v>
      </c>
      <c r="M194" s="111">
        <f t="shared" ref="M194:M257" si="14">IFERROR(L194/K194, 0)</f>
        <v>0.92213570634037823</v>
      </c>
      <c r="N194" s="52" t="s">
        <v>20</v>
      </c>
      <c r="O194" t="str">
        <f>IF([1]!Table_246[[#This Row],[Coluna2]]&gt;0.5, "🔥 Excelente", IF([1]!Table_246[[#This Row],[Coluna2]]&gt;0.4, "👍 Bom", "⚠️ Baixo"))</f>
        <v>⚠️ Baixo</v>
      </c>
    </row>
    <row r="195" spans="1:15" ht="15.75" customHeight="1">
      <c r="A195" s="28">
        <f>IF(Table_246[[#This Row],[Data]]="","",MONTH(Table_246[[#This Row],[Data]]))</f>
        <v>3</v>
      </c>
      <c r="B195" s="32">
        <v>46093</v>
      </c>
      <c r="C195" s="109" t="s">
        <v>1201</v>
      </c>
      <c r="D195" s="43">
        <v>1</v>
      </c>
      <c r="E195" s="48" t="s">
        <v>2124</v>
      </c>
      <c r="F195" s="48" t="s">
        <v>1016</v>
      </c>
      <c r="G195" s="49">
        <f>IFERROR(VLOOKUP(C195,PROD!$A$2:$E$1204,5,0),"0")</f>
        <v>0.7</v>
      </c>
      <c r="H195" s="10">
        <f>Table_246[[#This Row],[QT]]*Table_246[[#This Row],[Custo 
Un]]</f>
        <v>0.7</v>
      </c>
      <c r="I195" s="52">
        <v>8.99</v>
      </c>
      <c r="J195" s="263">
        <f t="shared" si="13"/>
        <v>8.99</v>
      </c>
      <c r="K195" s="10">
        <f t="shared" si="12"/>
        <v>8.99</v>
      </c>
      <c r="L195" s="50">
        <f>Table_246[[#This Row],[Valor da 
venda]]-Table_246[[#This Row],[Valor gasto]]</f>
        <v>8.2900000000000009</v>
      </c>
      <c r="M195" s="111">
        <f t="shared" si="14"/>
        <v>0.92213570634037823</v>
      </c>
      <c r="N195" s="52" t="s">
        <v>20</v>
      </c>
      <c r="O195" t="str">
        <f>IF([1]!Table_246[[#This Row],[Coluna2]]&gt;0.5, "🔥 Excelente", IF([1]!Table_246[[#This Row],[Coluna2]]&gt;0.4, "👍 Bom", "⚠️ Baixo"))</f>
        <v>⚠️ Baixo</v>
      </c>
    </row>
    <row r="196" spans="1:15" ht="15.75" customHeight="1">
      <c r="A196" s="28">
        <f>IF(Table_246[[#This Row],[Data]]="","",MONTH(Table_246[[#This Row],[Data]]))</f>
        <v>3</v>
      </c>
      <c r="B196" s="32">
        <v>46096</v>
      </c>
      <c r="C196" s="36" t="s">
        <v>2127</v>
      </c>
      <c r="D196" s="43">
        <v>1</v>
      </c>
      <c r="E196" s="48" t="s">
        <v>2126</v>
      </c>
      <c r="F196" s="48" t="s">
        <v>22</v>
      </c>
      <c r="G196" s="49">
        <v>350</v>
      </c>
      <c r="H196" s="10">
        <f>Table_246[[#This Row],[QT]]*Table_246[[#This Row],[Custo 
Un]]</f>
        <v>350</v>
      </c>
      <c r="I196" s="52">
        <v>453.69</v>
      </c>
      <c r="J196" s="263">
        <f t="shared" si="13"/>
        <v>453.69</v>
      </c>
      <c r="K196" s="10">
        <f t="shared" si="12"/>
        <v>453.69</v>
      </c>
      <c r="L196" s="50">
        <f>Table_246[[#This Row],[Valor da 
venda]]-Table_246[[#This Row],[Valor gasto]]</f>
        <v>103.69</v>
      </c>
      <c r="M196" s="111">
        <f t="shared" si="14"/>
        <v>0.22854812757609821</v>
      </c>
      <c r="N196" s="52" t="s">
        <v>20</v>
      </c>
      <c r="O196" t="str">
        <f>IF([1]!Table_246[[#This Row],[Coluna2]]&gt;0.5, "🔥 Excelente", IF([1]!Table_246[[#This Row],[Coluna2]]&gt;0.4, "👍 Bom", "⚠️ Baixo"))</f>
        <v>⚠️ Baixo</v>
      </c>
    </row>
    <row r="197" spans="1:15" ht="15.75" customHeight="1">
      <c r="A197" s="28">
        <f>IF(Table_246[[#This Row],[Data]]="","",MONTH(Table_246[[#This Row],[Data]]))</f>
        <v>3</v>
      </c>
      <c r="B197" s="32">
        <v>46096</v>
      </c>
      <c r="C197" s="109" t="s">
        <v>1047</v>
      </c>
      <c r="D197" s="43">
        <v>1</v>
      </c>
      <c r="E197" s="48" t="s">
        <v>2128</v>
      </c>
      <c r="F197" s="48" t="s">
        <v>22</v>
      </c>
      <c r="G197" s="49">
        <f>IFERROR(VLOOKUP(C197,PROD!$A$2:$E$1204,5,0),"0")</f>
        <v>0.7</v>
      </c>
      <c r="H197" s="10">
        <f>Table_246[[#This Row],[QT]]*Table_246[[#This Row],[Custo 
Un]]</f>
        <v>0.7</v>
      </c>
      <c r="I197" s="52">
        <v>5.5</v>
      </c>
      <c r="J197" s="263">
        <f t="shared" si="13"/>
        <v>5.5</v>
      </c>
      <c r="K197" s="10">
        <f t="shared" si="12"/>
        <v>5.5</v>
      </c>
      <c r="L197" s="50">
        <f>Table_246[[#This Row],[Valor da 
venda]]-Table_246[[#This Row],[Valor gasto]]</f>
        <v>4.8</v>
      </c>
      <c r="M197" s="111">
        <f t="shared" si="14"/>
        <v>0.87272727272727268</v>
      </c>
      <c r="N197" s="52" t="s">
        <v>20</v>
      </c>
      <c r="O197" t="str">
        <f>IF([1]!Table_246[[#This Row],[Coluna2]]&gt;0.5, "🔥 Excelente", IF([1]!Table_246[[#This Row],[Coluna2]]&gt;0.4, "👍 Bom", "⚠️ Baixo"))</f>
        <v>⚠️ Baixo</v>
      </c>
    </row>
    <row r="198" spans="1:15" ht="15.75" customHeight="1">
      <c r="A198" s="28">
        <f>IF(Table_246[[#This Row],[Data]]="","",MONTH(Table_246[[#This Row],[Data]]))</f>
        <v>3</v>
      </c>
      <c r="B198" s="32">
        <v>46096</v>
      </c>
      <c r="C198" s="109" t="s">
        <v>1047</v>
      </c>
      <c r="D198" s="43">
        <v>1</v>
      </c>
      <c r="E198" s="48" t="s">
        <v>2129</v>
      </c>
      <c r="F198" s="48" t="s">
        <v>22</v>
      </c>
      <c r="G198" s="49">
        <f>IFERROR(VLOOKUP(C198,PROD!$A$2:$E$1204,5,0),"0")</f>
        <v>0.7</v>
      </c>
      <c r="H198" s="10">
        <f>Table_246[[#This Row],[QT]]*Table_246[[#This Row],[Custo 
Un]]</f>
        <v>0.7</v>
      </c>
      <c r="I198" s="52">
        <v>5.5</v>
      </c>
      <c r="J198" s="263">
        <f t="shared" si="13"/>
        <v>5.5</v>
      </c>
      <c r="K198" s="10">
        <f t="shared" si="12"/>
        <v>5.5</v>
      </c>
      <c r="L198" s="50">
        <f>Table_246[[#This Row],[Valor da 
venda]]-Table_246[[#This Row],[Valor gasto]]</f>
        <v>4.8</v>
      </c>
      <c r="M198" s="111">
        <f t="shared" si="14"/>
        <v>0.87272727272727268</v>
      </c>
      <c r="N198" s="52" t="s">
        <v>20</v>
      </c>
      <c r="O198" t="str">
        <f>IF([1]!Table_246[[#This Row],[Coluna2]]&gt;0.5, "🔥 Excelente", IF([1]!Table_246[[#This Row],[Coluna2]]&gt;0.4, "👍 Bom", "⚠️ Baixo"))</f>
        <v>⚠️ Baixo</v>
      </c>
    </row>
    <row r="199" spans="1:15" ht="15.75" customHeight="1">
      <c r="A199" s="28">
        <f>IF(Table_246[[#This Row],[Data]]="","",MONTH(Table_246[[#This Row],[Data]]))</f>
        <v>3</v>
      </c>
      <c r="B199" s="32">
        <v>46096</v>
      </c>
      <c r="C199" s="109" t="s">
        <v>1047</v>
      </c>
      <c r="D199" s="43">
        <v>1</v>
      </c>
      <c r="E199" s="48" t="s">
        <v>2130</v>
      </c>
      <c r="F199" s="48" t="s">
        <v>22</v>
      </c>
      <c r="G199" s="49">
        <f>IFERROR(VLOOKUP(C199,PROD!$A$2:$E$1204,5,0),"0")</f>
        <v>0.7</v>
      </c>
      <c r="H199" s="10">
        <f>Table_246[[#This Row],[QT]]*Table_246[[#This Row],[Custo 
Un]]</f>
        <v>0.7</v>
      </c>
      <c r="I199" s="52">
        <v>5.5</v>
      </c>
      <c r="J199" s="263">
        <f t="shared" si="13"/>
        <v>5.5</v>
      </c>
      <c r="K199" s="10">
        <f t="shared" si="12"/>
        <v>5.5</v>
      </c>
      <c r="L199" s="50">
        <f>Table_246[[#This Row],[Valor da 
venda]]-Table_246[[#This Row],[Valor gasto]]</f>
        <v>4.8</v>
      </c>
      <c r="M199" s="111">
        <f t="shared" si="14"/>
        <v>0.87272727272727268</v>
      </c>
      <c r="N199" s="52" t="s">
        <v>20</v>
      </c>
      <c r="O199" t="str">
        <f>IF([1]!Table_246[[#This Row],[Coluna2]]&gt;0.5, "🔥 Excelente", IF([1]!Table_246[[#This Row],[Coluna2]]&gt;0.4, "👍 Bom", "⚠️ Baixo"))</f>
        <v>⚠️ Baixo</v>
      </c>
    </row>
    <row r="200" spans="1:15" ht="15.75" customHeight="1">
      <c r="A200" s="28">
        <f>IF(Table_246[[#This Row],[Data]]="","",MONTH(Table_246[[#This Row],[Data]]))</f>
        <v>3</v>
      </c>
      <c r="B200" s="32">
        <v>46097</v>
      </c>
      <c r="C200" s="109" t="s">
        <v>1047</v>
      </c>
      <c r="D200" s="43">
        <v>1</v>
      </c>
      <c r="E200" s="48" t="s">
        <v>2131</v>
      </c>
      <c r="F200" s="48" t="s">
        <v>22</v>
      </c>
      <c r="G200" s="49">
        <f>IFERROR(VLOOKUP(C200,PROD!$A$2:$E$1204,5,0),"0")</f>
        <v>0.7</v>
      </c>
      <c r="H200" s="10">
        <f>Table_246[[#This Row],[QT]]*Table_246[[#This Row],[Custo 
Un]]</f>
        <v>0.7</v>
      </c>
      <c r="I200" s="52">
        <v>5.5</v>
      </c>
      <c r="J200" s="263">
        <f t="shared" si="13"/>
        <v>5.5</v>
      </c>
      <c r="K200" s="10">
        <f t="shared" si="12"/>
        <v>5.5</v>
      </c>
      <c r="L200" s="50">
        <f>Table_246[[#This Row],[Valor da 
venda]]-Table_246[[#This Row],[Valor gasto]]</f>
        <v>4.8</v>
      </c>
      <c r="M200" s="111">
        <f t="shared" si="14"/>
        <v>0.87272727272727268</v>
      </c>
      <c r="N200" s="52" t="s">
        <v>20</v>
      </c>
      <c r="O200" t="str">
        <f>IF([1]!Table_246[[#This Row],[Coluna2]]&gt;0.5, "🔥 Excelente", IF([1]!Table_246[[#This Row],[Coluna2]]&gt;0.4, "👍 Bom", "⚠️ Baixo"))</f>
        <v>⚠️ Baixo</v>
      </c>
    </row>
    <row r="201" spans="1:15" ht="15.75" customHeight="1">
      <c r="A201" s="28">
        <f>IF(Table_246[[#This Row],[Data]]="","",MONTH(Table_246[[#This Row],[Data]]))</f>
        <v>3</v>
      </c>
      <c r="B201" s="32">
        <v>46097</v>
      </c>
      <c r="C201" s="36" t="s">
        <v>562</v>
      </c>
      <c r="D201" s="43">
        <v>1</v>
      </c>
      <c r="E201" s="48" t="s">
        <v>1008</v>
      </c>
      <c r="F201" s="48" t="s">
        <v>555</v>
      </c>
      <c r="G201" s="49">
        <v>18.5</v>
      </c>
      <c r="H201" s="10">
        <f>Table_246[[#This Row],[QT]]*Table_246[[#This Row],[Custo 
Un]]</f>
        <v>18.5</v>
      </c>
      <c r="I201" s="52">
        <v>30</v>
      </c>
      <c r="J201" s="263">
        <f t="shared" si="13"/>
        <v>30</v>
      </c>
      <c r="K201" s="10">
        <f t="shared" si="12"/>
        <v>30</v>
      </c>
      <c r="L201" s="50">
        <f>Table_246[[#This Row],[Valor da 
venda]]-Table_246[[#This Row],[Valor gasto]]</f>
        <v>11.5</v>
      </c>
      <c r="M201" s="111">
        <f t="shared" si="14"/>
        <v>0.38333333333333336</v>
      </c>
      <c r="N201" s="52" t="s">
        <v>20</v>
      </c>
      <c r="O201" t="str">
        <f>IF([1]!Table_246[[#This Row],[Coluna2]]&gt;0.5, "🔥 Excelente", IF([1]!Table_246[[#This Row],[Coluna2]]&gt;0.4, "👍 Bom", "⚠️ Baixo"))</f>
        <v>⚠️ Baixo</v>
      </c>
    </row>
    <row r="202" spans="1:15" ht="15.75" customHeight="1">
      <c r="A202" s="28">
        <f>IF(Table_246[[#This Row],[Data]]="","",MONTH(Table_246[[#This Row],[Data]]))</f>
        <v>3</v>
      </c>
      <c r="B202" s="32">
        <v>46097</v>
      </c>
      <c r="C202" s="36" t="s">
        <v>2076</v>
      </c>
      <c r="D202" s="43">
        <v>1</v>
      </c>
      <c r="E202" s="48" t="s">
        <v>1008</v>
      </c>
      <c r="F202" s="48" t="s">
        <v>555</v>
      </c>
      <c r="G202" s="49" t="str">
        <f>IFERROR(VLOOKUP(C202,PROD!$A$2:$E$1204,5,0),"0")</f>
        <v>0</v>
      </c>
      <c r="H202" s="10">
        <f>Table_246[[#This Row],[QT]]*Table_246[[#This Row],[Custo 
Un]]</f>
        <v>0</v>
      </c>
      <c r="I202" s="52">
        <v>5</v>
      </c>
      <c r="J202" s="263">
        <f t="shared" si="13"/>
        <v>5</v>
      </c>
      <c r="K202" s="10">
        <f t="shared" si="12"/>
        <v>5</v>
      </c>
      <c r="L202" s="50">
        <f>Table_246[[#This Row],[Valor da 
venda]]-Table_246[[#This Row],[Valor gasto]]</f>
        <v>5</v>
      </c>
      <c r="M202" s="111">
        <f t="shared" si="14"/>
        <v>1</v>
      </c>
      <c r="N202" s="52" t="s">
        <v>20</v>
      </c>
      <c r="O202" t="str">
        <f>IF([1]!Table_246[[#This Row],[Coluna2]]&gt;0.5, "🔥 Excelente", IF([1]!Table_246[[#This Row],[Coluna2]]&gt;0.4, "👍 Bom", "⚠️ Baixo"))</f>
        <v>⚠️ Baixo</v>
      </c>
    </row>
    <row r="203" spans="1:15" ht="15.75" customHeight="1">
      <c r="A203" s="28">
        <f>IF(Table_246[[#This Row],[Data]]="","",MONTH(Table_246[[#This Row],[Data]]))</f>
        <v>3</v>
      </c>
      <c r="B203" s="32">
        <v>46097</v>
      </c>
      <c r="C203" s="36" t="s">
        <v>1007</v>
      </c>
      <c r="D203" s="43">
        <v>1</v>
      </c>
      <c r="E203" s="48" t="s">
        <v>1008</v>
      </c>
      <c r="F203" s="48" t="s">
        <v>555</v>
      </c>
      <c r="G203" s="49">
        <f>IFERROR(VLOOKUP(C203,PROD!$A$2:$E$1204,5,0),"0")</f>
        <v>0</v>
      </c>
      <c r="H203" s="10">
        <f>Table_246[[#This Row],[QT]]*Table_246[[#This Row],[Custo 
Un]]</f>
        <v>0</v>
      </c>
      <c r="I203" s="52">
        <v>15</v>
      </c>
      <c r="J203" s="263">
        <f t="shared" si="13"/>
        <v>15</v>
      </c>
      <c r="K203" s="10">
        <f t="shared" si="12"/>
        <v>15</v>
      </c>
      <c r="L203" s="50">
        <f>Table_246[[#This Row],[Valor da 
venda]]-Table_246[[#This Row],[Valor gasto]]</f>
        <v>15</v>
      </c>
      <c r="M203" s="111">
        <f t="shared" si="14"/>
        <v>1</v>
      </c>
      <c r="N203" s="52" t="s">
        <v>20</v>
      </c>
      <c r="O203" t="str">
        <f>IF([1]!Table_246[[#This Row],[Coluna2]]&gt;0.5, "🔥 Excelente", IF([1]!Table_246[[#This Row],[Coluna2]]&gt;0.4, "👍 Bom", "⚠️ Baixo"))</f>
        <v>⚠️ Baixo</v>
      </c>
    </row>
    <row r="204" spans="1:15" ht="15.75" customHeight="1">
      <c r="A204" s="28">
        <f>IF(Table_246[[#This Row],[Data]]="","",MONTH(Table_246[[#This Row],[Data]]))</f>
        <v>3</v>
      </c>
      <c r="B204" s="32">
        <v>46102</v>
      </c>
      <c r="C204" s="36" t="s">
        <v>2132</v>
      </c>
      <c r="D204" s="43">
        <v>1</v>
      </c>
      <c r="E204" s="48" t="s">
        <v>1008</v>
      </c>
      <c r="F204" s="48" t="s">
        <v>555</v>
      </c>
      <c r="G204" s="49" t="str">
        <f>IFERROR(VLOOKUP(C204,PROD!$A$2:$E$1204,5,0),"0")</f>
        <v>0</v>
      </c>
      <c r="H204" s="10">
        <f>Table_246[[#This Row],[QT]]*Table_246[[#This Row],[Custo 
Un]]</f>
        <v>0</v>
      </c>
      <c r="I204" s="52">
        <v>10</v>
      </c>
      <c r="J204" s="263">
        <f t="shared" si="13"/>
        <v>10</v>
      </c>
      <c r="K204" s="10">
        <f t="shared" si="12"/>
        <v>10</v>
      </c>
      <c r="L204" s="50">
        <f>Table_246[[#This Row],[Valor da 
venda]]-Table_246[[#This Row],[Valor gasto]]</f>
        <v>10</v>
      </c>
      <c r="M204" s="111">
        <f t="shared" si="14"/>
        <v>1</v>
      </c>
      <c r="N204" s="52" t="s">
        <v>20</v>
      </c>
      <c r="O204" t="str">
        <f>IF([1]!Table_246[[#This Row],[Coluna2]]&gt;0.5, "🔥 Excelente", IF([1]!Table_246[[#This Row],[Coluna2]]&gt;0.4, "👍 Bom", "⚠️ Baixo"))</f>
        <v>⚠️ Baixo</v>
      </c>
    </row>
    <row r="205" spans="1:15" ht="15.75" customHeight="1">
      <c r="A205" s="28">
        <f>IF(Table_246[[#This Row],[Data]]="","",MONTH(Table_246[[#This Row],[Data]]))</f>
        <v>3</v>
      </c>
      <c r="B205" s="32">
        <v>46102</v>
      </c>
      <c r="C205" s="36" t="s">
        <v>992</v>
      </c>
      <c r="D205" s="43">
        <v>1</v>
      </c>
      <c r="E205" s="48" t="s">
        <v>1008</v>
      </c>
      <c r="F205" s="48" t="s">
        <v>555</v>
      </c>
      <c r="G205" s="49">
        <f>IFERROR(VLOOKUP(C205,PROD!$A$2:$E$1204,5,0),"0")</f>
        <v>15</v>
      </c>
      <c r="H205" s="10">
        <f>Table_246[[#This Row],[QT]]*Table_246[[#This Row],[Custo 
Un]]</f>
        <v>15</v>
      </c>
      <c r="I205" s="52">
        <v>50</v>
      </c>
      <c r="J205" s="263">
        <f t="shared" si="13"/>
        <v>50</v>
      </c>
      <c r="K205" s="10">
        <f t="shared" si="12"/>
        <v>50</v>
      </c>
      <c r="L205" s="50">
        <f>Table_246[[#This Row],[Valor da 
venda]]-Table_246[[#This Row],[Valor gasto]]</f>
        <v>35</v>
      </c>
      <c r="M205" s="111">
        <f t="shared" si="14"/>
        <v>0.7</v>
      </c>
      <c r="N205" s="52" t="s">
        <v>20</v>
      </c>
      <c r="O205" t="str">
        <f>IF([1]!Table_246[[#This Row],[Coluna2]]&gt;0.5, "🔥 Excelente", IF([1]!Table_246[[#This Row],[Coluna2]]&gt;0.4, "👍 Bom", "⚠️ Baixo"))</f>
        <v>⚠️ Baixo</v>
      </c>
    </row>
    <row r="206" spans="1:15" ht="15.75" customHeight="1">
      <c r="A206" s="28">
        <f>IF(Table_246[[#This Row],[Data]]="","",MONTH(Table_246[[#This Row],[Data]]))</f>
        <v>3</v>
      </c>
      <c r="B206" s="32">
        <v>46103</v>
      </c>
      <c r="C206" s="109" t="s">
        <v>1047</v>
      </c>
      <c r="D206" s="43">
        <v>1</v>
      </c>
      <c r="E206" s="48" t="s">
        <v>2133</v>
      </c>
      <c r="F206" s="48" t="s">
        <v>22</v>
      </c>
      <c r="G206" s="49">
        <f>IFERROR(VLOOKUP(C206,PROD!$A$2:$E$1204,5,0),"0")</f>
        <v>0.7</v>
      </c>
      <c r="H206" s="10">
        <f>Table_246[[#This Row],[QT]]*Table_246[[#This Row],[Custo 
Un]]</f>
        <v>0.7</v>
      </c>
      <c r="I206" s="52">
        <v>5.5</v>
      </c>
      <c r="J206" s="263">
        <f t="shared" si="13"/>
        <v>5.5</v>
      </c>
      <c r="K206" s="10">
        <f t="shared" si="12"/>
        <v>5.5</v>
      </c>
      <c r="L206" s="50">
        <f>Table_246[[#This Row],[Valor da 
venda]]-Table_246[[#This Row],[Valor gasto]]</f>
        <v>4.8</v>
      </c>
      <c r="M206" s="111">
        <f t="shared" si="14"/>
        <v>0.87272727272727268</v>
      </c>
      <c r="N206" s="52" t="s">
        <v>20</v>
      </c>
      <c r="O206" t="str">
        <f>IF([1]!Table_246[[#This Row],[Coluna2]]&gt;0.5, "🔥 Excelente", IF([1]!Table_246[[#This Row],[Coluna2]]&gt;0.4, "👍 Bom", "⚠️ Baixo"))</f>
        <v>⚠️ Baixo</v>
      </c>
    </row>
    <row r="207" spans="1:15" ht="15.75" customHeight="1">
      <c r="A207" s="28">
        <f>IF(Table_246[[#This Row],[Data]]="","",MONTH(Table_246[[#This Row],[Data]]))</f>
        <v>3</v>
      </c>
      <c r="B207" s="32">
        <v>46104</v>
      </c>
      <c r="C207" s="36" t="s">
        <v>1092</v>
      </c>
      <c r="D207" s="43">
        <v>1</v>
      </c>
      <c r="E207" s="48" t="s">
        <v>2134</v>
      </c>
      <c r="F207" s="48" t="s">
        <v>22</v>
      </c>
      <c r="G207" s="49">
        <f>IFERROR(VLOOKUP(C207,PROD!$A$2:$E$1204,5,0),"0")</f>
        <v>7.5</v>
      </c>
      <c r="H207" s="10">
        <f>Table_246[[#This Row],[QT]]*Table_246[[#This Row],[Custo 
Un]]</f>
        <v>7.5</v>
      </c>
      <c r="I207" s="52">
        <v>14.04</v>
      </c>
      <c r="J207" s="263">
        <f t="shared" si="13"/>
        <v>14.04</v>
      </c>
      <c r="K207" s="10">
        <f t="shared" si="12"/>
        <v>14.04</v>
      </c>
      <c r="L207" s="50">
        <f>Table_246[[#This Row],[Valor da 
venda]]-Table_246[[#This Row],[Valor gasto]]</f>
        <v>6.5399999999999991</v>
      </c>
      <c r="M207" s="111">
        <f t="shared" si="14"/>
        <v>0.46581196581196577</v>
      </c>
      <c r="N207" s="52" t="s">
        <v>20</v>
      </c>
      <c r="O207" t="str">
        <f>IF([1]!Table_246[[#This Row],[Coluna2]]&gt;0.5, "🔥 Excelente", IF([1]!Table_246[[#This Row],[Coluna2]]&gt;0.4, "👍 Bom", "⚠️ Baixo"))</f>
        <v>⚠️ Baixo</v>
      </c>
    </row>
    <row r="208" spans="1:15" ht="15.75" customHeight="1">
      <c r="A208" s="28">
        <f>IF(Table_246[[#This Row],[Data]]="","",MONTH(Table_246[[#This Row],[Data]]))</f>
        <v>3</v>
      </c>
      <c r="B208" s="32">
        <v>46105</v>
      </c>
      <c r="C208" s="36" t="s">
        <v>2135</v>
      </c>
      <c r="D208" s="43">
        <v>1</v>
      </c>
      <c r="E208" s="48" t="s">
        <v>1008</v>
      </c>
      <c r="F208" s="48" t="s">
        <v>555</v>
      </c>
      <c r="G208" s="49">
        <v>4</v>
      </c>
      <c r="H208" s="10">
        <f>Table_246[[#This Row],[QT]]*Table_246[[#This Row],[Custo 
Un]]</f>
        <v>4</v>
      </c>
      <c r="I208" s="52">
        <v>10</v>
      </c>
      <c r="J208" s="263">
        <f t="shared" si="13"/>
        <v>10</v>
      </c>
      <c r="K208" s="10">
        <f t="shared" si="12"/>
        <v>10</v>
      </c>
      <c r="L208" s="50">
        <f>Table_246[[#This Row],[Valor da 
venda]]-Table_246[[#This Row],[Valor gasto]]</f>
        <v>6</v>
      </c>
      <c r="M208" s="111">
        <f t="shared" si="14"/>
        <v>0.6</v>
      </c>
      <c r="N208" s="52" t="s">
        <v>20</v>
      </c>
      <c r="O208" t="str">
        <f>IF([1]!Table_246[[#This Row],[Coluna2]]&gt;0.5, "🔥 Excelente", IF([1]!Table_246[[#This Row],[Coluna2]]&gt;0.4, "👍 Bom", "⚠️ Baixo"))</f>
        <v>⚠️ Baixo</v>
      </c>
    </row>
    <row r="209" spans="1:15" ht="15.75" customHeight="1">
      <c r="A209" s="28">
        <f>IF(Table_246[[#This Row],[Data]]="","",MONTH(Table_246[[#This Row],[Data]]))</f>
        <v>3</v>
      </c>
      <c r="B209" s="32">
        <v>46105</v>
      </c>
      <c r="C209" s="36" t="s">
        <v>2136</v>
      </c>
      <c r="D209" s="43">
        <v>1</v>
      </c>
      <c r="E209" s="48" t="s">
        <v>893</v>
      </c>
      <c r="F209" s="48" t="s">
        <v>555</v>
      </c>
      <c r="G209" s="49" t="str">
        <f>IFERROR(VLOOKUP(C209,PROD!$A$2:$E$1204,5,0),"0")</f>
        <v>0</v>
      </c>
      <c r="H209" s="10">
        <f>Table_246[[#This Row],[QT]]*Table_246[[#This Row],[Custo 
Un]]</f>
        <v>0</v>
      </c>
      <c r="I209" s="52">
        <v>100</v>
      </c>
      <c r="J209" s="263">
        <f t="shared" si="13"/>
        <v>100</v>
      </c>
      <c r="K209" s="10">
        <f t="shared" si="12"/>
        <v>100</v>
      </c>
      <c r="L209" s="50">
        <f>Table_246[[#This Row],[Valor da 
venda]]-Table_246[[#This Row],[Valor gasto]]</f>
        <v>100</v>
      </c>
      <c r="M209" s="111">
        <f t="shared" si="14"/>
        <v>1</v>
      </c>
      <c r="N209" s="52" t="s">
        <v>20</v>
      </c>
      <c r="O209" t="str">
        <f>IF([1]!Table_246[[#This Row],[Coluna2]]&gt;0.5, "🔥 Excelente", IF([1]!Table_246[[#This Row],[Coluna2]]&gt;0.4, "👍 Bom", "⚠️ Baixo"))</f>
        <v>⚠️ Baixo</v>
      </c>
    </row>
    <row r="210" spans="1:15" ht="15.75" customHeight="1">
      <c r="A210" s="28">
        <f>IF(Table_246[[#This Row],[Data]]="","",MONTH(Table_246[[#This Row],[Data]]))</f>
        <v>3</v>
      </c>
      <c r="B210" s="32">
        <v>46105</v>
      </c>
      <c r="C210" s="109" t="s">
        <v>1201</v>
      </c>
      <c r="D210" s="43">
        <v>1</v>
      </c>
      <c r="E210" s="48" t="s">
        <v>2137</v>
      </c>
      <c r="F210" s="48" t="s">
        <v>1016</v>
      </c>
      <c r="G210" s="49">
        <f>IFERROR(VLOOKUP(C210,PROD!$A$2:$E$1204,5,0),"0")</f>
        <v>0.7</v>
      </c>
      <c r="H210" s="10">
        <f>Table_246[[#This Row],[QT]]*Table_246[[#This Row],[Custo 
Un]]</f>
        <v>0.7</v>
      </c>
      <c r="I210" s="52">
        <v>9.1999999999999993</v>
      </c>
      <c r="J210" s="263">
        <f t="shared" si="13"/>
        <v>9.1999999999999993</v>
      </c>
      <c r="K210" s="10">
        <f t="shared" si="12"/>
        <v>9.1999999999999993</v>
      </c>
      <c r="L210" s="50">
        <f>Table_246[[#This Row],[Valor da 
venda]]-Table_246[[#This Row],[Valor gasto]]</f>
        <v>8.5</v>
      </c>
      <c r="M210" s="111">
        <f t="shared" si="14"/>
        <v>0.92391304347826098</v>
      </c>
      <c r="N210" s="52" t="s">
        <v>993</v>
      </c>
      <c r="O210" t="str">
        <f>IF([1]!Table_246[[#This Row],[Coluna2]]&gt;0.5, "🔥 Excelente", IF([1]!Table_246[[#This Row],[Coluna2]]&gt;0.4, "👍 Bom", "⚠️ Baixo"))</f>
        <v>⚠️ Baixo</v>
      </c>
    </row>
    <row r="211" spans="1:15" ht="15.75" customHeight="1">
      <c r="A211" s="28">
        <f>IF(Table_246[[#This Row],[Data]]="","",MONTH(Table_246[[#This Row],[Data]]))</f>
        <v>3</v>
      </c>
      <c r="B211" s="32">
        <v>46105</v>
      </c>
      <c r="C211" s="109" t="s">
        <v>1201</v>
      </c>
      <c r="D211" s="43">
        <v>1</v>
      </c>
      <c r="E211" s="48" t="s">
        <v>2138</v>
      </c>
      <c r="F211" s="48" t="s">
        <v>1016</v>
      </c>
      <c r="G211" s="49">
        <f>IFERROR(VLOOKUP(C211,PROD!$A$2:$E$1204,5,0),"0")</f>
        <v>0.7</v>
      </c>
      <c r="H211" s="10">
        <f>Table_246[[#This Row],[QT]]*Table_246[[#This Row],[Custo 
Un]]</f>
        <v>0.7</v>
      </c>
      <c r="I211" s="52">
        <v>8.99</v>
      </c>
      <c r="J211" s="263">
        <f t="shared" si="13"/>
        <v>8.99</v>
      </c>
      <c r="K211" s="10">
        <f t="shared" si="12"/>
        <v>8.99</v>
      </c>
      <c r="L211" s="50">
        <f>Table_246[[#This Row],[Valor da 
venda]]-Table_246[[#This Row],[Valor gasto]]</f>
        <v>8.2900000000000009</v>
      </c>
      <c r="M211" s="111">
        <f t="shared" si="14"/>
        <v>0.92213570634037823</v>
      </c>
      <c r="N211" s="52" t="s">
        <v>993</v>
      </c>
      <c r="O211" t="str">
        <f>IF([1]!Table_246[[#This Row],[Coluna2]]&gt;0.5, "🔥 Excelente", IF([1]!Table_246[[#This Row],[Coluna2]]&gt;0.4, "👍 Bom", "⚠️ Baixo"))</f>
        <v>⚠️ Baixo</v>
      </c>
    </row>
    <row r="212" spans="1:15" ht="15.75" customHeight="1">
      <c r="A212" s="28">
        <f>IF(Table_246[[#This Row],[Data]]="","",MONTH(Table_246[[#This Row],[Data]]))</f>
        <v>3</v>
      </c>
      <c r="B212" s="32">
        <v>46105</v>
      </c>
      <c r="C212" s="109" t="s">
        <v>1201</v>
      </c>
      <c r="D212" s="43">
        <v>1</v>
      </c>
      <c r="E212" s="48" t="s">
        <v>2139</v>
      </c>
      <c r="F212" s="48" t="s">
        <v>1016</v>
      </c>
      <c r="G212" s="49">
        <f>IFERROR(VLOOKUP(C212,PROD!$A$2:$E$1204,5,0),"0")</f>
        <v>0.7</v>
      </c>
      <c r="H212" s="10">
        <f>Table_246[[#This Row],[QT]]*Table_246[[#This Row],[Custo 
Un]]</f>
        <v>0.7</v>
      </c>
      <c r="I212" s="52">
        <v>9.1999999999999993</v>
      </c>
      <c r="J212" s="263">
        <f t="shared" si="13"/>
        <v>9.1999999999999993</v>
      </c>
      <c r="K212" s="10">
        <f t="shared" si="12"/>
        <v>9.1999999999999993</v>
      </c>
      <c r="L212" s="50">
        <f>Table_246[[#This Row],[Valor da 
venda]]-Table_246[[#This Row],[Valor gasto]]</f>
        <v>8.5</v>
      </c>
      <c r="M212" s="111">
        <f t="shared" si="14"/>
        <v>0.92391304347826098</v>
      </c>
      <c r="N212" s="52" t="s">
        <v>993</v>
      </c>
      <c r="O212" t="str">
        <f>IF([1]!Table_246[[#This Row],[Coluna2]]&gt;0.5, "🔥 Excelente", IF([1]!Table_246[[#This Row],[Coluna2]]&gt;0.4, "👍 Bom", "⚠️ Baixo"))</f>
        <v>⚠️ Baixo</v>
      </c>
    </row>
    <row r="213" spans="1:15" ht="15.75" customHeight="1">
      <c r="A213" s="28">
        <f>IF(Table_246[[#This Row],[Data]]="","",MONTH(Table_246[[#This Row],[Data]]))</f>
        <v>3</v>
      </c>
      <c r="B213" s="32">
        <v>46105</v>
      </c>
      <c r="C213" s="109" t="s">
        <v>1201</v>
      </c>
      <c r="D213" s="43">
        <v>1</v>
      </c>
      <c r="E213" s="48" t="s">
        <v>2140</v>
      </c>
      <c r="F213" s="48" t="s">
        <v>1016</v>
      </c>
      <c r="G213" s="49">
        <f>IFERROR(VLOOKUP(C213,PROD!$A$2:$E$1204,5,0),"0")</f>
        <v>0.7</v>
      </c>
      <c r="H213" s="10">
        <f>Table_246[[#This Row],[QT]]*Table_246[[#This Row],[Custo 
Un]]</f>
        <v>0.7</v>
      </c>
      <c r="I213" s="52">
        <v>9.1999999999999993</v>
      </c>
      <c r="J213" s="263">
        <f t="shared" si="13"/>
        <v>9.1999999999999993</v>
      </c>
      <c r="K213" s="10">
        <f t="shared" si="12"/>
        <v>9.1999999999999993</v>
      </c>
      <c r="L213" s="50">
        <f>Table_246[[#This Row],[Valor da 
venda]]-Table_246[[#This Row],[Valor gasto]]</f>
        <v>8.5</v>
      </c>
      <c r="M213" s="111">
        <f t="shared" si="14"/>
        <v>0.92391304347826098</v>
      </c>
      <c r="N213" s="52" t="s">
        <v>993</v>
      </c>
      <c r="O213" t="str">
        <f>IF([1]!Table_246[[#This Row],[Coluna2]]&gt;0.5, "🔥 Excelente", IF([1]!Table_246[[#This Row],[Coluna2]]&gt;0.4, "👍 Bom", "⚠️ Baixo"))</f>
        <v>⚠️ Baixo</v>
      </c>
    </row>
    <row r="214" spans="1:15" ht="15.75" customHeight="1">
      <c r="A214" s="28">
        <f>IF(Table_246[[#This Row],[Data]]="","",MONTH(Table_246[[#This Row],[Data]]))</f>
        <v>3</v>
      </c>
      <c r="B214" s="32">
        <v>46105</v>
      </c>
      <c r="C214" s="109" t="s">
        <v>1201</v>
      </c>
      <c r="D214" s="43">
        <v>1</v>
      </c>
      <c r="E214" s="48" t="s">
        <v>2141</v>
      </c>
      <c r="F214" s="48" t="s">
        <v>1016</v>
      </c>
      <c r="G214" s="49">
        <f>IFERROR(VLOOKUP(C214,PROD!$A$2:$E$1204,5,0),"0")</f>
        <v>0.7</v>
      </c>
      <c r="H214" s="10">
        <f>Table_246[[#This Row],[QT]]*Table_246[[#This Row],[Custo 
Un]]</f>
        <v>0.7</v>
      </c>
      <c r="I214" s="52">
        <v>8.99</v>
      </c>
      <c r="J214" s="263">
        <f t="shared" si="13"/>
        <v>8.99</v>
      </c>
      <c r="K214" s="10">
        <f t="shared" si="12"/>
        <v>8.99</v>
      </c>
      <c r="L214" s="50">
        <f>Table_246[[#This Row],[Valor da 
venda]]-Table_246[[#This Row],[Valor gasto]]</f>
        <v>8.2900000000000009</v>
      </c>
      <c r="M214" s="111">
        <f t="shared" si="14"/>
        <v>0.92213570634037823</v>
      </c>
      <c r="N214" s="52" t="s">
        <v>993</v>
      </c>
      <c r="O214" t="str">
        <f>IF([1]!Table_246[[#This Row],[Coluna2]]&gt;0.5, "🔥 Excelente", IF([1]!Table_246[[#This Row],[Coluna2]]&gt;0.4, "👍 Bom", "⚠️ Baixo"))</f>
        <v>⚠️ Baixo</v>
      </c>
    </row>
    <row r="215" spans="1:15" ht="15.75" customHeight="1">
      <c r="A215" s="28">
        <f>IF(Table_246[[#This Row],[Data]]="","",MONTH(Table_246[[#This Row],[Data]]))</f>
        <v>3</v>
      </c>
      <c r="B215" s="32">
        <v>46107</v>
      </c>
      <c r="C215" s="109" t="s">
        <v>1201</v>
      </c>
      <c r="D215" s="43">
        <v>1</v>
      </c>
      <c r="E215" s="48" t="s">
        <v>2142</v>
      </c>
      <c r="F215" s="48" t="s">
        <v>1016</v>
      </c>
      <c r="G215" s="49">
        <f>IFERROR(VLOOKUP(C215,PROD!$A$2:$E$1204,5,0),"0")</f>
        <v>0.7</v>
      </c>
      <c r="H215" s="10">
        <f>Table_246[[#This Row],[QT]]*Table_246[[#This Row],[Custo 
Un]]</f>
        <v>0.7</v>
      </c>
      <c r="I215" s="52">
        <v>8.99</v>
      </c>
      <c r="J215" s="263">
        <f t="shared" si="13"/>
        <v>8.99</v>
      </c>
      <c r="K215" s="10">
        <f t="shared" si="12"/>
        <v>8.99</v>
      </c>
      <c r="L215" s="50">
        <f>Table_246[[#This Row],[Valor da 
venda]]-Table_246[[#This Row],[Valor gasto]]</f>
        <v>8.2900000000000009</v>
      </c>
      <c r="M215" s="111">
        <f t="shared" si="14"/>
        <v>0.92213570634037823</v>
      </c>
      <c r="N215" s="52" t="s">
        <v>993</v>
      </c>
      <c r="O215" t="str">
        <f>IF([1]!Table_246[[#This Row],[Coluna2]]&gt;0.5, "🔥 Excelente", IF([1]!Table_246[[#This Row],[Coluna2]]&gt;0.4, "👍 Bom", "⚠️ Baixo"))</f>
        <v>⚠️ Baixo</v>
      </c>
    </row>
    <row r="216" spans="1:15" ht="17.25" customHeight="1">
      <c r="A216" s="28">
        <f>IF(Table_246[[#This Row],[Data]]="","",MONTH(Table_246[[#This Row],[Data]]))</f>
        <v>3</v>
      </c>
      <c r="B216" s="32">
        <v>46107</v>
      </c>
      <c r="C216" s="109" t="s">
        <v>1201</v>
      </c>
      <c r="D216" s="43">
        <v>2</v>
      </c>
      <c r="E216" s="48" t="s">
        <v>2143</v>
      </c>
      <c r="F216" s="48" t="s">
        <v>1016</v>
      </c>
      <c r="G216" s="49">
        <f>IFERROR(VLOOKUP(C216,PROD!$A$2:$E$1204,5,0),"0")</f>
        <v>0.7</v>
      </c>
      <c r="H216" s="10">
        <f>Table_246[[#This Row],[QT]]*Table_246[[#This Row],[Custo 
Un]]</f>
        <v>1.4</v>
      </c>
      <c r="I216" s="52">
        <f>27.2/2</f>
        <v>13.6</v>
      </c>
      <c r="J216" s="263">
        <f t="shared" si="13"/>
        <v>27.2</v>
      </c>
      <c r="K216" s="10">
        <f t="shared" si="12"/>
        <v>27.2</v>
      </c>
      <c r="L216" s="50">
        <f>Table_246[[#This Row],[Valor da 
venda]]-Table_246[[#This Row],[Valor gasto]]</f>
        <v>25.8</v>
      </c>
      <c r="M216" s="111">
        <f t="shared" si="14"/>
        <v>0.94852941176470595</v>
      </c>
      <c r="N216" s="52" t="s">
        <v>993</v>
      </c>
      <c r="O216" t="str">
        <f>IF([1]!Table_246[[#This Row],[Coluna2]]&gt;0.5, "🔥 Excelente", IF([1]!Table_246[[#This Row],[Coluna2]]&gt;0.4, "👍 Bom", "⚠️ Baixo"))</f>
        <v>⚠️ Baixo</v>
      </c>
    </row>
    <row r="217" spans="1:15" ht="17.25" customHeight="1">
      <c r="A217" s="28">
        <f>IF(Table_246[[#This Row],[Data]]="","",MONTH(Table_246[[#This Row],[Data]]))</f>
        <v>3</v>
      </c>
      <c r="B217" s="32">
        <v>46107</v>
      </c>
      <c r="C217" s="36" t="s">
        <v>2144</v>
      </c>
      <c r="D217" s="43">
        <v>1</v>
      </c>
      <c r="E217" s="48" t="s">
        <v>1008</v>
      </c>
      <c r="F217" s="48" t="s">
        <v>555</v>
      </c>
      <c r="G217" s="49" t="str">
        <f>IFERROR(VLOOKUP(C217,PROD!$A$2:$E$1204,5,0),"0")</f>
        <v>0</v>
      </c>
      <c r="H217" s="10">
        <f>Table_246[[#This Row],[QT]]*Table_246[[#This Row],[Custo 
Un]]</f>
        <v>0</v>
      </c>
      <c r="I217" s="52">
        <v>80</v>
      </c>
      <c r="J217" s="263">
        <f t="shared" si="13"/>
        <v>80</v>
      </c>
      <c r="K217" s="10">
        <f t="shared" si="12"/>
        <v>80</v>
      </c>
      <c r="L217" s="50">
        <f>Table_246[[#This Row],[Valor da 
venda]]-Table_246[[#This Row],[Valor gasto]]</f>
        <v>80</v>
      </c>
      <c r="M217" s="111">
        <f t="shared" si="14"/>
        <v>1</v>
      </c>
      <c r="N217" s="52" t="s">
        <v>20</v>
      </c>
      <c r="O217" t="str">
        <f>IF([1]!Table_246[[#This Row],[Coluna2]]&gt;0.5, "🔥 Excelente", IF([1]!Table_246[[#This Row],[Coluna2]]&gt;0.4, "👍 Bom", "⚠️ Baixo"))</f>
        <v>⚠️ Baixo</v>
      </c>
    </row>
    <row r="218" spans="1:15" ht="17.25" customHeight="1">
      <c r="A218" s="28">
        <f>IF(Table_246[[#This Row],[Data]]="","",MONTH(Table_246[[#This Row],[Data]]))</f>
        <v>3</v>
      </c>
      <c r="B218" s="32">
        <v>46108</v>
      </c>
      <c r="C218" s="36" t="s">
        <v>1072</v>
      </c>
      <c r="D218" s="43">
        <v>6</v>
      </c>
      <c r="E218" s="48" t="s">
        <v>1008</v>
      </c>
      <c r="F218" s="48" t="s">
        <v>555</v>
      </c>
      <c r="G218" s="49">
        <f>IFERROR(VLOOKUP(C218,PROD!$A$2:$E$1204,5,0),"0")</f>
        <v>0.7</v>
      </c>
      <c r="H218" s="10">
        <f>Table_246[[#This Row],[QT]]*Table_246[[#This Row],[Custo 
Un]]</f>
        <v>4.1999999999999993</v>
      </c>
      <c r="I218" s="52">
        <v>5</v>
      </c>
      <c r="J218" s="263">
        <f t="shared" si="13"/>
        <v>30</v>
      </c>
      <c r="K218" s="10">
        <f t="shared" si="12"/>
        <v>30</v>
      </c>
      <c r="L218" s="50">
        <f>Table_246[[#This Row],[Valor da 
venda]]-Table_246[[#This Row],[Valor gasto]]</f>
        <v>25.8</v>
      </c>
      <c r="M218" s="111">
        <f t="shared" si="14"/>
        <v>0.86</v>
      </c>
      <c r="N218" s="52" t="s">
        <v>20</v>
      </c>
      <c r="O218" t="str">
        <f>IF([1]!Table_246[[#This Row],[Coluna2]]&gt;0.5, "🔥 Excelente", IF([1]!Table_246[[#This Row],[Coluna2]]&gt;0.4, "👍 Bom", "⚠️ Baixo"))</f>
        <v>⚠️ Baixo</v>
      </c>
    </row>
    <row r="219" spans="1:15" ht="17.25" customHeight="1">
      <c r="A219" s="28">
        <f>IF(Table_246[[#This Row],[Data]]="","",MONTH(Table_246[[#This Row],[Data]]))</f>
        <v>3</v>
      </c>
      <c r="B219" s="32">
        <v>46108</v>
      </c>
      <c r="C219" s="36" t="s">
        <v>2145</v>
      </c>
      <c r="D219" s="43">
        <v>1</v>
      </c>
      <c r="E219" s="48" t="s">
        <v>770</v>
      </c>
      <c r="F219" s="48" t="s">
        <v>555</v>
      </c>
      <c r="G219" s="49">
        <v>35</v>
      </c>
      <c r="H219" s="10">
        <f>Table_246[[#This Row],[QT]]*Table_246[[#This Row],[Custo 
Un]]</f>
        <v>35</v>
      </c>
      <c r="I219" s="52">
        <v>50</v>
      </c>
      <c r="J219" s="263">
        <f t="shared" si="13"/>
        <v>50</v>
      </c>
      <c r="K219" s="10">
        <f t="shared" si="12"/>
        <v>50</v>
      </c>
      <c r="L219" s="50">
        <f>Table_246[[#This Row],[Valor da 
venda]]-Table_246[[#This Row],[Valor gasto]]</f>
        <v>15</v>
      </c>
      <c r="M219" s="111">
        <f t="shared" si="14"/>
        <v>0.3</v>
      </c>
      <c r="N219" s="52" t="s">
        <v>20</v>
      </c>
      <c r="O219" t="str">
        <f>IF([1]!Table_246[[#This Row],[Coluna2]]&gt;0.5, "🔥 Excelente", IF([1]!Table_246[[#This Row],[Coluna2]]&gt;0.4, "👍 Bom", "⚠️ Baixo"))</f>
        <v>⚠️ Baixo</v>
      </c>
    </row>
    <row r="220" spans="1:15" ht="17.25" customHeight="1">
      <c r="A220" s="28">
        <f>IF(Table_246[[#This Row],[Data]]="","",MONTH(Table_246[[#This Row],[Data]]))</f>
        <v>3</v>
      </c>
      <c r="B220" s="32">
        <v>46108</v>
      </c>
      <c r="C220" s="36" t="s">
        <v>2146</v>
      </c>
      <c r="D220" s="43">
        <v>1</v>
      </c>
      <c r="E220" s="48" t="s">
        <v>821</v>
      </c>
      <c r="F220" s="48" t="s">
        <v>555</v>
      </c>
      <c r="G220" s="49">
        <v>25</v>
      </c>
      <c r="H220" s="10">
        <f>Table_246[[#This Row],[QT]]*Table_246[[#This Row],[Custo 
Un]]</f>
        <v>25</v>
      </c>
      <c r="I220" s="52">
        <v>40</v>
      </c>
      <c r="J220" s="263">
        <f t="shared" si="13"/>
        <v>40</v>
      </c>
      <c r="K220" s="10">
        <f t="shared" si="12"/>
        <v>40</v>
      </c>
      <c r="L220" s="50">
        <f>Table_246[[#This Row],[Valor da 
venda]]-Table_246[[#This Row],[Valor gasto]]</f>
        <v>15</v>
      </c>
      <c r="M220" s="111">
        <f t="shared" si="14"/>
        <v>0.375</v>
      </c>
      <c r="N220" s="52" t="s">
        <v>20</v>
      </c>
      <c r="O220" t="str">
        <f>IF([1]!Table_246[[#This Row],[Coluna2]]&gt;0.5, "🔥 Excelente", IF([1]!Table_246[[#This Row],[Coluna2]]&gt;0.4, "👍 Bom", "⚠️ Baixo"))</f>
        <v>⚠️ Baixo</v>
      </c>
    </row>
    <row r="221" spans="1:15" ht="17.25" customHeight="1">
      <c r="A221" s="28">
        <f>IF(Table_246[[#This Row],[Data]]="","",MONTH(Table_246[[#This Row],[Data]]))</f>
        <v>3</v>
      </c>
      <c r="B221" s="32">
        <v>46108</v>
      </c>
      <c r="C221" s="36" t="s">
        <v>1038</v>
      </c>
      <c r="D221" s="43">
        <v>1</v>
      </c>
      <c r="E221" s="48" t="s">
        <v>916</v>
      </c>
      <c r="F221" s="48" t="s">
        <v>555</v>
      </c>
      <c r="G221" s="49">
        <v>18</v>
      </c>
      <c r="H221" s="10">
        <f>Table_246[[#This Row],[QT]]*Table_246[[#This Row],[Custo 
Un]]</f>
        <v>18</v>
      </c>
      <c r="I221" s="52">
        <v>35</v>
      </c>
      <c r="J221" s="263">
        <f t="shared" si="13"/>
        <v>35</v>
      </c>
      <c r="K221" s="10">
        <f t="shared" si="12"/>
        <v>35</v>
      </c>
      <c r="L221" s="50">
        <f>Table_246[[#This Row],[Valor da 
venda]]-Table_246[[#This Row],[Valor gasto]]</f>
        <v>17</v>
      </c>
      <c r="M221" s="111">
        <f t="shared" si="14"/>
        <v>0.48571428571428571</v>
      </c>
      <c r="N221" s="52" t="s">
        <v>20</v>
      </c>
      <c r="O221" t="str">
        <f>IF([1]!Table_246[[#This Row],[Coluna2]]&gt;0.5, "🔥 Excelente", IF([1]!Table_246[[#This Row],[Coluna2]]&gt;0.4, "👍 Bom", "⚠️ Baixo"))</f>
        <v>⚠️ Baixo</v>
      </c>
    </row>
    <row r="222" spans="1:15" ht="15.75" customHeight="1">
      <c r="A222" s="28">
        <f>IF(Table_246[[#This Row],[Data]]="","",MONTH(Table_246[[#This Row],[Data]]))</f>
        <v>3</v>
      </c>
      <c r="B222" s="32">
        <v>46108</v>
      </c>
      <c r="C222" s="36" t="s">
        <v>682</v>
      </c>
      <c r="D222" s="43">
        <v>2</v>
      </c>
      <c r="E222" s="48" t="s">
        <v>1008</v>
      </c>
      <c r="F222" s="48" t="s">
        <v>555</v>
      </c>
      <c r="G222" s="49">
        <v>4</v>
      </c>
      <c r="H222" s="10">
        <f>Table_246[[#This Row],[QT]]*Table_246[[#This Row],[Custo 
Un]]</f>
        <v>8</v>
      </c>
      <c r="I222" s="52">
        <v>15</v>
      </c>
      <c r="J222" s="263">
        <f t="shared" si="13"/>
        <v>30</v>
      </c>
      <c r="K222" s="10">
        <f t="shared" si="12"/>
        <v>30</v>
      </c>
      <c r="L222" s="50">
        <f>Table_246[[#This Row],[Valor da 
venda]]-Table_246[[#This Row],[Valor gasto]]</f>
        <v>22</v>
      </c>
      <c r="M222" s="111">
        <f t="shared" si="14"/>
        <v>0.73333333333333328</v>
      </c>
      <c r="N222" s="52" t="s">
        <v>20</v>
      </c>
      <c r="O222" t="str">
        <f>IF([1]!Table_246[[#This Row],[Coluna2]]&gt;0.5, "🔥 Excelente", IF([1]!Table_246[[#This Row],[Coluna2]]&gt;0.4, "👍 Bom", "⚠️ Baixo"))</f>
        <v>⚠️ Baixo</v>
      </c>
    </row>
    <row r="223" spans="1:15" ht="15.75" customHeight="1">
      <c r="A223" s="28">
        <f>IF(Table_246[[#This Row],[Data]]="","",MONTH(Table_246[[#This Row],[Data]]))</f>
        <v>3</v>
      </c>
      <c r="B223" s="32">
        <v>46109</v>
      </c>
      <c r="C223" s="36" t="s">
        <v>2035</v>
      </c>
      <c r="D223" s="43">
        <v>1</v>
      </c>
      <c r="E223" s="48" t="s">
        <v>1008</v>
      </c>
      <c r="F223" s="48" t="s">
        <v>555</v>
      </c>
      <c r="G223" s="49" t="str">
        <f>IFERROR(VLOOKUP(C223,PROD!$A$2:$E$1204,5,0),"0")</f>
        <v>0</v>
      </c>
      <c r="H223" s="10">
        <f>Table_246[[#This Row],[QT]]*Table_246[[#This Row],[Custo 
Un]]</f>
        <v>0</v>
      </c>
      <c r="I223" s="52">
        <v>60</v>
      </c>
      <c r="J223" s="263">
        <f t="shared" si="13"/>
        <v>60</v>
      </c>
      <c r="K223" s="10">
        <f t="shared" si="12"/>
        <v>60</v>
      </c>
      <c r="L223" s="50">
        <f>Table_246[[#This Row],[Valor da 
venda]]-Table_246[[#This Row],[Valor gasto]]</f>
        <v>60</v>
      </c>
      <c r="M223" s="111">
        <f t="shared" si="14"/>
        <v>1</v>
      </c>
      <c r="N223" s="52" t="s">
        <v>20</v>
      </c>
      <c r="O223" t="str">
        <f>IF([1]!Table_246[[#This Row],[Coluna2]]&gt;0.5, "🔥 Excelente", IF([1]!Table_246[[#This Row],[Coluna2]]&gt;0.4, "👍 Bom", "⚠️ Baixo"))</f>
        <v>⚠️ Baixo</v>
      </c>
    </row>
    <row r="224" spans="1:15" ht="15.75" customHeight="1">
      <c r="A224" s="28">
        <f>IF(Table_246[[#This Row],[Data]]="","",MONTH(Table_246[[#This Row],[Data]]))</f>
        <v>3</v>
      </c>
      <c r="B224" s="32">
        <v>46110</v>
      </c>
      <c r="C224" s="79" t="s">
        <v>2147</v>
      </c>
      <c r="D224" s="84">
        <v>1</v>
      </c>
      <c r="E224" s="48" t="s">
        <v>1008</v>
      </c>
      <c r="F224" s="87" t="s">
        <v>555</v>
      </c>
      <c r="G224" s="49" t="str">
        <f>IFERROR(VLOOKUP(C224,PROD!$A$2:$E$1204,5,0),"0")</f>
        <v>0</v>
      </c>
      <c r="H224" s="10">
        <f>Table_246[[#This Row],[QT]]*Table_246[[#This Row],[Custo 
Un]]</f>
        <v>0</v>
      </c>
      <c r="I224" s="92">
        <v>1</v>
      </c>
      <c r="J224" s="92">
        <f t="shared" si="13"/>
        <v>1</v>
      </c>
      <c r="K224" s="10">
        <f t="shared" si="12"/>
        <v>1</v>
      </c>
      <c r="L224" s="50">
        <f>Table_246[[#This Row],[Valor da 
venda]]-Table_246[[#This Row],[Valor gasto]]</f>
        <v>1</v>
      </c>
      <c r="M224" s="111">
        <f t="shared" si="14"/>
        <v>1</v>
      </c>
      <c r="N224" s="52" t="s">
        <v>20</v>
      </c>
      <c r="O224" t="str">
        <f>IF([1]!Table_246[[#This Row],[Coluna2]]&gt;0.5, "🔥 Excelente", IF([1]!Table_246[[#This Row],[Coluna2]]&gt;0.4, "👍 Bom", "⚠️ Baixo"))</f>
        <v>⚠️ Baixo</v>
      </c>
    </row>
    <row r="225" spans="1:15" ht="15.75" customHeight="1" collapsed="1">
      <c r="A225" s="28">
        <f>IF(Table_246[[#This Row],[Data]]="","",MONTH(Table_246[[#This Row],[Data]]))</f>
        <v>3</v>
      </c>
      <c r="B225" s="32">
        <v>46111</v>
      </c>
      <c r="C225" s="36" t="s">
        <v>2148</v>
      </c>
      <c r="D225" s="43">
        <v>1</v>
      </c>
      <c r="E225" s="48" t="s">
        <v>821</v>
      </c>
      <c r="F225" s="87" t="s">
        <v>555</v>
      </c>
      <c r="G225" s="49">
        <v>35</v>
      </c>
      <c r="H225" s="10">
        <f>Table_246[[#This Row],[QT]]*Table_246[[#This Row],[Custo 
Un]]</f>
        <v>35</v>
      </c>
      <c r="I225" s="52">
        <v>60</v>
      </c>
      <c r="J225" s="263">
        <f t="shared" si="13"/>
        <v>60</v>
      </c>
      <c r="K225" s="10">
        <f t="shared" si="12"/>
        <v>60</v>
      </c>
      <c r="L225" s="50">
        <f>Table_246[[#This Row],[Valor da 
venda]]-Table_246[[#This Row],[Valor gasto]]</f>
        <v>25</v>
      </c>
      <c r="M225" s="111">
        <f t="shared" si="14"/>
        <v>0.41666666666666669</v>
      </c>
      <c r="N225" s="52" t="s">
        <v>20</v>
      </c>
      <c r="O225" s="114" t="str">
        <f>IF([1]!Table_246[[#This Row],[Coluna2]]&gt;0.5, "🔥 Excelente", IF([1]!Table_246[[#This Row],[Coluna2]]&gt;0.4, "👍 Bom", "⚠️ Baixo"))</f>
        <v>⚠️ Baixo</v>
      </c>
    </row>
    <row r="226" spans="1:15" ht="15.75" customHeight="1">
      <c r="A226" s="28">
        <f>IF(Table_246[[#This Row],[Data]]="","",MONTH(Table_246[[#This Row],[Data]]))</f>
        <v>3</v>
      </c>
      <c r="B226" s="32">
        <v>46112</v>
      </c>
      <c r="C226" s="36" t="s">
        <v>2149</v>
      </c>
      <c r="D226" s="43">
        <v>1</v>
      </c>
      <c r="E226" s="48" t="s">
        <v>2085</v>
      </c>
      <c r="F226" s="87" t="s">
        <v>555</v>
      </c>
      <c r="G226" s="49">
        <v>25</v>
      </c>
      <c r="H226" s="10">
        <f>Table_246[[#This Row],[QT]]*Table_246[[#This Row],[Custo 
Un]]</f>
        <v>25</v>
      </c>
      <c r="I226" s="52">
        <v>40</v>
      </c>
      <c r="J226" s="263">
        <f t="shared" si="13"/>
        <v>40</v>
      </c>
      <c r="K226" s="10">
        <f t="shared" si="12"/>
        <v>40</v>
      </c>
      <c r="L226" s="50">
        <f>Table_246[[#This Row],[Valor da 
venda]]-Table_246[[#This Row],[Valor gasto]]</f>
        <v>15</v>
      </c>
      <c r="M226" s="111">
        <f t="shared" si="14"/>
        <v>0.375</v>
      </c>
      <c r="N226" s="52" t="s">
        <v>20</v>
      </c>
      <c r="O226" s="114" t="str">
        <f>IF([1]!Table_246[[#This Row],[Coluna2]]&gt;0.5, "🔥 Excelente", IF([1]!Table_246[[#This Row],[Coluna2]]&gt;0.4, "👍 Bom", "⚠️ Baixo"))</f>
        <v>⚠️ Baixo</v>
      </c>
    </row>
    <row r="227" spans="1:15" ht="15.75" customHeight="1">
      <c r="A227" s="28">
        <f>IF(Table_246[[#This Row],[Data]]="","",MONTH(Table_246[[#This Row],[Data]]))</f>
        <v>4</v>
      </c>
      <c r="B227" s="32">
        <v>46113</v>
      </c>
      <c r="C227" s="36" t="s">
        <v>1072</v>
      </c>
      <c r="D227" s="43">
        <v>6</v>
      </c>
      <c r="E227" s="48" t="s">
        <v>1008</v>
      </c>
      <c r="F227" s="87" t="s">
        <v>555</v>
      </c>
      <c r="G227" s="49">
        <f>IFERROR(VLOOKUP(C227,PROD!$A$2:$E$1204,5,0),"0")</f>
        <v>0.7</v>
      </c>
      <c r="H227" s="10">
        <f>Table_246[[#This Row],[QT]]*Table_246[[#This Row],[Custo 
Un]]</f>
        <v>4.1999999999999993</v>
      </c>
      <c r="I227" s="52">
        <v>5</v>
      </c>
      <c r="J227" s="263">
        <f t="shared" si="13"/>
        <v>30</v>
      </c>
      <c r="K227" s="10">
        <f t="shared" si="12"/>
        <v>30</v>
      </c>
      <c r="L227" s="50">
        <f>Table_246[[#This Row],[Valor da 
venda]]-Table_246[[#This Row],[Valor gasto]]</f>
        <v>25.8</v>
      </c>
      <c r="M227" s="111">
        <f t="shared" si="14"/>
        <v>0.86</v>
      </c>
      <c r="N227" s="52" t="s">
        <v>20</v>
      </c>
      <c r="O227" s="114" t="str">
        <f>IF([1]!Table_246[[#This Row],[Coluna2]]&gt;0.5, "🔥 Excelente", IF([1]!Table_246[[#This Row],[Coluna2]]&gt;0.4, "👍 Bom", "⚠️ Baixo"))</f>
        <v>⚠️ Baixo</v>
      </c>
    </row>
    <row r="228" spans="1:15" ht="15.75" customHeight="1">
      <c r="A228" s="28">
        <f>IF(Table_246[[#This Row],[Data]]="","",MONTH(Table_246[[#This Row],[Data]]))</f>
        <v>4</v>
      </c>
      <c r="B228" s="32">
        <v>46114</v>
      </c>
      <c r="C228" s="36" t="s">
        <v>1092</v>
      </c>
      <c r="D228" s="43">
        <v>2</v>
      </c>
      <c r="E228" s="48" t="s">
        <v>2150</v>
      </c>
      <c r="F228" s="87" t="s">
        <v>22</v>
      </c>
      <c r="G228" s="49">
        <f>IFERROR(VLOOKUP(C228,PROD!$A$2:$E$1204,5,0),"0")</f>
        <v>7.5</v>
      </c>
      <c r="H228" s="10">
        <f>Table_246[[#This Row],[QT]]*Table_246[[#This Row],[Custo 
Un]]</f>
        <v>15</v>
      </c>
      <c r="I228" s="52">
        <v>15</v>
      </c>
      <c r="J228" s="263">
        <f t="shared" si="13"/>
        <v>30</v>
      </c>
      <c r="K228" s="10">
        <f>I228*D228</f>
        <v>30</v>
      </c>
      <c r="L228" s="50">
        <f>Table_246[[#This Row],[Valor da 
venda]]-Table_246[[#This Row],[Valor gasto]]</f>
        <v>15</v>
      </c>
      <c r="M228" s="111">
        <f t="shared" si="14"/>
        <v>0.5</v>
      </c>
      <c r="N228" s="52" t="s">
        <v>20</v>
      </c>
      <c r="O228" s="114" t="str">
        <f>IF([1]!Table_246[[#This Row],[Coluna2]]&gt;0.5, "🔥 Excelente", IF([1]!Table_246[[#This Row],[Coluna2]]&gt;0.4, "👍 Bom", "⚠️ Baixo"))</f>
        <v>⚠️ Baixo</v>
      </c>
    </row>
    <row r="229" spans="1:15" ht="15.75" customHeight="1">
      <c r="A229" s="28">
        <f>IF(Table_246[[#This Row],[Data]]="","",MONTH(Table_246[[#This Row],[Data]]))</f>
        <v>4</v>
      </c>
      <c r="B229" s="32">
        <v>46115</v>
      </c>
      <c r="C229" s="109" t="s">
        <v>1047</v>
      </c>
      <c r="D229" s="43">
        <v>1</v>
      </c>
      <c r="E229" s="48" t="s">
        <v>2151</v>
      </c>
      <c r="F229" s="48" t="s">
        <v>22</v>
      </c>
      <c r="G229" s="49">
        <f>IFERROR(VLOOKUP(C229,PROD!$A$2:$E$1204,5,0),"0")</f>
        <v>0.7</v>
      </c>
      <c r="H229" s="10">
        <f>Table_246[[#This Row],[QT]]*Table_246[[#This Row],[Custo 
Un]]</f>
        <v>0.7</v>
      </c>
      <c r="I229" s="52">
        <v>5.5</v>
      </c>
      <c r="J229" s="263">
        <f t="shared" si="13"/>
        <v>5.5</v>
      </c>
      <c r="K229" s="10">
        <f>I229*D229</f>
        <v>5.5</v>
      </c>
      <c r="L229" s="50">
        <f>Table_246[[#This Row],[Valor da 
venda]]-Table_246[[#This Row],[Valor gasto]]</f>
        <v>4.8</v>
      </c>
      <c r="M229" s="111">
        <f t="shared" si="14"/>
        <v>0.87272727272727268</v>
      </c>
      <c r="N229" s="52" t="s">
        <v>20</v>
      </c>
      <c r="O229" s="114" t="str">
        <f>IF([1]!Table_246[[#This Row],[Coluna2]]&gt;0.5, "🔥 Excelente", IF([1]!Table_246[[#This Row],[Coluna2]]&gt;0.4, "👍 Bom", "⚠️ Baixo"))</f>
        <v>⚠️ Baixo</v>
      </c>
    </row>
    <row r="230" spans="1:15" ht="15.75" customHeight="1">
      <c r="A230" s="28">
        <f>IF(Table_246[[#This Row],[Data]]="","",MONTH(Table_246[[#This Row],[Data]]))</f>
        <v>4</v>
      </c>
      <c r="B230" s="32">
        <v>46116</v>
      </c>
      <c r="C230" s="109" t="s">
        <v>1047</v>
      </c>
      <c r="D230" s="43">
        <v>1</v>
      </c>
      <c r="E230" s="48" t="s">
        <v>2152</v>
      </c>
      <c r="F230" s="48" t="s">
        <v>22</v>
      </c>
      <c r="G230" s="49">
        <f>IFERROR(VLOOKUP(C230,PROD!$A$2:$E$1204,5,0),"0")</f>
        <v>0.7</v>
      </c>
      <c r="H230" s="10">
        <f>Table_246[[#This Row],[QT]]*Table_246[[#This Row],[Custo 
Un]]</f>
        <v>0.7</v>
      </c>
      <c r="I230" s="52">
        <v>5.5</v>
      </c>
      <c r="J230" s="263">
        <f t="shared" si="13"/>
        <v>5.5</v>
      </c>
      <c r="K230" s="10">
        <f t="shared" si="12"/>
        <v>5.5</v>
      </c>
      <c r="L230" s="50">
        <f>Table_246[[#This Row],[Valor da 
venda]]-Table_246[[#This Row],[Valor gasto]]</f>
        <v>4.8</v>
      </c>
      <c r="M230" s="111">
        <f t="shared" si="14"/>
        <v>0.87272727272727268</v>
      </c>
      <c r="N230" s="52" t="s">
        <v>20</v>
      </c>
      <c r="O230" s="114" t="str">
        <f>IF([1]!Table_246[[#This Row],[Coluna2]]&gt;0.5, "🔥 Excelente", IF([1]!Table_246[[#This Row],[Coluna2]]&gt;0.4, "👍 Bom", "⚠️ Baixo"))</f>
        <v>⚠️ Baixo</v>
      </c>
    </row>
    <row r="231" spans="1:15" ht="15.75" customHeight="1">
      <c r="A231" s="28">
        <f>IF(Table_246[[#This Row],[Data]]="","",MONTH(Table_246[[#This Row],[Data]]))</f>
        <v>4</v>
      </c>
      <c r="B231" s="32">
        <v>46117</v>
      </c>
      <c r="C231" s="109" t="s">
        <v>1047</v>
      </c>
      <c r="D231" s="43">
        <v>1</v>
      </c>
      <c r="E231" s="48" t="s">
        <v>2153</v>
      </c>
      <c r="F231" s="48" t="s">
        <v>22</v>
      </c>
      <c r="G231" s="49">
        <f>IFERROR(VLOOKUP(C231,PROD!$A$2:$E$1204,5,0),"0")</f>
        <v>0.7</v>
      </c>
      <c r="H231" s="10">
        <f>Table_246[[#This Row],[QT]]*Table_246[[#This Row],[Custo 
Un]]</f>
        <v>0.7</v>
      </c>
      <c r="I231" s="52">
        <v>5.5</v>
      </c>
      <c r="J231" s="263">
        <f t="shared" si="13"/>
        <v>5.5</v>
      </c>
      <c r="K231" s="10">
        <f t="shared" si="12"/>
        <v>5.5</v>
      </c>
      <c r="L231" s="50">
        <f>Table_246[[#This Row],[Valor da 
venda]]-Table_246[[#This Row],[Valor gasto]]</f>
        <v>4.8</v>
      </c>
      <c r="M231" s="111">
        <f t="shared" si="14"/>
        <v>0.87272727272727268</v>
      </c>
      <c r="N231" s="52" t="s">
        <v>20</v>
      </c>
      <c r="O231" s="114" t="str">
        <f>IF([1]!Table_246[[#This Row],[Coluna2]]&gt;0.5, "🔥 Excelente", IF([1]!Table_246[[#This Row],[Coluna2]]&gt;0.4, "👍 Bom", "⚠️ Baixo"))</f>
        <v>⚠️ Baixo</v>
      </c>
    </row>
    <row r="232" spans="1:15" ht="15.75" customHeight="1">
      <c r="A232" s="28">
        <f>IF(Table_246[[#This Row],[Data]]="","",MONTH(Table_246[[#This Row],[Data]]))</f>
        <v>4</v>
      </c>
      <c r="B232" s="32">
        <v>46118</v>
      </c>
      <c r="C232" s="109" t="s">
        <v>1047</v>
      </c>
      <c r="D232" s="43">
        <v>1</v>
      </c>
      <c r="E232" s="48" t="s">
        <v>2154</v>
      </c>
      <c r="F232" s="48" t="s">
        <v>22</v>
      </c>
      <c r="G232" s="49">
        <f>IFERROR(VLOOKUP(C232,PROD!$A$2:$E$1204,5,0),"0")</f>
        <v>0.7</v>
      </c>
      <c r="H232" s="10">
        <f>Table_246[[#This Row],[QT]]*Table_246[[#This Row],[Custo 
Un]]</f>
        <v>0.7</v>
      </c>
      <c r="I232" s="52">
        <v>5.5</v>
      </c>
      <c r="J232" s="263">
        <f t="shared" si="13"/>
        <v>5.5</v>
      </c>
      <c r="K232" s="10">
        <f t="shared" si="12"/>
        <v>5.5</v>
      </c>
      <c r="L232" s="50">
        <f>Table_246[[#This Row],[Valor da 
venda]]-Table_246[[#This Row],[Valor gasto]]</f>
        <v>4.8</v>
      </c>
      <c r="M232" s="111">
        <f t="shared" si="14"/>
        <v>0.87272727272727268</v>
      </c>
      <c r="N232" s="52" t="s">
        <v>20</v>
      </c>
      <c r="O232" s="114" t="str">
        <f>IF([1]!Table_246[[#This Row],[Coluna2]]&gt;0.5, "🔥 Excelente", IF([1]!Table_246[[#This Row],[Coluna2]]&gt;0.4, "👍 Bom", "⚠️ Baixo"))</f>
        <v>⚠️ Baixo</v>
      </c>
    </row>
    <row r="233" spans="1:15" ht="15.75" customHeight="1">
      <c r="A233" s="28">
        <f>IF(Table_246[[#This Row],[Data]]="","",MONTH(Table_246[[#This Row],[Data]]))</f>
        <v>4</v>
      </c>
      <c r="B233" s="32">
        <v>46118</v>
      </c>
      <c r="C233" s="109" t="s">
        <v>1047</v>
      </c>
      <c r="D233" s="43">
        <v>1</v>
      </c>
      <c r="E233" s="48" t="s">
        <v>2155</v>
      </c>
      <c r="F233" s="48" t="s">
        <v>22</v>
      </c>
      <c r="G233" s="49">
        <f>IFERROR(VLOOKUP(C233,PROD!$A$2:$E$1204,5,0),"0")</f>
        <v>0.7</v>
      </c>
      <c r="H233" s="10">
        <f>Table_246[[#This Row],[QT]]*Table_246[[#This Row],[Custo 
Un]]</f>
        <v>0.7</v>
      </c>
      <c r="I233" s="52">
        <v>5.5</v>
      </c>
      <c r="J233" s="263">
        <f t="shared" si="13"/>
        <v>5.5</v>
      </c>
      <c r="K233" s="10">
        <f t="shared" si="12"/>
        <v>5.5</v>
      </c>
      <c r="L233" s="50">
        <f>Table_246[[#This Row],[Valor da 
venda]]-Table_246[[#This Row],[Valor gasto]]</f>
        <v>4.8</v>
      </c>
      <c r="M233" s="111">
        <f t="shared" si="14"/>
        <v>0.87272727272727268</v>
      </c>
      <c r="N233" s="52" t="s">
        <v>20</v>
      </c>
      <c r="O233" s="114" t="str">
        <f>IF([1]!Table_246[[#This Row],[Coluna2]]&gt;0.5, "🔥 Excelente", IF([1]!Table_246[[#This Row],[Coluna2]]&gt;0.4, "👍 Bom", "⚠️ Baixo"))</f>
        <v>⚠️ Baixo</v>
      </c>
    </row>
    <row r="234" spans="1:15" ht="15.75" customHeight="1">
      <c r="A234" s="28">
        <f>IF(Table_246[[#This Row],[Data]]="","",MONTH(Table_246[[#This Row],[Data]]))</f>
        <v>4</v>
      </c>
      <c r="B234" s="32">
        <v>46118</v>
      </c>
      <c r="C234" s="109" t="s">
        <v>1047</v>
      </c>
      <c r="D234" s="43">
        <v>1</v>
      </c>
      <c r="E234" s="48" t="s">
        <v>2156</v>
      </c>
      <c r="F234" s="48" t="s">
        <v>22</v>
      </c>
      <c r="G234" s="49">
        <f>IFERROR(VLOOKUP(C234,PROD!$A$2:$E$1204,5,0),"0")</f>
        <v>0.7</v>
      </c>
      <c r="H234" s="10">
        <f>Table_246[[#This Row],[QT]]*Table_246[[#This Row],[Custo 
Un]]</f>
        <v>0.7</v>
      </c>
      <c r="I234" s="52">
        <v>5.5</v>
      </c>
      <c r="J234" s="263">
        <f t="shared" si="13"/>
        <v>5.5</v>
      </c>
      <c r="K234" s="10">
        <f t="shared" si="12"/>
        <v>5.5</v>
      </c>
      <c r="L234" s="50">
        <f>Table_246[[#This Row],[Valor da 
venda]]-Table_246[[#This Row],[Valor gasto]]</f>
        <v>4.8</v>
      </c>
      <c r="M234" s="111">
        <f t="shared" si="14"/>
        <v>0.87272727272727268</v>
      </c>
      <c r="N234" s="52" t="s">
        <v>20</v>
      </c>
      <c r="O234" s="114" t="str">
        <f>IF([1]!Table_246[[#This Row],[Coluna2]]&gt;0.5, "🔥 Excelente", IF([1]!Table_246[[#This Row],[Coluna2]]&gt;0.4, "👍 Bom", "⚠️ Baixo"))</f>
        <v>⚠️ Baixo</v>
      </c>
    </row>
    <row r="235" spans="1:15" ht="15.75" customHeight="1">
      <c r="A235" s="28">
        <f>IF(Table_246[[#This Row],[Data]]="","",MONTH(Table_246[[#This Row],[Data]]))</f>
        <v>4</v>
      </c>
      <c r="B235" s="32">
        <v>46118</v>
      </c>
      <c r="C235" s="109" t="s">
        <v>1047</v>
      </c>
      <c r="D235" s="43">
        <v>1</v>
      </c>
      <c r="E235" s="48" t="s">
        <v>2157</v>
      </c>
      <c r="F235" s="48" t="s">
        <v>22</v>
      </c>
      <c r="G235" s="49">
        <f>IFERROR(VLOOKUP(C235,PROD!$A$2:$E$1204,5,0),"0")</f>
        <v>0.7</v>
      </c>
      <c r="H235" s="10">
        <f>Table_246[[#This Row],[QT]]*Table_246[[#This Row],[Custo 
Un]]</f>
        <v>0.7</v>
      </c>
      <c r="I235" s="52">
        <v>5.5</v>
      </c>
      <c r="J235" s="263">
        <f t="shared" si="13"/>
        <v>5.5</v>
      </c>
      <c r="K235" s="10">
        <f t="shared" si="12"/>
        <v>5.5</v>
      </c>
      <c r="L235" s="50">
        <f>Table_246[[#This Row],[Valor da 
venda]]-Table_246[[#This Row],[Valor gasto]]</f>
        <v>4.8</v>
      </c>
      <c r="M235" s="111">
        <f t="shared" si="14"/>
        <v>0.87272727272727268</v>
      </c>
      <c r="N235" s="52" t="s">
        <v>20</v>
      </c>
      <c r="O235" s="114" t="str">
        <f>IF([1]!Table_246[[#This Row],[Coluna2]]&gt;0.5, "🔥 Excelente", IF([1]!Table_246[[#This Row],[Coluna2]]&gt;0.4, "👍 Bom", "⚠️ Baixo"))</f>
        <v>⚠️ Baixo</v>
      </c>
    </row>
    <row r="236" spans="1:15" ht="15.75" customHeight="1">
      <c r="A236" s="28">
        <f>IF(Table_246[[#This Row],[Data]]="","",MONTH(Table_246[[#This Row],[Data]]))</f>
        <v>4</v>
      </c>
      <c r="B236" s="32">
        <v>46118</v>
      </c>
      <c r="C236" s="109" t="s">
        <v>1047</v>
      </c>
      <c r="D236" s="43">
        <v>1</v>
      </c>
      <c r="E236" s="48" t="s">
        <v>2158</v>
      </c>
      <c r="F236" s="48" t="s">
        <v>22</v>
      </c>
      <c r="G236" s="49">
        <f>IFERROR(VLOOKUP(C236,PROD!$A$2:$E$1204,5,0),"0")</f>
        <v>0.7</v>
      </c>
      <c r="H236" s="10">
        <f>Table_246[[#This Row],[QT]]*Table_246[[#This Row],[Custo 
Un]]</f>
        <v>0.7</v>
      </c>
      <c r="I236" s="52">
        <v>5.5</v>
      </c>
      <c r="J236" s="263">
        <f t="shared" si="13"/>
        <v>5.5</v>
      </c>
      <c r="K236" s="10">
        <f t="shared" si="12"/>
        <v>5.5</v>
      </c>
      <c r="L236" s="50">
        <f>Table_246[[#This Row],[Valor da 
venda]]-Table_246[[#This Row],[Valor gasto]]</f>
        <v>4.8</v>
      </c>
      <c r="M236" s="111">
        <f t="shared" si="14"/>
        <v>0.87272727272727268</v>
      </c>
      <c r="N236" s="52" t="s">
        <v>20</v>
      </c>
      <c r="O236" s="114" t="str">
        <f>IF([1]!Table_246[[#This Row],[Coluna2]]&gt;0.5, "🔥 Excelente", IF([1]!Table_246[[#This Row],[Coluna2]]&gt;0.4, "👍 Bom", "⚠️ Baixo"))</f>
        <v>⚠️ Baixo</v>
      </c>
    </row>
    <row r="237" spans="1:15" ht="15.75" customHeight="1">
      <c r="A237" s="28">
        <f>IF(Table_246[[#This Row],[Data]]="","",MONTH(Table_246[[#This Row],[Data]]))</f>
        <v>4</v>
      </c>
      <c r="B237" s="32">
        <v>46118</v>
      </c>
      <c r="C237" s="109" t="s">
        <v>1047</v>
      </c>
      <c r="D237" s="43">
        <v>1</v>
      </c>
      <c r="E237" s="48" t="s">
        <v>2159</v>
      </c>
      <c r="F237" s="48" t="s">
        <v>22</v>
      </c>
      <c r="G237" s="49">
        <f>IFERROR(VLOOKUP(C237,PROD!$A$2:$E$1204,5,0),"0")</f>
        <v>0.7</v>
      </c>
      <c r="H237" s="10">
        <f>Table_246[[#This Row],[QT]]*Table_246[[#This Row],[Custo 
Un]]</f>
        <v>0.7</v>
      </c>
      <c r="I237" s="52">
        <v>5.5</v>
      </c>
      <c r="J237" s="263">
        <f t="shared" si="13"/>
        <v>5.5</v>
      </c>
      <c r="K237" s="10">
        <f t="shared" si="12"/>
        <v>5.5</v>
      </c>
      <c r="L237" s="50">
        <f>Table_246[[#This Row],[Valor da 
venda]]-Table_246[[#This Row],[Valor gasto]]</f>
        <v>4.8</v>
      </c>
      <c r="M237" s="111">
        <f t="shared" si="14"/>
        <v>0.87272727272727268</v>
      </c>
      <c r="N237" s="52" t="s">
        <v>20</v>
      </c>
      <c r="O237" s="114" t="str">
        <f>IF([1]!Table_246[[#This Row],[Coluna2]]&gt;0.5, "🔥 Excelente", IF([1]!Table_246[[#This Row],[Coluna2]]&gt;0.4, "👍 Bom", "⚠️ Baixo"))</f>
        <v>⚠️ Baixo</v>
      </c>
    </row>
    <row r="238" spans="1:15" ht="15.75" customHeight="1">
      <c r="A238" s="28">
        <f>IF(Table_246[[#This Row],[Data]]="","",MONTH(Table_246[[#This Row],[Data]]))</f>
        <v>4</v>
      </c>
      <c r="B238" s="32">
        <v>46118</v>
      </c>
      <c r="C238" s="109" t="s">
        <v>1047</v>
      </c>
      <c r="D238" s="43">
        <v>1</v>
      </c>
      <c r="E238" s="48" t="s">
        <v>2160</v>
      </c>
      <c r="F238" s="48" t="s">
        <v>22</v>
      </c>
      <c r="G238" s="49">
        <f>IFERROR(VLOOKUP(C238,PROD!$A$2:$E$1204,5,0),"0")</f>
        <v>0.7</v>
      </c>
      <c r="H238" s="10">
        <f>Table_246[[#This Row],[QT]]*Table_246[[#This Row],[Custo 
Un]]</f>
        <v>0.7</v>
      </c>
      <c r="I238" s="52">
        <v>5.5</v>
      </c>
      <c r="J238" s="263">
        <f t="shared" si="13"/>
        <v>5.5</v>
      </c>
      <c r="K238" s="10">
        <f t="shared" si="12"/>
        <v>5.5</v>
      </c>
      <c r="L238" s="50">
        <f>Table_246[[#This Row],[Valor da 
venda]]-Table_246[[#This Row],[Valor gasto]]</f>
        <v>4.8</v>
      </c>
      <c r="M238" s="111">
        <f t="shared" si="14"/>
        <v>0.87272727272727268</v>
      </c>
      <c r="N238" s="52" t="s">
        <v>20</v>
      </c>
      <c r="O238" s="114" t="str">
        <f>IF([1]!Table_246[[#This Row],[Coluna2]]&gt;0.5, "🔥 Excelente", IF([1]!Table_246[[#This Row],[Coluna2]]&gt;0.4, "👍 Bom", "⚠️ Baixo"))</f>
        <v>⚠️ Baixo</v>
      </c>
    </row>
    <row r="239" spans="1:15" ht="15.75" customHeight="1">
      <c r="A239" s="28">
        <f>IF(Table_246[[#This Row],[Data]]="","",MONTH(Table_246[[#This Row],[Data]]))</f>
        <v>4</v>
      </c>
      <c r="B239" s="32">
        <v>46119</v>
      </c>
      <c r="C239" s="109" t="s">
        <v>1047</v>
      </c>
      <c r="D239" s="43">
        <v>1</v>
      </c>
      <c r="E239" s="48" t="s">
        <v>2161</v>
      </c>
      <c r="F239" s="48" t="s">
        <v>22</v>
      </c>
      <c r="G239" s="49">
        <f>IFERROR(VLOOKUP(C239,PROD!$A$2:$E$1204,5,0),"0")</f>
        <v>0.7</v>
      </c>
      <c r="H239" s="10">
        <f>Table_246[[#This Row],[QT]]*Table_246[[#This Row],[Custo 
Un]]</f>
        <v>0.7</v>
      </c>
      <c r="I239" s="52">
        <v>5.5</v>
      </c>
      <c r="J239" s="263">
        <f t="shared" si="13"/>
        <v>5.5</v>
      </c>
      <c r="K239" s="10">
        <f t="shared" si="12"/>
        <v>5.5</v>
      </c>
      <c r="L239" s="50">
        <f>Table_246[[#This Row],[Valor da 
venda]]-Table_246[[#This Row],[Valor gasto]]</f>
        <v>4.8</v>
      </c>
      <c r="M239" s="111">
        <f t="shared" si="14"/>
        <v>0.87272727272727268</v>
      </c>
      <c r="N239" s="52" t="s">
        <v>20</v>
      </c>
      <c r="O239" s="114" t="str">
        <f>IF([1]!Table_246[[#This Row],[Coluna2]]&gt;0.5, "🔥 Excelente", IF([1]!Table_246[[#This Row],[Coluna2]]&gt;0.4, "👍 Bom", "⚠️ Baixo"))</f>
        <v>⚠️ Baixo</v>
      </c>
    </row>
    <row r="240" spans="1:15" ht="15.75" customHeight="1">
      <c r="A240" s="28">
        <f>IF(Table_246[[#This Row],[Data]]="","",MONTH(Table_246[[#This Row],[Data]]))</f>
        <v>4</v>
      </c>
      <c r="B240" s="32">
        <v>46121</v>
      </c>
      <c r="C240" s="36" t="s">
        <v>1092</v>
      </c>
      <c r="D240" s="43">
        <v>1</v>
      </c>
      <c r="E240" s="48" t="s">
        <v>2162</v>
      </c>
      <c r="F240" s="48" t="s">
        <v>22</v>
      </c>
      <c r="G240" s="49">
        <f>IFERROR(VLOOKUP(C240,PROD!$A$2:$E$1204,5,0),"0")</f>
        <v>7.5</v>
      </c>
      <c r="H240" s="10">
        <f>Table_246[[#This Row],[QT]]*Table_246[[#This Row],[Custo 
Un]]</f>
        <v>7.5</v>
      </c>
      <c r="I240" s="52">
        <v>12.14</v>
      </c>
      <c r="J240" s="263">
        <f t="shared" si="13"/>
        <v>12.14</v>
      </c>
      <c r="K240" s="10">
        <f t="shared" si="12"/>
        <v>12.14</v>
      </c>
      <c r="L240" s="50">
        <f>Table_246[[#This Row],[Valor da 
venda]]-Table_246[[#This Row],[Valor gasto]]</f>
        <v>4.6400000000000006</v>
      </c>
      <c r="M240" s="111">
        <f t="shared" si="14"/>
        <v>0.38220757825370677</v>
      </c>
      <c r="N240" s="52" t="s">
        <v>20</v>
      </c>
      <c r="O240" s="114" t="str">
        <f>IF([1]!Table_246[[#This Row],[Coluna2]]&gt;0.5, "🔥 Excelente", IF([1]!Table_246[[#This Row],[Coluna2]]&gt;0.4, "👍 Bom", "⚠️ Baixo"))</f>
        <v>⚠️ Baixo</v>
      </c>
    </row>
    <row r="241" spans="1:15" ht="15.75" customHeight="1">
      <c r="A241" s="28">
        <f>IF(Table_246[[#This Row],[Data]]="","",MONTH(Table_246[[#This Row],[Data]]))</f>
        <v>4</v>
      </c>
      <c r="B241" s="32">
        <v>46121</v>
      </c>
      <c r="C241" s="36" t="s">
        <v>1092</v>
      </c>
      <c r="D241" s="43">
        <v>1</v>
      </c>
      <c r="E241" s="48" t="s">
        <v>2163</v>
      </c>
      <c r="F241" s="48" t="s">
        <v>22</v>
      </c>
      <c r="G241" s="49">
        <f>IFERROR(VLOOKUP(C241,PROD!$A$2:$E$1204,5,0),"0")</f>
        <v>7.5</v>
      </c>
      <c r="H241" s="10">
        <f>Table_246[[#This Row],[QT]]*Table_246[[#This Row],[Custo 
Un]]</f>
        <v>7.5</v>
      </c>
      <c r="I241" s="52">
        <v>12.14</v>
      </c>
      <c r="J241" s="263">
        <f t="shared" si="13"/>
        <v>12.14</v>
      </c>
      <c r="K241" s="10">
        <f t="shared" si="12"/>
        <v>12.14</v>
      </c>
      <c r="L241" s="50">
        <f>Table_246[[#This Row],[Valor da 
venda]]-Table_246[[#This Row],[Valor gasto]]</f>
        <v>4.6400000000000006</v>
      </c>
      <c r="M241" s="111">
        <f t="shared" si="14"/>
        <v>0.38220757825370677</v>
      </c>
      <c r="N241" s="52" t="s">
        <v>20</v>
      </c>
      <c r="O241" s="114" t="str">
        <f>IF([1]!Table_246[[#This Row],[Coluna2]]&gt;0.5, "🔥 Excelente", IF([1]!Table_246[[#This Row],[Coluna2]]&gt;0.4, "👍 Bom", "⚠️ Baixo"))</f>
        <v>⚠️ Baixo</v>
      </c>
    </row>
    <row r="242" spans="1:15" ht="15.75" customHeight="1">
      <c r="A242" s="28">
        <f>IF(Table_246[[#This Row],[Data]]="","",MONTH(Table_246[[#This Row],[Data]]))</f>
        <v>4</v>
      </c>
      <c r="B242" s="32">
        <v>46121</v>
      </c>
      <c r="C242" s="109" t="s">
        <v>1201</v>
      </c>
      <c r="D242" s="43">
        <v>1</v>
      </c>
      <c r="E242" s="48" t="s">
        <v>2164</v>
      </c>
      <c r="F242" s="48" t="s">
        <v>1016</v>
      </c>
      <c r="G242" s="49">
        <f>IFERROR(VLOOKUP(C242,PROD!$A$2:$E$1204,5,0),"0")</f>
        <v>0.7</v>
      </c>
      <c r="H242" s="10">
        <f>Table_246[[#This Row],[QT]]*Table_246[[#This Row],[Custo 
Un]]</f>
        <v>0.7</v>
      </c>
      <c r="I242" s="52">
        <v>9.1999999999999993</v>
      </c>
      <c r="J242" s="263">
        <f t="shared" si="13"/>
        <v>9.1999999999999993</v>
      </c>
      <c r="K242" s="10">
        <f t="shared" si="12"/>
        <v>9.1999999999999993</v>
      </c>
      <c r="L242" s="50">
        <f>Table_246[[#This Row],[Valor da 
venda]]-Table_246[[#This Row],[Valor gasto]]</f>
        <v>8.5</v>
      </c>
      <c r="M242" s="111">
        <f t="shared" si="14"/>
        <v>0.92391304347826098</v>
      </c>
      <c r="N242" s="52" t="s">
        <v>993</v>
      </c>
      <c r="O242" s="114" t="str">
        <f>IF([1]!Table_246[[#This Row],[Coluna2]]&gt;0.5, "🔥 Excelente", IF([1]!Table_246[[#This Row],[Coluna2]]&gt;0.4, "👍 Bom", "⚠️ Baixo"))</f>
        <v>⚠️ Baixo</v>
      </c>
    </row>
    <row r="243" spans="1:15" ht="15.75" customHeight="1">
      <c r="A243" s="28">
        <f>IF(Table_246[[#This Row],[Data]]="","",MONTH(Table_246[[#This Row],[Data]]))</f>
        <v>4</v>
      </c>
      <c r="B243" s="32">
        <v>46121</v>
      </c>
      <c r="C243" s="109" t="s">
        <v>1201</v>
      </c>
      <c r="D243" s="43">
        <v>1</v>
      </c>
      <c r="E243" s="48" t="s">
        <v>2165</v>
      </c>
      <c r="F243" s="48" t="s">
        <v>1016</v>
      </c>
      <c r="G243" s="49">
        <f>IFERROR(VLOOKUP(C243,PROD!$A$2:$E$1204,5,0),"0")</f>
        <v>0.7</v>
      </c>
      <c r="H243" s="10">
        <f>Table_246[[#This Row],[QT]]*Table_246[[#This Row],[Custo 
Un]]</f>
        <v>0.7</v>
      </c>
      <c r="I243" s="52">
        <v>9.1999999999999993</v>
      </c>
      <c r="J243" s="263">
        <f t="shared" si="13"/>
        <v>9.1999999999999993</v>
      </c>
      <c r="K243" s="10">
        <f t="shared" si="12"/>
        <v>9.1999999999999993</v>
      </c>
      <c r="L243" s="50">
        <f>Table_246[[#This Row],[Valor da 
venda]]-Table_246[[#This Row],[Valor gasto]]</f>
        <v>8.5</v>
      </c>
      <c r="M243" s="111">
        <f t="shared" si="14"/>
        <v>0.92391304347826098</v>
      </c>
      <c r="N243" s="52" t="s">
        <v>993</v>
      </c>
      <c r="O243" s="114" t="str">
        <f>IF([1]!Table_246[[#This Row],[Coluna2]]&gt;0.5, "🔥 Excelente", IF([1]!Table_246[[#This Row],[Coluna2]]&gt;0.4, "👍 Bom", "⚠️ Baixo"))</f>
        <v>⚠️ Baixo</v>
      </c>
    </row>
    <row r="244" spans="1:15" ht="15.75" customHeight="1">
      <c r="A244" s="28">
        <f>IF(Table_246[[#This Row],[Data]]="","",MONTH(Table_246[[#This Row],[Data]]))</f>
        <v>4</v>
      </c>
      <c r="B244" s="32">
        <v>46121</v>
      </c>
      <c r="C244" s="109" t="s">
        <v>1201</v>
      </c>
      <c r="D244" s="43">
        <v>1</v>
      </c>
      <c r="E244" s="48" t="s">
        <v>2166</v>
      </c>
      <c r="F244" s="48" t="s">
        <v>1016</v>
      </c>
      <c r="G244" s="49">
        <f>IFERROR(VLOOKUP(C244,PROD!$A$2:$E$1204,5,0),"0")</f>
        <v>0.7</v>
      </c>
      <c r="H244" s="10">
        <f>Table_246[[#This Row],[QT]]*Table_246[[#This Row],[Custo 
Un]]</f>
        <v>0.7</v>
      </c>
      <c r="I244" s="52">
        <v>9.1999999999999993</v>
      </c>
      <c r="J244" s="263">
        <f t="shared" si="13"/>
        <v>9.1999999999999993</v>
      </c>
      <c r="K244" s="10">
        <f t="shared" si="12"/>
        <v>9.1999999999999993</v>
      </c>
      <c r="L244" s="50">
        <f>Table_246[[#This Row],[Valor da 
venda]]-Table_246[[#This Row],[Valor gasto]]</f>
        <v>8.5</v>
      </c>
      <c r="M244" s="111">
        <f t="shared" si="14"/>
        <v>0.92391304347826098</v>
      </c>
      <c r="N244" s="52" t="s">
        <v>993</v>
      </c>
      <c r="O244" s="114" t="str">
        <f>IF([1]!Table_246[[#This Row],[Coluna2]]&gt;0.5, "🔥 Excelente", IF([1]!Table_246[[#This Row],[Coluna2]]&gt;0.4, "👍 Bom", "⚠️ Baixo"))</f>
        <v>⚠️ Baixo</v>
      </c>
    </row>
    <row r="245" spans="1:15" ht="15.75" customHeight="1">
      <c r="A245" s="28">
        <f>IF(Table_246[[#This Row],[Data]]="","",MONTH(Table_246[[#This Row],[Data]]))</f>
        <v>4</v>
      </c>
      <c r="B245" s="32">
        <v>46122</v>
      </c>
      <c r="C245" s="36" t="s">
        <v>2167</v>
      </c>
      <c r="D245" s="43">
        <v>1</v>
      </c>
      <c r="E245" s="48" t="s">
        <v>2168</v>
      </c>
      <c r="F245" s="48" t="s">
        <v>555</v>
      </c>
      <c r="G245" s="49">
        <v>4</v>
      </c>
      <c r="H245" s="10">
        <f>Table_246[[#This Row],[QT]]*Table_246[[#This Row],[Custo 
Un]]</f>
        <v>4</v>
      </c>
      <c r="I245" s="52">
        <v>15</v>
      </c>
      <c r="J245" s="263">
        <f t="shared" si="13"/>
        <v>15</v>
      </c>
      <c r="K245" s="10">
        <f t="shared" si="12"/>
        <v>15</v>
      </c>
      <c r="L245" s="50">
        <f>Table_246[[#This Row],[Valor da 
venda]]-Table_246[[#This Row],[Valor gasto]]</f>
        <v>11</v>
      </c>
      <c r="M245" s="111">
        <f t="shared" si="14"/>
        <v>0.73333333333333328</v>
      </c>
      <c r="N245" s="52" t="s">
        <v>20</v>
      </c>
      <c r="O245" s="114" t="str">
        <f>IF([1]!Table_246[[#This Row],[Coluna2]]&gt;0.5, "🔥 Excelente", IF([1]!Table_246[[#This Row],[Coluna2]]&gt;0.4, "👍 Bom", "⚠️ Baixo"))</f>
        <v>⚠️ Baixo</v>
      </c>
    </row>
    <row r="246" spans="1:15" ht="15.75" customHeight="1">
      <c r="A246" s="28">
        <f>IF(Table_246[[#This Row],[Data]]="","",MONTH(Table_246[[#This Row],[Data]]))</f>
        <v>4</v>
      </c>
      <c r="B246" s="32">
        <v>46122</v>
      </c>
      <c r="C246" s="36" t="s">
        <v>146</v>
      </c>
      <c r="D246" s="43">
        <v>1</v>
      </c>
      <c r="E246" s="48" t="s">
        <v>245</v>
      </c>
      <c r="F246" s="48" t="s">
        <v>555</v>
      </c>
      <c r="G246" s="49">
        <f>IFERROR(VLOOKUP(C246,PROD!$A$2:$E$1204,5,0),"0")</f>
        <v>7.0000000000000007E-2</v>
      </c>
      <c r="H246" s="10">
        <f>Table_246[[#This Row],[QT]]*Table_246[[#This Row],[Custo 
Un]]</f>
        <v>7.0000000000000007E-2</v>
      </c>
      <c r="I246" s="52">
        <v>1</v>
      </c>
      <c r="J246" s="263">
        <f t="shared" si="13"/>
        <v>1</v>
      </c>
      <c r="K246" s="10">
        <f t="shared" si="12"/>
        <v>1</v>
      </c>
      <c r="L246" s="50">
        <f>Table_246[[#This Row],[Valor da 
venda]]-Table_246[[#This Row],[Valor gasto]]</f>
        <v>0.92999999999999994</v>
      </c>
      <c r="M246" s="111">
        <f t="shared" si="14"/>
        <v>0.92999999999999994</v>
      </c>
      <c r="N246" s="52" t="s">
        <v>20</v>
      </c>
      <c r="O246" s="114" t="str">
        <f>IF([1]!Table_246[[#This Row],[Coluna2]]&gt;0.5, "🔥 Excelente", IF([1]!Table_246[[#This Row],[Coluna2]]&gt;0.4, "👍 Bom", "⚠️ Baixo"))</f>
        <v>⚠️ Baixo</v>
      </c>
    </row>
    <row r="247" spans="1:15" ht="15.75" customHeight="1">
      <c r="A247" s="28">
        <f>IF(Table_246[[#This Row],[Data]]="","",MONTH(Table_246[[#This Row],[Data]]))</f>
        <v>4</v>
      </c>
      <c r="B247" s="32">
        <v>46122</v>
      </c>
      <c r="C247" s="109" t="s">
        <v>1047</v>
      </c>
      <c r="D247" s="43">
        <v>1</v>
      </c>
      <c r="E247" s="48" t="s">
        <v>2169</v>
      </c>
      <c r="F247" s="48" t="s">
        <v>22</v>
      </c>
      <c r="G247" s="49">
        <f>IFERROR(VLOOKUP(C247,PROD!$A$2:$E$1204,5,0),"0")</f>
        <v>0.7</v>
      </c>
      <c r="H247" s="10">
        <f>Table_246[[#This Row],[QT]]*Table_246[[#This Row],[Custo 
Un]]</f>
        <v>0.7</v>
      </c>
      <c r="I247" s="52">
        <v>5.5</v>
      </c>
      <c r="J247" s="263">
        <f t="shared" si="13"/>
        <v>5.5</v>
      </c>
      <c r="K247" s="10">
        <f t="shared" si="12"/>
        <v>5.5</v>
      </c>
      <c r="L247" s="50">
        <f>Table_246[[#This Row],[Valor da 
venda]]-Table_246[[#This Row],[Valor gasto]]</f>
        <v>4.8</v>
      </c>
      <c r="M247" s="111">
        <f t="shared" si="14"/>
        <v>0.87272727272727268</v>
      </c>
      <c r="N247" s="52" t="s">
        <v>20</v>
      </c>
      <c r="O247" s="114" t="str">
        <f>IF([1]!Table_246[[#This Row],[Coluna2]]&gt;0.5, "🔥 Excelente", IF([1]!Table_246[[#This Row],[Coluna2]]&gt;0.4, "👍 Bom", "⚠️ Baixo"))</f>
        <v>⚠️ Baixo</v>
      </c>
    </row>
    <row r="248" spans="1:15" ht="15.75" customHeight="1">
      <c r="A248" s="28">
        <f>IF(Table_246[[#This Row],[Data]]="","",MONTH(Table_246[[#This Row],[Data]]))</f>
        <v>4</v>
      </c>
      <c r="B248" s="32">
        <v>46122</v>
      </c>
      <c r="C248" s="109" t="s">
        <v>1047</v>
      </c>
      <c r="D248" s="43">
        <v>1</v>
      </c>
      <c r="E248" s="48" t="s">
        <v>2170</v>
      </c>
      <c r="F248" s="48" t="s">
        <v>22</v>
      </c>
      <c r="G248" s="49">
        <f>IFERROR(VLOOKUP(C248,PROD!$A$2:$E$1204,5,0),"0")</f>
        <v>0.7</v>
      </c>
      <c r="H248" s="10">
        <f>Table_246[[#This Row],[QT]]*Table_246[[#This Row],[Custo 
Un]]</f>
        <v>0.7</v>
      </c>
      <c r="I248" s="52">
        <v>5.5</v>
      </c>
      <c r="J248" s="263">
        <f t="shared" si="13"/>
        <v>5.5</v>
      </c>
      <c r="K248" s="10">
        <f t="shared" si="12"/>
        <v>5.5</v>
      </c>
      <c r="L248" s="50">
        <f>Table_246[[#This Row],[Valor da 
venda]]-Table_246[[#This Row],[Valor gasto]]</f>
        <v>4.8</v>
      </c>
      <c r="M248" s="111">
        <f t="shared" si="14"/>
        <v>0.87272727272727268</v>
      </c>
      <c r="N248" s="52" t="s">
        <v>20</v>
      </c>
      <c r="O248" s="114" t="str">
        <f>IF([1]!Table_246[[#This Row],[Coluna2]]&gt;0.5, "🔥 Excelente", IF([1]!Table_246[[#This Row],[Coluna2]]&gt;0.4, "👍 Bom", "⚠️ Baixo"))</f>
        <v>⚠️ Baixo</v>
      </c>
    </row>
    <row r="249" spans="1:15" ht="15.75" customHeight="1">
      <c r="A249" s="28">
        <f>IF(Table_246[[#This Row],[Data]]="","",MONTH(Table_246[[#This Row],[Data]]))</f>
        <v>4</v>
      </c>
      <c r="B249" s="32">
        <v>46122</v>
      </c>
      <c r="C249" s="109" t="s">
        <v>1047</v>
      </c>
      <c r="D249" s="43">
        <v>1</v>
      </c>
      <c r="E249" s="48" t="s">
        <v>2171</v>
      </c>
      <c r="F249" s="48" t="s">
        <v>22</v>
      </c>
      <c r="G249" s="49">
        <f>IFERROR(VLOOKUP(C249,PROD!$A$2:$E$1204,5,0),"0")</f>
        <v>0.7</v>
      </c>
      <c r="H249" s="10">
        <f>Table_246[[#This Row],[QT]]*Table_246[[#This Row],[Custo 
Un]]</f>
        <v>0.7</v>
      </c>
      <c r="I249" s="52">
        <v>5.5</v>
      </c>
      <c r="J249" s="263">
        <f t="shared" si="13"/>
        <v>5.5</v>
      </c>
      <c r="K249" s="10">
        <f t="shared" si="12"/>
        <v>5.5</v>
      </c>
      <c r="L249" s="50">
        <f>Table_246[[#This Row],[Valor da 
venda]]-Table_246[[#This Row],[Valor gasto]]</f>
        <v>4.8</v>
      </c>
      <c r="M249" s="111">
        <f t="shared" si="14"/>
        <v>0.87272727272727268</v>
      </c>
      <c r="N249" s="52" t="s">
        <v>20</v>
      </c>
      <c r="O249" s="114" t="str">
        <f>IF([1]!Table_246[[#This Row],[Coluna2]]&gt;0.5, "🔥 Excelente", IF([1]!Table_246[[#This Row],[Coluna2]]&gt;0.4, "👍 Bom", "⚠️ Baixo"))</f>
        <v>⚠️ Baixo</v>
      </c>
    </row>
    <row r="250" spans="1:15" ht="15.75" customHeight="1">
      <c r="A250" s="28">
        <f>IF(Table_246[[#This Row],[Data]]="","",MONTH(Table_246[[#This Row],[Data]]))</f>
        <v>4</v>
      </c>
      <c r="B250" s="32">
        <v>46123</v>
      </c>
      <c r="C250" s="36" t="s">
        <v>97</v>
      </c>
      <c r="D250" s="43">
        <v>1</v>
      </c>
      <c r="E250" s="48" t="s">
        <v>594</v>
      </c>
      <c r="F250" s="48" t="s">
        <v>555</v>
      </c>
      <c r="G250" s="49">
        <f>IFERROR(VLOOKUP(C250,PROD!$A$2:$E$1204,5,0),"0")</f>
        <v>3</v>
      </c>
      <c r="H250" s="10">
        <f>Table_246[[#This Row],[QT]]*Table_246[[#This Row],[Custo 
Un]]</f>
        <v>3</v>
      </c>
      <c r="I250" s="52">
        <v>10</v>
      </c>
      <c r="J250" s="263">
        <f t="shared" si="13"/>
        <v>10</v>
      </c>
      <c r="K250" s="10">
        <f t="shared" ref="K250:K309" si="15">I250*D250</f>
        <v>10</v>
      </c>
      <c r="L250" s="50">
        <f>Table_246[[#This Row],[Valor da 
venda]]-Table_246[[#This Row],[Valor gasto]]</f>
        <v>7</v>
      </c>
      <c r="M250" s="111">
        <f t="shared" si="14"/>
        <v>0.7</v>
      </c>
      <c r="N250" s="52" t="s">
        <v>20</v>
      </c>
      <c r="O250" s="114" t="str">
        <f>IF([1]!Table_246[[#This Row],[Coluna2]]&gt;0.5, "🔥 Excelente", IF([1]!Table_246[[#This Row],[Coluna2]]&gt;0.4, "👍 Bom", "⚠️ Baixo"))</f>
        <v>⚠️ Baixo</v>
      </c>
    </row>
    <row r="251" spans="1:15" ht="15.75" customHeight="1">
      <c r="A251" s="28">
        <f>IF(Table_246[[#This Row],[Data]]="","",MONTH(Table_246[[#This Row],[Data]]))</f>
        <v>4</v>
      </c>
      <c r="B251" s="32">
        <v>46123</v>
      </c>
      <c r="C251" s="36" t="s">
        <v>146</v>
      </c>
      <c r="D251" s="43">
        <v>1</v>
      </c>
      <c r="E251" s="48" t="s">
        <v>635</v>
      </c>
      <c r="F251" s="48" t="s">
        <v>555</v>
      </c>
      <c r="G251" s="49">
        <f>IFERROR(VLOOKUP(C251,PROD!$A$2:$E$1204,5,0),"0")</f>
        <v>7.0000000000000007E-2</v>
      </c>
      <c r="H251" s="10">
        <f>Table_246[[#This Row],[QT]]*Table_246[[#This Row],[Custo 
Un]]</f>
        <v>7.0000000000000007E-2</v>
      </c>
      <c r="I251" s="52">
        <v>1</v>
      </c>
      <c r="J251" s="263">
        <f t="shared" si="13"/>
        <v>1</v>
      </c>
      <c r="K251" s="10">
        <f t="shared" si="15"/>
        <v>1</v>
      </c>
      <c r="L251" s="50">
        <f>Table_246[[#This Row],[Valor da 
venda]]-Table_246[[#This Row],[Valor gasto]]</f>
        <v>0.92999999999999994</v>
      </c>
      <c r="M251" s="111">
        <f t="shared" si="14"/>
        <v>0.92999999999999994</v>
      </c>
      <c r="N251" s="52" t="s">
        <v>20</v>
      </c>
      <c r="O251" s="114" t="str">
        <f>IF([1]!Table_246[[#This Row],[Coluna2]]&gt;0.5, "🔥 Excelente", IF([1]!Table_246[[#This Row],[Coluna2]]&gt;0.4, "👍 Bom", "⚠️ Baixo"))</f>
        <v>⚠️ Baixo</v>
      </c>
    </row>
    <row r="252" spans="1:15" ht="15.75" customHeight="1">
      <c r="A252" s="28">
        <f>IF(Table_246[[#This Row],[Data]]="","",MONTH(Table_246[[#This Row],[Data]]))</f>
        <v>4</v>
      </c>
      <c r="B252" s="32">
        <v>46123</v>
      </c>
      <c r="C252" s="36" t="s">
        <v>2172</v>
      </c>
      <c r="D252" s="43">
        <v>1</v>
      </c>
      <c r="E252" s="48" t="s">
        <v>1008</v>
      </c>
      <c r="F252" s="48" t="s">
        <v>555</v>
      </c>
      <c r="G252" s="49">
        <v>0</v>
      </c>
      <c r="H252" s="10">
        <f>Table_246[[#This Row],[QT]]*Table_246[[#This Row],[Custo 
Un]]</f>
        <v>0</v>
      </c>
      <c r="I252" s="52">
        <v>325</v>
      </c>
      <c r="J252" s="263">
        <f t="shared" si="13"/>
        <v>325</v>
      </c>
      <c r="K252" s="10">
        <f t="shared" si="15"/>
        <v>325</v>
      </c>
      <c r="L252" s="50">
        <f>Table_246[[#This Row],[Valor da 
venda]]-Table_246[[#This Row],[Valor gasto]]</f>
        <v>325</v>
      </c>
      <c r="M252" s="111">
        <f t="shared" si="14"/>
        <v>1</v>
      </c>
      <c r="N252" s="52" t="s">
        <v>20</v>
      </c>
      <c r="O252" s="114" t="str">
        <f>IF([1]!Table_246[[#This Row],[Coluna2]]&gt;0.5, "🔥 Excelente", IF([1]!Table_246[[#This Row],[Coluna2]]&gt;0.4, "👍 Bom", "⚠️ Baixo"))</f>
        <v>⚠️ Baixo</v>
      </c>
    </row>
    <row r="253" spans="1:15" ht="15.75" customHeight="1">
      <c r="A253" s="28">
        <f>IF(Table_246[[#This Row],[Data]]="","",MONTH(Table_246[[#This Row],[Data]]))</f>
        <v>4</v>
      </c>
      <c r="B253" s="32">
        <v>46123</v>
      </c>
      <c r="C253" s="36" t="s">
        <v>2173</v>
      </c>
      <c r="D253" s="43">
        <v>1</v>
      </c>
      <c r="E253" s="48" t="s">
        <v>1008</v>
      </c>
      <c r="F253" s="48" t="s">
        <v>555</v>
      </c>
      <c r="G253" s="49">
        <v>10</v>
      </c>
      <c r="H253" s="10">
        <f>Table_246[[#This Row],[QT]]*Table_246[[#This Row],[Custo 
Un]]</f>
        <v>10</v>
      </c>
      <c r="I253" s="52">
        <v>30</v>
      </c>
      <c r="J253" s="263">
        <f t="shared" si="13"/>
        <v>30</v>
      </c>
      <c r="K253" s="10">
        <f t="shared" si="15"/>
        <v>30</v>
      </c>
      <c r="L253" s="50">
        <f>Table_246[[#This Row],[Valor da 
venda]]-Table_246[[#This Row],[Valor gasto]]</f>
        <v>20</v>
      </c>
      <c r="M253" s="111">
        <f t="shared" si="14"/>
        <v>0.66666666666666663</v>
      </c>
      <c r="N253" s="52" t="s">
        <v>20</v>
      </c>
      <c r="O253" s="114" t="str">
        <f>IF([1]!Table_246[[#This Row],[Coluna2]]&gt;0.5, "🔥 Excelente", IF([1]!Table_246[[#This Row],[Coluna2]]&gt;0.4, "👍 Bom", "⚠️ Baixo"))</f>
        <v>⚠️ Baixo</v>
      </c>
    </row>
    <row r="254" spans="1:15" ht="15.75" customHeight="1">
      <c r="A254" s="28">
        <f>IF(Table_246[[#This Row],[Data]]="","",MONTH(Table_246[[#This Row],[Data]]))</f>
        <v>4</v>
      </c>
      <c r="B254" s="32">
        <v>46123</v>
      </c>
      <c r="C254" s="36" t="s">
        <v>2167</v>
      </c>
      <c r="D254" s="43">
        <v>1</v>
      </c>
      <c r="E254" s="48" t="s">
        <v>2174</v>
      </c>
      <c r="F254" s="48" t="s">
        <v>22</v>
      </c>
      <c r="G254" s="49">
        <v>5</v>
      </c>
      <c r="H254" s="10">
        <f>Table_246[[#This Row],[QT]]*Table_246[[#This Row],[Custo 
Un]]</f>
        <v>5</v>
      </c>
      <c r="I254" s="52">
        <v>28.3</v>
      </c>
      <c r="J254" s="263">
        <f t="shared" si="13"/>
        <v>28.3</v>
      </c>
      <c r="K254" s="10">
        <f t="shared" si="15"/>
        <v>28.3</v>
      </c>
      <c r="L254" s="50">
        <f>Table_246[[#This Row],[Valor da 
venda]]-Table_246[[#This Row],[Valor gasto]]</f>
        <v>23.3</v>
      </c>
      <c r="M254" s="111">
        <f t="shared" si="14"/>
        <v>0.82332155477031799</v>
      </c>
      <c r="N254" s="52" t="s">
        <v>20</v>
      </c>
      <c r="O254" s="114" t="str">
        <f>IF([1]!Table_246[[#This Row],[Coluna2]]&gt;0.5, "🔥 Excelente", IF([1]!Table_246[[#This Row],[Coluna2]]&gt;0.4, "👍 Bom", "⚠️ Baixo"))</f>
        <v>⚠️ Baixo</v>
      </c>
    </row>
    <row r="255" spans="1:15" ht="15.75" customHeight="1">
      <c r="A255" s="28">
        <f>IF(Table_246[[#This Row],[Data]]="","",MONTH(Table_246[[#This Row],[Data]]))</f>
        <v>4</v>
      </c>
      <c r="B255" s="32">
        <v>46123</v>
      </c>
      <c r="C255" s="109" t="s">
        <v>1047</v>
      </c>
      <c r="D255" s="43">
        <v>1</v>
      </c>
      <c r="E255" s="48" t="s">
        <v>2175</v>
      </c>
      <c r="F255" s="48" t="s">
        <v>22</v>
      </c>
      <c r="G255" s="49">
        <f>IFERROR(VLOOKUP(C255,PROD!$A$2:$E$1204,5,0),"0")</f>
        <v>0.7</v>
      </c>
      <c r="H255" s="10">
        <f>Table_246[[#This Row],[QT]]*Table_246[[#This Row],[Custo 
Un]]</f>
        <v>0.7</v>
      </c>
      <c r="I255" s="52">
        <v>5.5</v>
      </c>
      <c r="J255" s="263">
        <f t="shared" si="13"/>
        <v>5.5</v>
      </c>
      <c r="K255" s="10">
        <f t="shared" si="15"/>
        <v>5.5</v>
      </c>
      <c r="L255" s="50">
        <f>Table_246[[#This Row],[Valor da 
venda]]-Table_246[[#This Row],[Valor gasto]]</f>
        <v>4.8</v>
      </c>
      <c r="M255" s="111">
        <f t="shared" si="14"/>
        <v>0.87272727272727268</v>
      </c>
      <c r="N255" s="52" t="s">
        <v>20</v>
      </c>
      <c r="O255" s="114" t="str">
        <f>IF([1]!Table_246[[#This Row],[Coluna2]]&gt;0.5, "🔥 Excelente", IF([1]!Table_246[[#This Row],[Coluna2]]&gt;0.4, "👍 Bom", "⚠️ Baixo"))</f>
        <v>⚠️ Baixo</v>
      </c>
    </row>
    <row r="256" spans="1:15" ht="15.75" customHeight="1">
      <c r="A256" s="28">
        <f>IF(Table_246[[#This Row],[Data]]="","",MONTH(Table_246[[#This Row],[Data]]))</f>
        <v>4</v>
      </c>
      <c r="B256" s="32">
        <v>46123</v>
      </c>
      <c r="C256" s="109" t="s">
        <v>1047</v>
      </c>
      <c r="D256" s="43">
        <v>1</v>
      </c>
      <c r="E256" s="48" t="s">
        <v>2176</v>
      </c>
      <c r="F256" s="48" t="s">
        <v>22</v>
      </c>
      <c r="G256" s="49">
        <f>IFERROR(VLOOKUP(C256,PROD!$A$2:$E$1204,5,0),"0")</f>
        <v>0.7</v>
      </c>
      <c r="H256" s="10">
        <f>Table_246[[#This Row],[QT]]*Table_246[[#This Row],[Custo 
Un]]</f>
        <v>0.7</v>
      </c>
      <c r="I256" s="52">
        <v>5.5</v>
      </c>
      <c r="J256" s="263">
        <f t="shared" si="13"/>
        <v>5.5</v>
      </c>
      <c r="K256" s="10">
        <f t="shared" si="15"/>
        <v>5.5</v>
      </c>
      <c r="L256" s="50">
        <f>Table_246[[#This Row],[Valor da 
venda]]-Table_246[[#This Row],[Valor gasto]]</f>
        <v>4.8</v>
      </c>
      <c r="M256" s="111">
        <f t="shared" si="14"/>
        <v>0.87272727272727268</v>
      </c>
      <c r="N256" s="52" t="s">
        <v>20</v>
      </c>
      <c r="O256" s="114" t="str">
        <f>IF([1]!Table_246[[#This Row],[Coluna2]]&gt;0.5, "🔥 Excelente", IF([1]!Table_246[[#This Row],[Coluna2]]&gt;0.4, "👍 Bom", "⚠️ Baixo"))</f>
        <v>⚠️ Baixo</v>
      </c>
    </row>
    <row r="257" spans="1:15" ht="15.75" customHeight="1">
      <c r="A257" s="28">
        <f>IF(Table_246[[#This Row],[Data]]="","",MONTH(Table_246[[#This Row],[Data]]))</f>
        <v>4</v>
      </c>
      <c r="B257" s="32">
        <v>46123</v>
      </c>
      <c r="C257" s="109" t="s">
        <v>1047</v>
      </c>
      <c r="D257" s="43">
        <v>4</v>
      </c>
      <c r="E257" s="48" t="s">
        <v>2177</v>
      </c>
      <c r="F257" s="48" t="s">
        <v>22</v>
      </c>
      <c r="G257" s="49">
        <f>IFERROR(VLOOKUP(C257,PROD!$A$2:$E$1204,5,0),"0")</f>
        <v>0.7</v>
      </c>
      <c r="H257" s="10">
        <f>Table_246[[#This Row],[QT]]*Table_246[[#This Row],[Custo 
Un]]</f>
        <v>2.8</v>
      </c>
      <c r="I257" s="52">
        <f>16.9/4</f>
        <v>4.2249999999999996</v>
      </c>
      <c r="J257" s="263">
        <f t="shared" si="13"/>
        <v>16.899999999999999</v>
      </c>
      <c r="K257" s="10">
        <f t="shared" si="15"/>
        <v>16.899999999999999</v>
      </c>
      <c r="L257" s="50">
        <f>Table_246[[#This Row],[Valor da 
venda]]-Table_246[[#This Row],[Valor gasto]]</f>
        <v>14.099999999999998</v>
      </c>
      <c r="M257" s="111">
        <f t="shared" si="14"/>
        <v>0.83431952662721887</v>
      </c>
      <c r="N257" s="52" t="s">
        <v>20</v>
      </c>
      <c r="O257" s="114" t="str">
        <f>IF([1]!Table_246[[#This Row],[Coluna2]]&gt;0.5, "🔥 Excelente", IF([1]!Table_246[[#This Row],[Coluna2]]&gt;0.4, "👍 Bom", "⚠️ Baixo"))</f>
        <v>⚠️ Baixo</v>
      </c>
    </row>
    <row r="258" spans="1:15" ht="15.75" customHeight="1">
      <c r="A258" s="28">
        <f>IF(Table_246[[#This Row],[Data]]="","",MONTH(Table_246[[#This Row],[Data]]))</f>
        <v>4</v>
      </c>
      <c r="B258" s="32">
        <v>46123</v>
      </c>
      <c r="C258" s="109" t="s">
        <v>2329</v>
      </c>
      <c r="D258" s="43">
        <v>1</v>
      </c>
      <c r="E258" s="48" t="s">
        <v>2178</v>
      </c>
      <c r="F258" s="48" t="s">
        <v>22</v>
      </c>
      <c r="G258" s="49">
        <v>350</v>
      </c>
      <c r="H258" s="10">
        <f>Table_246[[#This Row],[QT]]*Table_246[[#This Row],[Custo 
Un]]</f>
        <v>350</v>
      </c>
      <c r="I258" s="52">
        <v>414.33</v>
      </c>
      <c r="J258" s="263">
        <f t="shared" ref="J258:J321" si="16">I258*D258</f>
        <v>414.33</v>
      </c>
      <c r="K258" s="10">
        <f t="shared" si="15"/>
        <v>414.33</v>
      </c>
      <c r="L258" s="50">
        <f>Table_246[[#This Row],[Valor da 
venda]]-Table_246[[#This Row],[Valor gasto]]</f>
        <v>64.329999999999984</v>
      </c>
      <c r="M258" s="111">
        <f t="shared" ref="M258:M321" si="17">IFERROR(L258/K258, 0)</f>
        <v>0.15526271329616487</v>
      </c>
      <c r="N258" s="52" t="s">
        <v>20</v>
      </c>
      <c r="O258" s="114" t="str">
        <f>IF([1]!Table_246[[#This Row],[Coluna2]]&gt;0.5, "🔥 Excelente", IF([1]!Table_246[[#This Row],[Coluna2]]&gt;0.4, "👍 Bom", "⚠️ Baixo"))</f>
        <v>⚠️ Baixo</v>
      </c>
    </row>
    <row r="259" spans="1:15" ht="15.75" customHeight="1">
      <c r="A259" s="28">
        <f>IF(Table_246[[#This Row],[Data]]="","",MONTH(Table_246[[#This Row],[Data]]))</f>
        <v>4</v>
      </c>
      <c r="B259" s="32">
        <v>46123</v>
      </c>
      <c r="C259" s="109" t="s">
        <v>1047</v>
      </c>
      <c r="D259" s="43">
        <v>1</v>
      </c>
      <c r="E259" s="48" t="s">
        <v>2179</v>
      </c>
      <c r="F259" s="48" t="s">
        <v>22</v>
      </c>
      <c r="G259" s="49">
        <f>IFERROR(VLOOKUP(C259,PROD!$A$2:$E$1204,5,0),"0")</f>
        <v>0.7</v>
      </c>
      <c r="H259" s="10">
        <f>Table_246[[#This Row],[QT]]*Table_246[[#This Row],[Custo 
Un]]</f>
        <v>0.7</v>
      </c>
      <c r="I259" s="52">
        <v>5.5</v>
      </c>
      <c r="J259" s="263">
        <f t="shared" si="16"/>
        <v>5.5</v>
      </c>
      <c r="K259" s="10">
        <f t="shared" si="15"/>
        <v>5.5</v>
      </c>
      <c r="L259" s="50">
        <f>Table_246[[#This Row],[Valor da 
venda]]-Table_246[[#This Row],[Valor gasto]]</f>
        <v>4.8</v>
      </c>
      <c r="M259" s="111">
        <f t="shared" si="17"/>
        <v>0.87272727272727268</v>
      </c>
      <c r="N259" s="52" t="s">
        <v>20</v>
      </c>
      <c r="O259" s="114" t="str">
        <f>IF([1]!Table_246[[#This Row],[Coluna2]]&gt;0.5, "🔥 Excelente", IF([1]!Table_246[[#This Row],[Coluna2]]&gt;0.4, "👍 Bom", "⚠️ Baixo"))</f>
        <v>⚠️ Baixo</v>
      </c>
    </row>
    <row r="260" spans="1:15" ht="15.75" customHeight="1">
      <c r="A260" s="28">
        <f>IF(Table_246[[#This Row],[Data]]="","",MONTH(Table_246[[#This Row],[Data]]))</f>
        <v>4</v>
      </c>
      <c r="B260" s="32">
        <v>46123</v>
      </c>
      <c r="C260" s="109" t="s">
        <v>1047</v>
      </c>
      <c r="D260" s="43">
        <v>1</v>
      </c>
      <c r="E260" s="48" t="s">
        <v>2180</v>
      </c>
      <c r="F260" s="48" t="s">
        <v>22</v>
      </c>
      <c r="G260" s="49">
        <f>IFERROR(VLOOKUP(C260,PROD!$A$2:$E$1204,5,0),"0")</f>
        <v>0.7</v>
      </c>
      <c r="H260" s="10">
        <f>Table_246[[#This Row],[QT]]*Table_246[[#This Row],[Custo 
Un]]</f>
        <v>0.7</v>
      </c>
      <c r="I260" s="52">
        <v>5.5</v>
      </c>
      <c r="J260" s="263">
        <f t="shared" si="16"/>
        <v>5.5</v>
      </c>
      <c r="K260" s="10">
        <f t="shared" si="15"/>
        <v>5.5</v>
      </c>
      <c r="L260" s="50">
        <f>Table_246[[#This Row],[Valor da 
venda]]-Table_246[[#This Row],[Valor gasto]]</f>
        <v>4.8</v>
      </c>
      <c r="M260" s="111">
        <f t="shared" si="17"/>
        <v>0.87272727272727268</v>
      </c>
      <c r="N260" s="52" t="s">
        <v>20</v>
      </c>
      <c r="O260" s="114" t="str">
        <f>IF([1]!Table_246[[#This Row],[Coluna2]]&gt;0.5, "🔥 Excelente", IF([1]!Table_246[[#This Row],[Coluna2]]&gt;0.4, "👍 Bom", "⚠️ Baixo"))</f>
        <v>⚠️ Baixo</v>
      </c>
    </row>
    <row r="261" spans="1:15" ht="15.75" customHeight="1">
      <c r="A261" s="28">
        <f>IF(Table_246[[#This Row],[Data]]="","",MONTH(Table_246[[#This Row],[Data]]))</f>
        <v>4</v>
      </c>
      <c r="B261" s="32">
        <v>46123</v>
      </c>
      <c r="C261" s="109" t="s">
        <v>1047</v>
      </c>
      <c r="D261" s="43">
        <v>1</v>
      </c>
      <c r="E261" s="48" t="s">
        <v>2181</v>
      </c>
      <c r="F261" s="48" t="s">
        <v>22</v>
      </c>
      <c r="G261" s="49">
        <f>IFERROR(VLOOKUP(C261,PROD!$A$2:$E$1204,5,0),"0")</f>
        <v>0.7</v>
      </c>
      <c r="H261" s="10">
        <f>Table_246[[#This Row],[QT]]*Table_246[[#This Row],[Custo 
Un]]</f>
        <v>0.7</v>
      </c>
      <c r="I261" s="52">
        <v>5.5</v>
      </c>
      <c r="J261" s="263">
        <f t="shared" si="16"/>
        <v>5.5</v>
      </c>
      <c r="K261" s="10">
        <f t="shared" si="15"/>
        <v>5.5</v>
      </c>
      <c r="L261" s="50">
        <f>Table_246[[#This Row],[Valor da 
venda]]-Table_246[[#This Row],[Valor gasto]]</f>
        <v>4.8</v>
      </c>
      <c r="M261" s="111">
        <f t="shared" si="17"/>
        <v>0.87272727272727268</v>
      </c>
      <c r="N261" s="52" t="s">
        <v>20</v>
      </c>
      <c r="O261" s="114" t="str">
        <f>IF([1]!Table_246[[#This Row],[Coluna2]]&gt;0.5, "🔥 Excelente", IF([1]!Table_246[[#This Row],[Coluna2]]&gt;0.4, "👍 Bom", "⚠️ Baixo"))</f>
        <v>⚠️ Baixo</v>
      </c>
    </row>
    <row r="262" spans="1:15" ht="15.75" customHeight="1">
      <c r="A262" s="28">
        <f>IF(Table_246[[#This Row],[Data]]="","",MONTH(Table_246[[#This Row],[Data]]))</f>
        <v>4</v>
      </c>
      <c r="B262" s="32">
        <v>46123</v>
      </c>
      <c r="C262" s="109" t="s">
        <v>1047</v>
      </c>
      <c r="D262" s="43">
        <v>1</v>
      </c>
      <c r="E262" s="48" t="s">
        <v>2184</v>
      </c>
      <c r="F262" s="48" t="s">
        <v>22</v>
      </c>
      <c r="G262" s="49">
        <f>IFERROR(VLOOKUP(C262,PROD!$A$2:$E$1204,5,0),"0")</f>
        <v>0.7</v>
      </c>
      <c r="H262" s="10">
        <f>Table_246[[#This Row],[QT]]*Table_246[[#This Row],[Custo 
Un]]</f>
        <v>0.7</v>
      </c>
      <c r="I262" s="52">
        <v>5.5</v>
      </c>
      <c r="J262" s="263">
        <f t="shared" si="16"/>
        <v>5.5</v>
      </c>
      <c r="K262" s="10">
        <f t="shared" si="15"/>
        <v>5.5</v>
      </c>
      <c r="L262" s="50">
        <f>Table_246[[#This Row],[Valor da 
venda]]-Table_246[[#This Row],[Valor gasto]]</f>
        <v>4.8</v>
      </c>
      <c r="M262" s="111">
        <f t="shared" si="17"/>
        <v>0.87272727272727268</v>
      </c>
      <c r="N262" s="52" t="s">
        <v>20</v>
      </c>
      <c r="O262" s="114" t="str">
        <f>IF([1]!Table_246[[#This Row],[Coluna2]]&gt;0.5, "🔥 Excelente", IF([1]!Table_246[[#This Row],[Coluna2]]&gt;0.4, "👍 Bom", "⚠️ Baixo"))</f>
        <v>⚠️ Baixo</v>
      </c>
    </row>
    <row r="263" spans="1:15" ht="15.75" customHeight="1">
      <c r="A263" s="28">
        <f>IF(Table_246[[#This Row],[Data]]="","",MONTH(Table_246[[#This Row],[Data]]))</f>
        <v>4</v>
      </c>
      <c r="B263" s="32">
        <v>46123</v>
      </c>
      <c r="C263" s="109" t="s">
        <v>1047</v>
      </c>
      <c r="D263" s="43">
        <v>1</v>
      </c>
      <c r="E263" s="48" t="s">
        <v>2182</v>
      </c>
      <c r="F263" s="48" t="s">
        <v>22</v>
      </c>
      <c r="G263" s="49">
        <f>IFERROR(VLOOKUP(C263,PROD!$A$2:$E$1204,5,0),"0")</f>
        <v>0.7</v>
      </c>
      <c r="H263" s="10">
        <f>Table_246[[#This Row],[QT]]*Table_246[[#This Row],[Custo 
Un]]</f>
        <v>0.7</v>
      </c>
      <c r="I263" s="52">
        <v>5.5</v>
      </c>
      <c r="J263" s="263">
        <f t="shared" si="16"/>
        <v>5.5</v>
      </c>
      <c r="K263" s="10">
        <f t="shared" si="15"/>
        <v>5.5</v>
      </c>
      <c r="L263" s="50">
        <f>Table_246[[#This Row],[Valor da 
venda]]-Table_246[[#This Row],[Valor gasto]]</f>
        <v>4.8</v>
      </c>
      <c r="M263" s="111">
        <f t="shared" si="17"/>
        <v>0.87272727272727268</v>
      </c>
      <c r="N263" s="52" t="s">
        <v>20</v>
      </c>
      <c r="O263" s="114" t="str">
        <f>IF([1]!Table_246[[#This Row],[Coluna2]]&gt;0.5, "🔥 Excelente", IF([1]!Table_246[[#This Row],[Coluna2]]&gt;0.4, "👍 Bom", "⚠️ Baixo"))</f>
        <v>⚠️ Baixo</v>
      </c>
    </row>
    <row r="264" spans="1:15" ht="15.75" customHeight="1">
      <c r="A264" s="28">
        <f>IF(Table_246[[#This Row],[Data]]="","",MONTH(Table_246[[#This Row],[Data]]))</f>
        <v>4</v>
      </c>
      <c r="B264" s="32">
        <v>46123</v>
      </c>
      <c r="C264" s="109" t="s">
        <v>1047</v>
      </c>
      <c r="D264" s="43">
        <v>1</v>
      </c>
      <c r="E264" s="48" t="s">
        <v>2185</v>
      </c>
      <c r="F264" s="48" t="s">
        <v>22</v>
      </c>
      <c r="G264" s="49">
        <f>IFERROR(VLOOKUP(C264,PROD!$A$2:$E$1204,5,0),"0")</f>
        <v>0.7</v>
      </c>
      <c r="H264" s="10">
        <f>Table_246[[#This Row],[QT]]*Table_246[[#This Row],[Custo 
Un]]</f>
        <v>0.7</v>
      </c>
      <c r="I264" s="52">
        <v>5.5</v>
      </c>
      <c r="J264" s="263">
        <f t="shared" si="16"/>
        <v>5.5</v>
      </c>
      <c r="K264" s="10">
        <f t="shared" si="15"/>
        <v>5.5</v>
      </c>
      <c r="L264" s="50">
        <f>Table_246[[#This Row],[Valor da 
venda]]-Table_246[[#This Row],[Valor gasto]]</f>
        <v>4.8</v>
      </c>
      <c r="M264" s="111">
        <f t="shared" si="17"/>
        <v>0.87272727272727268</v>
      </c>
      <c r="N264" s="52" t="s">
        <v>20</v>
      </c>
      <c r="O264" s="114" t="str">
        <f>IF([1]!Table_246[[#This Row],[Coluna2]]&gt;0.5, "🔥 Excelente", IF([1]!Table_246[[#This Row],[Coluna2]]&gt;0.4, "👍 Bom", "⚠️ Baixo"))</f>
        <v>⚠️ Baixo</v>
      </c>
    </row>
    <row r="265" spans="1:15" ht="15" customHeight="1">
      <c r="A265" s="28">
        <f>IF(Table_246[[#This Row],[Data]]="","",MONTH(Table_246[[#This Row],[Data]]))</f>
        <v>4</v>
      </c>
      <c r="B265" s="32">
        <v>46124</v>
      </c>
      <c r="C265" s="36" t="s">
        <v>2187</v>
      </c>
      <c r="D265" s="43">
        <v>1</v>
      </c>
      <c r="E265" s="48" t="s">
        <v>2183</v>
      </c>
      <c r="F265" s="48" t="s">
        <v>22</v>
      </c>
      <c r="G265" s="49">
        <v>10</v>
      </c>
      <c r="H265" s="10">
        <f>Table_246[[#This Row],[QT]]*Table_246[[#This Row],[Custo 
Un]]</f>
        <v>10</v>
      </c>
      <c r="I265" s="52">
        <v>18.22</v>
      </c>
      <c r="J265" s="263">
        <f t="shared" si="16"/>
        <v>18.22</v>
      </c>
      <c r="K265" s="10">
        <f t="shared" si="15"/>
        <v>18.22</v>
      </c>
      <c r="L265" s="50">
        <f>Table_246[[#This Row],[Valor da 
venda]]-Table_246[[#This Row],[Valor gasto]]</f>
        <v>8.2199999999999989</v>
      </c>
      <c r="M265" s="111">
        <f t="shared" si="17"/>
        <v>0.45115257958287591</v>
      </c>
      <c r="N265" s="52" t="s">
        <v>20</v>
      </c>
      <c r="O265" s="114" t="str">
        <f>IF([1]!Table_246[[#This Row],[Coluna2]]&gt;0.5, "🔥 Excelente", IF([1]!Table_246[[#This Row],[Coluna2]]&gt;0.4, "👍 Bom", "⚠️ Baixo"))</f>
        <v>⚠️ Baixo</v>
      </c>
    </row>
    <row r="266" spans="1:15" ht="15" customHeight="1">
      <c r="A266" s="28">
        <f>IF(Table_246[[#This Row],[Data]]="","",MONTH(Table_246[[#This Row],[Data]]))</f>
        <v>4</v>
      </c>
      <c r="B266" s="32">
        <v>46125</v>
      </c>
      <c r="C266" s="109" t="s">
        <v>1047</v>
      </c>
      <c r="D266" s="43">
        <v>1</v>
      </c>
      <c r="E266" s="48" t="s">
        <v>2186</v>
      </c>
      <c r="F266" s="48" t="s">
        <v>22</v>
      </c>
      <c r="G266" s="49">
        <f>IFERROR(VLOOKUP(C266,PROD!$A$2:$E$1204,5,0),"0")</f>
        <v>0.7</v>
      </c>
      <c r="H266" s="10">
        <f>Table_246[[#This Row],[QT]]*Table_246[[#This Row],[Custo 
Un]]</f>
        <v>0.7</v>
      </c>
      <c r="I266" s="52">
        <v>5.5</v>
      </c>
      <c r="J266" s="263">
        <f t="shared" si="16"/>
        <v>5.5</v>
      </c>
      <c r="K266" s="10">
        <f t="shared" si="15"/>
        <v>5.5</v>
      </c>
      <c r="L266" s="50">
        <f>Table_246[[#This Row],[Valor da 
venda]]-Table_246[[#This Row],[Valor gasto]]</f>
        <v>4.8</v>
      </c>
      <c r="M266" s="111">
        <f t="shared" si="17"/>
        <v>0.87272727272727268</v>
      </c>
      <c r="N266" s="52" t="s">
        <v>20</v>
      </c>
      <c r="O266" s="114" t="str">
        <f>IF([1]!Table_246[[#This Row],[Coluna2]]&gt;0.5, "🔥 Excelente", IF([1]!Table_246[[#This Row],[Coluna2]]&gt;0.4, "👍 Bom", "⚠️ Baixo"))</f>
        <v>⚠️ Baixo</v>
      </c>
    </row>
    <row r="267" spans="1:15" ht="15" customHeight="1">
      <c r="A267" s="28">
        <f>IF(Table_246[[#This Row],[Data]]="","",MONTH(Table_246[[#This Row],[Data]]))</f>
        <v>4</v>
      </c>
      <c r="B267" s="32">
        <v>46126</v>
      </c>
      <c r="C267" s="109" t="s">
        <v>1047</v>
      </c>
      <c r="D267" s="43">
        <v>1</v>
      </c>
      <c r="E267" s="48" t="s">
        <v>2188</v>
      </c>
      <c r="F267" s="48" t="s">
        <v>22</v>
      </c>
      <c r="G267" s="49">
        <f>IFERROR(VLOOKUP(C267,PROD!$A$2:$E$1204,5,0),"0")</f>
        <v>0.7</v>
      </c>
      <c r="H267" s="10">
        <f>Table_246[[#This Row],[QT]]*Table_246[[#This Row],[Custo 
Un]]</f>
        <v>0.7</v>
      </c>
      <c r="I267" s="52">
        <v>5.5</v>
      </c>
      <c r="J267" s="263">
        <f t="shared" si="16"/>
        <v>5.5</v>
      </c>
      <c r="K267" s="10">
        <f t="shared" si="15"/>
        <v>5.5</v>
      </c>
      <c r="L267" s="50">
        <f>Table_246[[#This Row],[Valor da 
venda]]-Table_246[[#This Row],[Valor gasto]]</f>
        <v>4.8</v>
      </c>
      <c r="M267" s="111">
        <f t="shared" si="17"/>
        <v>0.87272727272727268</v>
      </c>
      <c r="N267" s="52" t="s">
        <v>20</v>
      </c>
      <c r="O267" s="114" t="str">
        <f>IF([1]!Table_246[[#This Row],[Coluna2]]&gt;0.5, "🔥 Excelente", IF([1]!Table_246[[#This Row],[Coluna2]]&gt;0.4, "👍 Bom", "⚠️ Baixo"))</f>
        <v>⚠️ Baixo</v>
      </c>
    </row>
    <row r="268" spans="1:15" ht="15" customHeight="1">
      <c r="A268" s="28">
        <f>IF(Table_246[[#This Row],[Data]]="","",MONTH(Table_246[[#This Row],[Data]]))</f>
        <v>4</v>
      </c>
      <c r="B268" s="32">
        <v>46127</v>
      </c>
      <c r="C268" s="109" t="s">
        <v>1047</v>
      </c>
      <c r="D268" s="43">
        <v>1</v>
      </c>
      <c r="E268" s="48" t="s">
        <v>2189</v>
      </c>
      <c r="F268" s="48" t="s">
        <v>22</v>
      </c>
      <c r="G268" s="49">
        <f>IFERROR(VLOOKUP(C268,PROD!$A$2:$E$1204,5,0),"0")</f>
        <v>0.7</v>
      </c>
      <c r="H268" s="10">
        <f>Table_246[[#This Row],[QT]]*Table_246[[#This Row],[Custo 
Un]]</f>
        <v>0.7</v>
      </c>
      <c r="I268" s="52">
        <v>5.5</v>
      </c>
      <c r="J268" s="263">
        <f t="shared" si="16"/>
        <v>5.5</v>
      </c>
      <c r="K268" s="10">
        <f t="shared" si="15"/>
        <v>5.5</v>
      </c>
      <c r="L268" s="50">
        <f>Table_246[[#This Row],[Valor da 
venda]]-Table_246[[#This Row],[Valor gasto]]</f>
        <v>4.8</v>
      </c>
      <c r="M268" s="111">
        <f t="shared" si="17"/>
        <v>0.87272727272727268</v>
      </c>
      <c r="N268" s="52" t="s">
        <v>20</v>
      </c>
      <c r="O268" s="114" t="str">
        <f>IF([1]!Table_246[[#This Row],[Coluna2]]&gt;0.5, "🔥 Excelente", IF([1]!Table_246[[#This Row],[Coluna2]]&gt;0.4, "👍 Bom", "⚠️ Baixo"))</f>
        <v>⚠️ Baixo</v>
      </c>
    </row>
    <row r="269" spans="1:15" ht="15" customHeight="1">
      <c r="A269" s="28">
        <f>IF(Table_246[[#This Row],[Data]]="","",MONTH(Table_246[[#This Row],[Data]]))</f>
        <v>4</v>
      </c>
      <c r="B269" s="32">
        <v>46127</v>
      </c>
      <c r="C269" s="36" t="s">
        <v>296</v>
      </c>
      <c r="D269" s="43">
        <v>1</v>
      </c>
      <c r="E269" s="48" t="s">
        <v>2190</v>
      </c>
      <c r="F269" s="48" t="s">
        <v>22</v>
      </c>
      <c r="G269" s="49">
        <f>IFERROR(VLOOKUP(C269,PROD!$A$2:$E$1204,5,0),"0")</f>
        <v>7.5</v>
      </c>
      <c r="H269" s="10">
        <f>Table_246[[#This Row],[QT]]*Table_246[[#This Row],[Custo 
Un]]</f>
        <v>7.5</v>
      </c>
      <c r="I269" s="52">
        <v>15.38</v>
      </c>
      <c r="J269" s="263">
        <f t="shared" si="16"/>
        <v>15.38</v>
      </c>
      <c r="K269" s="10">
        <f t="shared" si="15"/>
        <v>15.38</v>
      </c>
      <c r="L269" s="50">
        <f>Table_246[[#This Row],[Valor da 
venda]]-Table_246[[#This Row],[Valor gasto]]</f>
        <v>7.8800000000000008</v>
      </c>
      <c r="M269" s="111">
        <f t="shared" si="17"/>
        <v>0.51235370611183362</v>
      </c>
      <c r="N269" s="52" t="s">
        <v>20</v>
      </c>
      <c r="O269" s="114" t="str">
        <f>IF([1]!Table_246[[#This Row],[Coluna2]]&gt;0.5, "🔥 Excelente", IF([1]!Table_246[[#This Row],[Coluna2]]&gt;0.4, "👍 Bom", "⚠️ Baixo"))</f>
        <v>⚠️ Baixo</v>
      </c>
    </row>
    <row r="270" spans="1:15" ht="15" customHeight="1">
      <c r="A270" s="28">
        <f>IF(Table_246[[#This Row],[Data]]="","",MONTH(Table_246[[#This Row],[Data]]))</f>
        <v>4</v>
      </c>
      <c r="B270" s="32">
        <v>46127</v>
      </c>
      <c r="C270" s="109" t="s">
        <v>1047</v>
      </c>
      <c r="D270" s="43">
        <v>1</v>
      </c>
      <c r="E270" s="48" t="s">
        <v>2191</v>
      </c>
      <c r="F270" s="48" t="s">
        <v>22</v>
      </c>
      <c r="G270" s="49">
        <f>IFERROR(VLOOKUP(C270,PROD!$A$2:$E$1204,5,0),"0")</f>
        <v>0.7</v>
      </c>
      <c r="H270" s="10">
        <f>Table_246[[#This Row],[QT]]*Table_246[[#This Row],[Custo 
Un]]</f>
        <v>0.7</v>
      </c>
      <c r="I270" s="52">
        <v>5.5</v>
      </c>
      <c r="J270" s="263">
        <f t="shared" si="16"/>
        <v>5.5</v>
      </c>
      <c r="K270" s="10">
        <f t="shared" si="15"/>
        <v>5.5</v>
      </c>
      <c r="L270" s="50">
        <f>Table_246[[#This Row],[Valor da 
venda]]-Table_246[[#This Row],[Valor gasto]]</f>
        <v>4.8</v>
      </c>
      <c r="M270" s="111">
        <f t="shared" si="17"/>
        <v>0.87272727272727268</v>
      </c>
      <c r="N270" s="52" t="s">
        <v>20</v>
      </c>
      <c r="O270" s="114" t="str">
        <f>IF([1]!Table_246[[#This Row],[Coluna2]]&gt;0.5, "🔥 Excelente", IF([1]!Table_246[[#This Row],[Coluna2]]&gt;0.4, "👍 Bom", "⚠️ Baixo"))</f>
        <v>⚠️ Baixo</v>
      </c>
    </row>
    <row r="271" spans="1:15" ht="15" customHeight="1">
      <c r="A271" s="28">
        <f>IF(Table_246[[#This Row],[Data]]="","",MONTH(Table_246[[#This Row],[Data]]))</f>
        <v>4</v>
      </c>
      <c r="B271" s="32">
        <v>46127</v>
      </c>
      <c r="C271" s="109" t="s">
        <v>1047</v>
      </c>
      <c r="D271" s="43">
        <v>1</v>
      </c>
      <c r="E271" s="48" t="s">
        <v>2192</v>
      </c>
      <c r="F271" s="48" t="s">
        <v>22</v>
      </c>
      <c r="G271" s="49">
        <f>IFERROR(VLOOKUP(C271,PROD!$A$2:$E$1204,5,0),"0")</f>
        <v>0.7</v>
      </c>
      <c r="H271" s="10">
        <f>Table_246[[#This Row],[QT]]*Table_246[[#This Row],[Custo 
Un]]</f>
        <v>0.7</v>
      </c>
      <c r="I271" s="52">
        <v>5.5</v>
      </c>
      <c r="J271" s="263">
        <f t="shared" si="16"/>
        <v>5.5</v>
      </c>
      <c r="K271" s="10">
        <f t="shared" si="15"/>
        <v>5.5</v>
      </c>
      <c r="L271" s="50">
        <f>Table_246[[#This Row],[Valor da 
venda]]-Table_246[[#This Row],[Valor gasto]]</f>
        <v>4.8</v>
      </c>
      <c r="M271" s="111">
        <f t="shared" si="17"/>
        <v>0.87272727272727268</v>
      </c>
      <c r="N271" s="52" t="s">
        <v>20</v>
      </c>
      <c r="O271" s="114" t="str">
        <f>IF([1]!Table_246[[#This Row],[Coluna2]]&gt;0.5, "🔥 Excelente", IF([1]!Table_246[[#This Row],[Coluna2]]&gt;0.4, "👍 Bom", "⚠️ Baixo"))</f>
        <v>⚠️ Baixo</v>
      </c>
    </row>
    <row r="272" spans="1:15" ht="15" customHeight="1">
      <c r="A272" s="28">
        <f>IF(Table_246[[#This Row],[Data]]="","",MONTH(Table_246[[#This Row],[Data]]))</f>
        <v>4</v>
      </c>
      <c r="B272" s="32">
        <v>46127</v>
      </c>
      <c r="C272" s="109" t="s">
        <v>1047</v>
      </c>
      <c r="D272" s="43">
        <v>1</v>
      </c>
      <c r="E272" s="48" t="s">
        <v>2193</v>
      </c>
      <c r="F272" s="48" t="s">
        <v>22</v>
      </c>
      <c r="G272" s="49">
        <f>IFERROR(VLOOKUP(C272,PROD!$A$2:$E$1204,5,0),"0")</f>
        <v>0.7</v>
      </c>
      <c r="H272" s="10">
        <f>Table_246[[#This Row],[QT]]*Table_246[[#This Row],[Custo 
Un]]</f>
        <v>0.7</v>
      </c>
      <c r="I272" s="52">
        <v>5.5</v>
      </c>
      <c r="J272" s="263">
        <f t="shared" si="16"/>
        <v>5.5</v>
      </c>
      <c r="K272" s="10">
        <f t="shared" si="15"/>
        <v>5.5</v>
      </c>
      <c r="L272" s="50">
        <f>Table_246[[#This Row],[Valor da 
venda]]-Table_246[[#This Row],[Valor gasto]]</f>
        <v>4.8</v>
      </c>
      <c r="M272" s="111">
        <f t="shared" si="17"/>
        <v>0.87272727272727268</v>
      </c>
      <c r="N272" s="52" t="s">
        <v>20</v>
      </c>
      <c r="O272" s="114" t="str">
        <f>IF([1]!Table_246[[#This Row],[Coluna2]]&gt;0.5, "🔥 Excelente", IF([1]!Table_246[[#This Row],[Coluna2]]&gt;0.4, "👍 Bom", "⚠️ Baixo"))</f>
        <v>⚠️ Baixo</v>
      </c>
    </row>
    <row r="273" spans="1:15" ht="15" customHeight="1">
      <c r="A273" s="28">
        <f>IF(Table_246[[#This Row],[Data]]="","",MONTH(Table_246[[#This Row],[Data]]))</f>
        <v>4</v>
      </c>
      <c r="B273" s="32">
        <v>46128</v>
      </c>
      <c r="C273" s="36" t="s">
        <v>296</v>
      </c>
      <c r="D273" s="43">
        <v>1</v>
      </c>
      <c r="E273" s="48" t="s">
        <v>2194</v>
      </c>
      <c r="F273" s="48" t="s">
        <v>22</v>
      </c>
      <c r="G273" s="49">
        <f>IFERROR(VLOOKUP(C273,PROD!$A$2:$E$1204,5,0),"0")</f>
        <v>7.5</v>
      </c>
      <c r="H273" s="10">
        <f>Table_246[[#This Row],[QT]]*Table_246[[#This Row],[Custo 
Un]]</f>
        <v>7.5</v>
      </c>
      <c r="I273" s="52">
        <v>15.38</v>
      </c>
      <c r="J273" s="263">
        <f t="shared" si="16"/>
        <v>15.38</v>
      </c>
      <c r="K273" s="10">
        <f t="shared" si="15"/>
        <v>15.38</v>
      </c>
      <c r="L273" s="50">
        <f>Table_246[[#This Row],[Valor da 
venda]]-Table_246[[#This Row],[Valor gasto]]</f>
        <v>7.8800000000000008</v>
      </c>
      <c r="M273" s="111">
        <f t="shared" si="17"/>
        <v>0.51235370611183362</v>
      </c>
      <c r="N273" s="52" t="s">
        <v>20</v>
      </c>
      <c r="O273" s="114" t="str">
        <f>IF([1]!Table_246[[#This Row],[Coluna2]]&gt;0.5, "🔥 Excelente", IF([1]!Table_246[[#This Row],[Coluna2]]&gt;0.4, "👍 Bom", "⚠️ Baixo"))</f>
        <v>⚠️ Baixo</v>
      </c>
    </row>
    <row r="274" spans="1:15" ht="15" customHeight="1">
      <c r="A274" s="28">
        <f>IF(Table_246[[#This Row],[Data]]="","",MONTH(Table_246[[#This Row],[Data]]))</f>
        <v>4</v>
      </c>
      <c r="B274" s="32">
        <v>46129</v>
      </c>
      <c r="C274" s="109" t="s">
        <v>1047</v>
      </c>
      <c r="D274" s="43">
        <v>1</v>
      </c>
      <c r="E274" s="48" t="s">
        <v>2195</v>
      </c>
      <c r="F274" s="48" t="s">
        <v>22</v>
      </c>
      <c r="G274" s="49">
        <f>IFERROR(VLOOKUP(C274,PROD!$A$2:$E$1204,5,0),"0")</f>
        <v>0.7</v>
      </c>
      <c r="H274" s="10">
        <f>Table_246[[#This Row],[QT]]*Table_246[[#This Row],[Custo 
Un]]</f>
        <v>0.7</v>
      </c>
      <c r="I274" s="52">
        <v>5.5</v>
      </c>
      <c r="J274" s="263">
        <f t="shared" si="16"/>
        <v>5.5</v>
      </c>
      <c r="K274" s="10">
        <f t="shared" si="15"/>
        <v>5.5</v>
      </c>
      <c r="L274" s="50">
        <f>Table_246[[#This Row],[Valor da 
venda]]-Table_246[[#This Row],[Valor gasto]]</f>
        <v>4.8</v>
      </c>
      <c r="M274" s="111">
        <f t="shared" si="17"/>
        <v>0.87272727272727268</v>
      </c>
      <c r="N274" s="52" t="s">
        <v>20</v>
      </c>
      <c r="O274" s="114" t="str">
        <f>IF([1]!Table_246[[#This Row],[Coluna2]]&gt;0.5, "🔥 Excelente", IF([1]!Table_246[[#This Row],[Coluna2]]&gt;0.4, "👍 Bom", "⚠️ Baixo"))</f>
        <v>⚠️ Baixo</v>
      </c>
    </row>
    <row r="275" spans="1:15" ht="15" customHeight="1">
      <c r="A275" s="28">
        <f>IF(Table_246[[#This Row],[Data]]="","",MONTH(Table_246[[#This Row],[Data]]))</f>
        <v>4</v>
      </c>
      <c r="B275" s="32">
        <v>46130</v>
      </c>
      <c r="C275" s="36" t="s">
        <v>2196</v>
      </c>
      <c r="D275" s="43">
        <v>1</v>
      </c>
      <c r="E275" s="48" t="s">
        <v>2197</v>
      </c>
      <c r="F275" s="48" t="s">
        <v>555</v>
      </c>
      <c r="G275" s="49">
        <v>15</v>
      </c>
      <c r="H275" s="10">
        <f>Table_246[[#This Row],[QT]]*Table_246[[#This Row],[Custo 
Un]]</f>
        <v>15</v>
      </c>
      <c r="I275" s="52">
        <v>30</v>
      </c>
      <c r="J275" s="263">
        <f t="shared" si="16"/>
        <v>30</v>
      </c>
      <c r="K275" s="10">
        <f t="shared" si="15"/>
        <v>30</v>
      </c>
      <c r="L275" s="50">
        <f>Table_246[[#This Row],[Valor da 
venda]]-Table_246[[#This Row],[Valor gasto]]</f>
        <v>15</v>
      </c>
      <c r="M275" s="111">
        <f t="shared" si="17"/>
        <v>0.5</v>
      </c>
      <c r="N275" s="52" t="s">
        <v>20</v>
      </c>
      <c r="O275" s="114" t="str">
        <f>IF([1]!Table_246[[#This Row],[Coluna2]]&gt;0.5, "🔥 Excelente", IF([1]!Table_246[[#This Row],[Coluna2]]&gt;0.4, "👍 Bom", "⚠️ Baixo"))</f>
        <v>⚠️ Baixo</v>
      </c>
    </row>
    <row r="276" spans="1:15" ht="15" customHeight="1">
      <c r="A276" s="28">
        <f>IF(Table_246[[#This Row],[Data]]="","",MONTH(Table_246[[#This Row],[Data]]))</f>
        <v>4</v>
      </c>
      <c r="B276" s="32">
        <v>46130</v>
      </c>
      <c r="C276" s="36" t="s">
        <v>2167</v>
      </c>
      <c r="D276" s="43">
        <v>1</v>
      </c>
      <c r="E276" s="48" t="s">
        <v>1008</v>
      </c>
      <c r="F276" s="48" t="s">
        <v>555</v>
      </c>
      <c r="G276" s="49">
        <v>5</v>
      </c>
      <c r="H276" s="10">
        <f>Table_246[[#This Row],[QT]]*Table_246[[#This Row],[Custo 
Un]]</f>
        <v>5</v>
      </c>
      <c r="I276" s="52">
        <v>15</v>
      </c>
      <c r="J276" s="263">
        <f t="shared" si="16"/>
        <v>15</v>
      </c>
      <c r="K276" s="10">
        <f t="shared" si="15"/>
        <v>15</v>
      </c>
      <c r="L276" s="50">
        <f>Table_246[[#This Row],[Valor da 
venda]]-Table_246[[#This Row],[Valor gasto]]</f>
        <v>10</v>
      </c>
      <c r="M276" s="111">
        <f t="shared" si="17"/>
        <v>0.66666666666666663</v>
      </c>
      <c r="N276" s="52" t="s">
        <v>20</v>
      </c>
      <c r="O276" s="114" t="str">
        <f>IF([1]!Table_246[[#This Row],[Coluna2]]&gt;0.5, "🔥 Excelente", IF([1]!Table_246[[#This Row],[Coluna2]]&gt;0.4, "👍 Bom", "⚠️ Baixo"))</f>
        <v>⚠️ Baixo</v>
      </c>
    </row>
    <row r="277" spans="1:15" ht="15" customHeight="1">
      <c r="A277" s="28">
        <f>IF(Table_246[[#This Row],[Data]]="","",MONTH(Table_246[[#This Row],[Data]]))</f>
        <v>4</v>
      </c>
      <c r="B277" s="32">
        <v>46130</v>
      </c>
      <c r="C277" s="109" t="s">
        <v>1201</v>
      </c>
      <c r="D277" s="43">
        <v>1</v>
      </c>
      <c r="E277" s="48" t="s">
        <v>2198</v>
      </c>
      <c r="F277" s="48" t="s">
        <v>1016</v>
      </c>
      <c r="G277" s="49">
        <f>IFERROR(VLOOKUP(C277,PROD!$A$2:$E$1204,5,0),"0")</f>
        <v>0.7</v>
      </c>
      <c r="H277" s="10">
        <f>Table_246[[#This Row],[QT]]*Table_246[[#This Row],[Custo 
Un]]</f>
        <v>0.7</v>
      </c>
      <c r="I277" s="52">
        <v>9.1999999999999993</v>
      </c>
      <c r="J277" s="263">
        <f t="shared" si="16"/>
        <v>9.1999999999999993</v>
      </c>
      <c r="K277" s="10">
        <f t="shared" si="15"/>
        <v>9.1999999999999993</v>
      </c>
      <c r="L277" s="50">
        <f>Table_246[[#This Row],[Valor da 
venda]]-Table_246[[#This Row],[Valor gasto]]</f>
        <v>8.5</v>
      </c>
      <c r="M277" s="111">
        <f t="shared" si="17"/>
        <v>0.92391304347826098</v>
      </c>
      <c r="N277" s="52" t="s">
        <v>993</v>
      </c>
      <c r="O277" s="114" t="str">
        <f>IF([1]!Table_246[[#This Row],[Coluna2]]&gt;0.5, "🔥 Excelente", IF([1]!Table_246[[#This Row],[Coluna2]]&gt;0.4, "👍 Bom", "⚠️ Baixo"))</f>
        <v>⚠️ Baixo</v>
      </c>
    </row>
    <row r="278" spans="1:15" ht="15" customHeight="1">
      <c r="A278" s="28">
        <f>IF(Table_246[[#This Row],[Data]]="","",MONTH(Table_246[[#This Row],[Data]]))</f>
        <v>4</v>
      </c>
      <c r="B278" s="32">
        <v>46130</v>
      </c>
      <c r="C278" s="109" t="s">
        <v>1201</v>
      </c>
      <c r="D278" s="43">
        <v>1</v>
      </c>
      <c r="E278" s="48" t="s">
        <v>2199</v>
      </c>
      <c r="F278" s="48" t="s">
        <v>1016</v>
      </c>
      <c r="G278" s="49">
        <f>IFERROR(VLOOKUP(C278,PROD!$A$2:$E$1204,5,0),"0")</f>
        <v>0.7</v>
      </c>
      <c r="H278" s="10">
        <f>Table_246[[#This Row],[QT]]*Table_246[[#This Row],[Custo 
Un]]</f>
        <v>0.7</v>
      </c>
      <c r="I278" s="52">
        <v>9.1999999999999993</v>
      </c>
      <c r="J278" s="263">
        <f t="shared" si="16"/>
        <v>9.1999999999999993</v>
      </c>
      <c r="K278" s="10">
        <f t="shared" si="15"/>
        <v>9.1999999999999993</v>
      </c>
      <c r="L278" s="50">
        <f>Table_246[[#This Row],[Valor da 
venda]]-Table_246[[#This Row],[Valor gasto]]</f>
        <v>8.5</v>
      </c>
      <c r="M278" s="111">
        <f t="shared" si="17"/>
        <v>0.92391304347826098</v>
      </c>
      <c r="N278" s="52" t="s">
        <v>993</v>
      </c>
      <c r="O278" s="114" t="str">
        <f>IF([1]!Table_246[[#This Row],[Coluna2]]&gt;0.5, "🔥 Excelente", IF([1]!Table_246[[#This Row],[Coluna2]]&gt;0.4, "👍 Bom", "⚠️ Baixo"))</f>
        <v>⚠️ Baixo</v>
      </c>
    </row>
    <row r="279" spans="1:15" ht="15" customHeight="1">
      <c r="A279" s="28">
        <f>IF(Table_246[[#This Row],[Data]]="","",MONTH(Table_246[[#This Row],[Data]]))</f>
        <v>4</v>
      </c>
      <c r="B279" s="32">
        <v>46130</v>
      </c>
      <c r="C279" s="109" t="s">
        <v>1201</v>
      </c>
      <c r="D279" s="43">
        <v>1</v>
      </c>
      <c r="E279" s="48" t="s">
        <v>2200</v>
      </c>
      <c r="F279" s="48" t="s">
        <v>1016</v>
      </c>
      <c r="G279" s="49">
        <f>IFERROR(VLOOKUP(C279,PROD!$A$2:$E$1204,5,0),"0")</f>
        <v>0.7</v>
      </c>
      <c r="H279" s="10">
        <f>Table_246[[#This Row],[QT]]*Table_246[[#This Row],[Custo 
Un]]</f>
        <v>0.7</v>
      </c>
      <c r="I279" s="52">
        <v>9.1999999999999993</v>
      </c>
      <c r="J279" s="263">
        <f t="shared" si="16"/>
        <v>9.1999999999999993</v>
      </c>
      <c r="K279" s="10">
        <f t="shared" si="15"/>
        <v>9.1999999999999993</v>
      </c>
      <c r="L279" s="50">
        <f>Table_246[[#This Row],[Valor da 
venda]]-Table_246[[#This Row],[Valor gasto]]</f>
        <v>8.5</v>
      </c>
      <c r="M279" s="111">
        <f t="shared" si="17"/>
        <v>0.92391304347826098</v>
      </c>
      <c r="N279" s="52" t="s">
        <v>993</v>
      </c>
      <c r="O279" s="114" t="str">
        <f>IF([1]!Table_246[[#This Row],[Coluna2]]&gt;0.5, "🔥 Excelente", IF([1]!Table_246[[#This Row],[Coluna2]]&gt;0.4, "👍 Bom", "⚠️ Baixo"))</f>
        <v>⚠️ Baixo</v>
      </c>
    </row>
    <row r="280" spans="1:15" ht="15" customHeight="1">
      <c r="A280" s="28">
        <f>IF(Table_246[[#This Row],[Data]]="","",MONTH(Table_246[[#This Row],[Data]]))</f>
        <v>4</v>
      </c>
      <c r="B280" s="32">
        <v>46130</v>
      </c>
      <c r="C280" s="109" t="s">
        <v>1201</v>
      </c>
      <c r="D280" s="43">
        <v>3</v>
      </c>
      <c r="E280" s="48" t="s">
        <v>2201</v>
      </c>
      <c r="F280" s="48" t="s">
        <v>1016</v>
      </c>
      <c r="G280" s="49">
        <f>IFERROR(VLOOKUP(C280,PROD!$A$2:$E$1204,5,0),"0")</f>
        <v>0.7</v>
      </c>
      <c r="H280" s="10">
        <f>Table_246[[#This Row],[QT]]*Table_246[[#This Row],[Custo 
Un]]</f>
        <v>2.0999999999999996</v>
      </c>
      <c r="I280" s="52">
        <v>9.1999999999999993</v>
      </c>
      <c r="J280" s="263">
        <f t="shared" si="16"/>
        <v>27.599999999999998</v>
      </c>
      <c r="K280" s="10">
        <f t="shared" si="15"/>
        <v>27.599999999999998</v>
      </c>
      <c r="L280" s="50">
        <f>Table_246[[#This Row],[Valor da 
venda]]-Table_246[[#This Row],[Valor gasto]]</f>
        <v>25.5</v>
      </c>
      <c r="M280" s="111">
        <f t="shared" si="17"/>
        <v>0.92391304347826098</v>
      </c>
      <c r="N280" s="52" t="s">
        <v>993</v>
      </c>
      <c r="O280" s="114" t="str">
        <f>IF([1]!Table_246[[#This Row],[Coluna2]]&gt;0.5, "🔥 Excelente", IF([1]!Table_246[[#This Row],[Coluna2]]&gt;0.4, "👍 Bom", "⚠️ Baixo"))</f>
        <v>⚠️ Baixo</v>
      </c>
    </row>
    <row r="281" spans="1:15" ht="15" customHeight="1">
      <c r="A281" s="28">
        <f>IF(Table_246[[#This Row],[Data]]="","",MONTH(Table_246[[#This Row],[Data]]))</f>
        <v>4</v>
      </c>
      <c r="B281" s="32">
        <v>46130</v>
      </c>
      <c r="C281" s="109" t="s">
        <v>1201</v>
      </c>
      <c r="D281" s="43">
        <v>1</v>
      </c>
      <c r="E281" s="48" t="s">
        <v>2202</v>
      </c>
      <c r="F281" s="48" t="s">
        <v>1016</v>
      </c>
      <c r="G281" s="49">
        <f>IFERROR(VLOOKUP(C281,PROD!$A$2:$E$1204,5,0),"0")</f>
        <v>0.7</v>
      </c>
      <c r="H281" s="10">
        <f>Table_246[[#This Row],[QT]]*Table_246[[#This Row],[Custo 
Un]]</f>
        <v>0.7</v>
      </c>
      <c r="I281" s="52">
        <v>9.1999999999999993</v>
      </c>
      <c r="J281" s="263">
        <f t="shared" si="16"/>
        <v>9.1999999999999993</v>
      </c>
      <c r="K281" s="10">
        <f t="shared" si="15"/>
        <v>9.1999999999999993</v>
      </c>
      <c r="L281" s="50">
        <f>Table_246[[#This Row],[Valor da 
venda]]-Table_246[[#This Row],[Valor gasto]]</f>
        <v>8.5</v>
      </c>
      <c r="M281" s="111">
        <f t="shared" si="17"/>
        <v>0.92391304347826098</v>
      </c>
      <c r="N281" s="52" t="s">
        <v>993</v>
      </c>
      <c r="O281" s="114" t="str">
        <f>IF([1]!Table_246[[#This Row],[Coluna2]]&gt;0.5, "🔥 Excelente", IF([1]!Table_246[[#This Row],[Coluna2]]&gt;0.4, "👍 Bom", "⚠️ Baixo"))</f>
        <v>⚠️ Baixo</v>
      </c>
    </row>
    <row r="282" spans="1:15" ht="15" customHeight="1">
      <c r="A282" s="28">
        <f>IF(Table_246[[#This Row],[Data]]="","",MONTH(Table_246[[#This Row],[Data]]))</f>
        <v>4</v>
      </c>
      <c r="B282" s="32">
        <v>46130</v>
      </c>
      <c r="C282" s="109" t="s">
        <v>1201</v>
      </c>
      <c r="D282" s="43">
        <v>1</v>
      </c>
      <c r="E282" s="48" t="s">
        <v>2203</v>
      </c>
      <c r="F282" s="48" t="s">
        <v>1016</v>
      </c>
      <c r="G282" s="49">
        <f>IFERROR(VLOOKUP(C282,PROD!$A$2:$E$1204,5,0),"0")</f>
        <v>0.7</v>
      </c>
      <c r="H282" s="10">
        <f>Table_246[[#This Row],[QT]]*Table_246[[#This Row],[Custo 
Un]]</f>
        <v>0.7</v>
      </c>
      <c r="I282" s="52">
        <v>9.1999999999999993</v>
      </c>
      <c r="J282" s="263">
        <f t="shared" si="16"/>
        <v>9.1999999999999993</v>
      </c>
      <c r="K282" s="10">
        <f t="shared" si="15"/>
        <v>9.1999999999999993</v>
      </c>
      <c r="L282" s="50">
        <f>Table_246[[#This Row],[Valor da 
venda]]-Table_246[[#This Row],[Valor gasto]]</f>
        <v>8.5</v>
      </c>
      <c r="M282" s="111">
        <f t="shared" si="17"/>
        <v>0.92391304347826098</v>
      </c>
      <c r="N282" s="52" t="s">
        <v>993</v>
      </c>
      <c r="O282" s="114" t="str">
        <f>IF([1]!Table_246[[#This Row],[Coluna2]]&gt;0.5, "🔥 Excelente", IF([1]!Table_246[[#This Row],[Coluna2]]&gt;0.4, "👍 Bom", "⚠️ Baixo"))</f>
        <v>⚠️ Baixo</v>
      </c>
    </row>
    <row r="283" spans="1:15" ht="15" customHeight="1">
      <c r="A283" s="28">
        <f>IF(Table_246[[#This Row],[Data]]="","",MONTH(Table_246[[#This Row],[Data]]))</f>
        <v>4</v>
      </c>
      <c r="B283" s="32">
        <v>46130</v>
      </c>
      <c r="C283" s="109" t="s">
        <v>1201</v>
      </c>
      <c r="D283" s="43">
        <v>1</v>
      </c>
      <c r="E283" s="48" t="s">
        <v>2204</v>
      </c>
      <c r="F283" s="48" t="s">
        <v>1016</v>
      </c>
      <c r="G283" s="49">
        <f>IFERROR(VLOOKUP(C283,PROD!$A$2:$E$1204,5,0),"0")</f>
        <v>0.7</v>
      </c>
      <c r="H283" s="10">
        <f>Table_246[[#This Row],[QT]]*Table_246[[#This Row],[Custo 
Un]]</f>
        <v>0.7</v>
      </c>
      <c r="I283" s="52">
        <v>9.1999999999999993</v>
      </c>
      <c r="J283" s="263">
        <f t="shared" si="16"/>
        <v>9.1999999999999993</v>
      </c>
      <c r="K283" s="10">
        <f t="shared" si="15"/>
        <v>9.1999999999999993</v>
      </c>
      <c r="L283" s="50">
        <f>Table_246[[#This Row],[Valor da 
venda]]-Table_246[[#This Row],[Valor gasto]]</f>
        <v>8.5</v>
      </c>
      <c r="M283" s="111">
        <f t="shared" si="17"/>
        <v>0.92391304347826098</v>
      </c>
      <c r="N283" s="52" t="s">
        <v>20</v>
      </c>
      <c r="O283" s="114" t="str">
        <f>IF([1]!Table_246[[#This Row],[Coluna2]]&gt;0.5, "🔥 Excelente", IF([1]!Table_246[[#This Row],[Coluna2]]&gt;0.4, "👍 Bom", "⚠️ Baixo"))</f>
        <v>⚠️ Baixo</v>
      </c>
    </row>
    <row r="284" spans="1:15" ht="15" customHeight="1">
      <c r="A284" s="28">
        <f>IF(Table_246[[#This Row],[Data]]="","",MONTH(Table_246[[#This Row],[Data]]))</f>
        <v>4</v>
      </c>
      <c r="B284" s="32">
        <v>46130</v>
      </c>
      <c r="C284" s="109" t="s">
        <v>1201</v>
      </c>
      <c r="D284" s="43">
        <v>2</v>
      </c>
      <c r="E284" s="48" t="s">
        <v>2205</v>
      </c>
      <c r="F284" s="48" t="s">
        <v>1016</v>
      </c>
      <c r="G284" s="49">
        <f>IFERROR(VLOOKUP(C284,PROD!$A$2:$E$1204,5,0),"0")</f>
        <v>0.7</v>
      </c>
      <c r="H284" s="10">
        <f>Table_246[[#This Row],[QT]]*Table_246[[#This Row],[Custo 
Un]]</f>
        <v>1.4</v>
      </c>
      <c r="I284" s="52">
        <v>9.1999999999999993</v>
      </c>
      <c r="J284" s="263">
        <f t="shared" si="16"/>
        <v>18.399999999999999</v>
      </c>
      <c r="K284" s="10">
        <f t="shared" si="15"/>
        <v>18.399999999999999</v>
      </c>
      <c r="L284" s="50">
        <f>Table_246[[#This Row],[Valor da 
venda]]-Table_246[[#This Row],[Valor gasto]]</f>
        <v>17</v>
      </c>
      <c r="M284" s="111">
        <f t="shared" si="17"/>
        <v>0.92391304347826098</v>
      </c>
      <c r="N284" s="52" t="s">
        <v>993</v>
      </c>
      <c r="O284" s="114" t="str">
        <f>IF([1]!Table_246[[#This Row],[Coluna2]]&gt;0.5, "🔥 Excelente", IF([1]!Table_246[[#This Row],[Coluna2]]&gt;0.4, "👍 Bom", "⚠️ Baixo"))</f>
        <v>⚠️ Baixo</v>
      </c>
    </row>
    <row r="285" spans="1:15" ht="15" customHeight="1">
      <c r="A285" s="28">
        <f>IF(Table_246[[#This Row],[Data]]="","",MONTH(Table_246[[#This Row],[Data]]))</f>
        <v>4</v>
      </c>
      <c r="B285" s="32">
        <v>46130</v>
      </c>
      <c r="C285" s="109" t="s">
        <v>1201</v>
      </c>
      <c r="D285" s="43">
        <v>1</v>
      </c>
      <c r="E285" s="48" t="s">
        <v>2206</v>
      </c>
      <c r="F285" s="48" t="s">
        <v>1016</v>
      </c>
      <c r="G285" s="49">
        <f>IFERROR(VLOOKUP(C285,PROD!$A$2:$E$1204,5,0),"0")</f>
        <v>0.7</v>
      </c>
      <c r="H285" s="10">
        <f>Table_246[[#This Row],[QT]]*Table_246[[#This Row],[Custo 
Un]]</f>
        <v>0.7</v>
      </c>
      <c r="I285" s="52">
        <v>9.1999999999999993</v>
      </c>
      <c r="J285" s="263">
        <f t="shared" si="16"/>
        <v>9.1999999999999993</v>
      </c>
      <c r="K285" s="10">
        <f t="shared" si="15"/>
        <v>9.1999999999999993</v>
      </c>
      <c r="L285" s="50">
        <f>Table_246[[#This Row],[Valor da 
venda]]-Table_246[[#This Row],[Valor gasto]]</f>
        <v>8.5</v>
      </c>
      <c r="M285" s="111">
        <f t="shared" si="17"/>
        <v>0.92391304347826098</v>
      </c>
      <c r="N285" s="52" t="s">
        <v>993</v>
      </c>
      <c r="O285" s="114" t="str">
        <f>IF([1]!Table_246[[#This Row],[Coluna2]]&gt;0.5, "🔥 Excelente", IF([1]!Table_246[[#This Row],[Coluna2]]&gt;0.4, "👍 Bom", "⚠️ Baixo"))</f>
        <v>⚠️ Baixo</v>
      </c>
    </row>
    <row r="286" spans="1:15" ht="15" customHeight="1">
      <c r="A286" s="28">
        <f>IF(Table_246[[#This Row],[Data]]="","",MONTH(Table_246[[#This Row],[Data]]))</f>
        <v>4</v>
      </c>
      <c r="B286" s="32">
        <v>46130</v>
      </c>
      <c r="C286" s="109" t="s">
        <v>97</v>
      </c>
      <c r="D286" s="43">
        <v>1</v>
      </c>
      <c r="E286" s="48" t="s">
        <v>1008</v>
      </c>
      <c r="F286" s="48" t="s">
        <v>555</v>
      </c>
      <c r="G286" s="49">
        <f>IFERROR(VLOOKUP(C286,PROD!$A$2:$E$1204,5,0),"0")</f>
        <v>3</v>
      </c>
      <c r="H286" s="10">
        <f>Table_246[[#This Row],[QT]]*Table_246[[#This Row],[Custo 
Un]]</f>
        <v>3</v>
      </c>
      <c r="I286" s="52">
        <v>15</v>
      </c>
      <c r="J286" s="263">
        <f t="shared" si="16"/>
        <v>15</v>
      </c>
      <c r="K286" s="10">
        <f t="shared" si="15"/>
        <v>15</v>
      </c>
      <c r="L286" s="50">
        <f>Table_246[[#This Row],[Valor da 
venda]]-Table_246[[#This Row],[Valor gasto]]</f>
        <v>12</v>
      </c>
      <c r="M286" s="111">
        <f t="shared" si="17"/>
        <v>0.8</v>
      </c>
      <c r="N286" s="52" t="s">
        <v>20</v>
      </c>
      <c r="O286" s="114" t="str">
        <f>IF([1]!Table_246[[#This Row],[Coluna2]]&gt;0.5, "🔥 Excelente", IF([1]!Table_246[[#This Row],[Coluna2]]&gt;0.4, "👍 Bom", "⚠️ Baixo"))</f>
        <v>⚠️ Baixo</v>
      </c>
    </row>
    <row r="287" spans="1:15" ht="15" customHeight="1">
      <c r="A287" s="28">
        <f>IF(Table_246[[#This Row],[Data]]="","",MONTH(Table_246[[#This Row],[Data]]))</f>
        <v>4</v>
      </c>
      <c r="B287" s="32">
        <v>46132</v>
      </c>
      <c r="C287" s="36" t="s">
        <v>2035</v>
      </c>
      <c r="D287" s="43">
        <v>1</v>
      </c>
      <c r="E287" s="48" t="s">
        <v>1008</v>
      </c>
      <c r="F287" s="48" t="s">
        <v>555</v>
      </c>
      <c r="G287" s="49" t="str">
        <f>IFERROR(VLOOKUP(C287,PROD!$A$2:$E$1204,5,0),"0")</f>
        <v>0</v>
      </c>
      <c r="H287" s="10">
        <f>Table_246[[#This Row],[QT]]*Table_246[[#This Row],[Custo 
Un]]</f>
        <v>0</v>
      </c>
      <c r="I287" s="52">
        <v>70</v>
      </c>
      <c r="J287" s="263">
        <f t="shared" si="16"/>
        <v>70</v>
      </c>
      <c r="K287" s="10">
        <f t="shared" si="15"/>
        <v>70</v>
      </c>
      <c r="L287" s="50">
        <f>Table_246[[#This Row],[Valor da 
venda]]-Table_246[[#This Row],[Valor gasto]]</f>
        <v>70</v>
      </c>
      <c r="M287" s="111">
        <f t="shared" si="17"/>
        <v>1</v>
      </c>
      <c r="N287" s="52" t="s">
        <v>20</v>
      </c>
      <c r="O287" s="114" t="str">
        <f>IF([1]!Table_246[[#This Row],[Coluna2]]&gt;0.5, "🔥 Excelente", IF([1]!Table_246[[#This Row],[Coluna2]]&gt;0.4, "👍 Bom", "⚠️ Baixo"))</f>
        <v>⚠️ Baixo</v>
      </c>
    </row>
    <row r="288" spans="1:15" ht="15" customHeight="1">
      <c r="A288" s="28">
        <f>IF(Table_246[[#This Row],[Data]]="","",MONTH(Table_246[[#This Row],[Data]]))</f>
        <v>4</v>
      </c>
      <c r="B288" s="32">
        <v>46132</v>
      </c>
      <c r="C288" s="36" t="s">
        <v>2207</v>
      </c>
      <c r="D288" s="43">
        <v>1</v>
      </c>
      <c r="E288" s="48" t="s">
        <v>1008</v>
      </c>
      <c r="F288" s="48" t="s">
        <v>555</v>
      </c>
      <c r="G288" s="49">
        <v>50</v>
      </c>
      <c r="H288" s="10">
        <f>Table_246[[#This Row],[QT]]*Table_246[[#This Row],[Custo 
Un]]</f>
        <v>50</v>
      </c>
      <c r="I288" s="52">
        <v>70</v>
      </c>
      <c r="J288" s="263">
        <f t="shared" si="16"/>
        <v>70</v>
      </c>
      <c r="K288" s="10">
        <f t="shared" si="15"/>
        <v>70</v>
      </c>
      <c r="L288" s="50">
        <f>Table_246[[#This Row],[Valor da 
venda]]-Table_246[[#This Row],[Valor gasto]]</f>
        <v>20</v>
      </c>
      <c r="M288" s="111">
        <f t="shared" si="17"/>
        <v>0.2857142857142857</v>
      </c>
      <c r="N288" s="52" t="s">
        <v>20</v>
      </c>
      <c r="O288" s="114" t="str">
        <f>IF([1]!Table_246[[#This Row],[Coluna2]]&gt;0.5, "🔥 Excelente", IF([1]!Table_246[[#This Row],[Coluna2]]&gt;0.4, "👍 Bom", "⚠️ Baixo"))</f>
        <v>⚠️ Baixo</v>
      </c>
    </row>
    <row r="289" spans="1:15" ht="15" customHeight="1">
      <c r="A289" s="28">
        <f>IF(Table_246[[#This Row],[Data]]="","",MONTH(Table_246[[#This Row],[Data]]))</f>
        <v>4</v>
      </c>
      <c r="B289" s="32">
        <v>46132</v>
      </c>
      <c r="C289" s="36" t="s">
        <v>1072</v>
      </c>
      <c r="D289" s="43">
        <v>6</v>
      </c>
      <c r="E289" s="48" t="s">
        <v>1008</v>
      </c>
      <c r="F289" s="48" t="s">
        <v>555</v>
      </c>
      <c r="G289" s="49">
        <f>IFERROR(VLOOKUP(C289,PROD!$A$2:$E$1204,5,0),"0")</f>
        <v>0.7</v>
      </c>
      <c r="H289" s="10">
        <f>Table_246[[#This Row],[QT]]*Table_246[[#This Row],[Custo 
Un]]</f>
        <v>4.1999999999999993</v>
      </c>
      <c r="I289" s="52">
        <v>5</v>
      </c>
      <c r="J289" s="263">
        <f t="shared" si="16"/>
        <v>30</v>
      </c>
      <c r="K289" s="10">
        <f t="shared" si="15"/>
        <v>30</v>
      </c>
      <c r="L289" s="50">
        <f>Table_246[[#This Row],[Valor da 
venda]]-Table_246[[#This Row],[Valor gasto]]</f>
        <v>25.8</v>
      </c>
      <c r="M289" s="111">
        <f t="shared" si="17"/>
        <v>0.86</v>
      </c>
      <c r="N289" s="52" t="s">
        <v>20</v>
      </c>
      <c r="O289" s="114" t="str">
        <f>IF([1]!Table_246[[#This Row],[Coluna2]]&gt;0.5, "🔥 Excelente", IF([1]!Table_246[[#This Row],[Coluna2]]&gt;0.4, "👍 Bom", "⚠️ Baixo"))</f>
        <v>⚠️ Baixo</v>
      </c>
    </row>
    <row r="290" spans="1:15" ht="15" customHeight="1">
      <c r="A290" s="28">
        <f>IF(Table_246[[#This Row],[Data]]="","",MONTH(Table_246[[#This Row],[Data]]))</f>
        <v>4</v>
      </c>
      <c r="B290" s="32">
        <v>46132</v>
      </c>
      <c r="C290" s="36" t="s">
        <v>2053</v>
      </c>
      <c r="D290" s="43">
        <v>1</v>
      </c>
      <c r="E290" s="48" t="s">
        <v>2208</v>
      </c>
      <c r="F290" s="48" t="s">
        <v>22</v>
      </c>
      <c r="G290" s="49">
        <v>600</v>
      </c>
      <c r="H290" s="10">
        <f>Table_246[[#This Row],[QT]]*Table_246[[#This Row],[Custo 
Un]]</f>
        <v>600</v>
      </c>
      <c r="I290" s="52">
        <v>646.4</v>
      </c>
      <c r="J290" s="263">
        <f t="shared" si="16"/>
        <v>646.4</v>
      </c>
      <c r="K290" s="10">
        <f t="shared" si="15"/>
        <v>646.4</v>
      </c>
      <c r="L290" s="50">
        <f>Table_246[[#This Row],[Valor da 
venda]]-Table_246[[#This Row],[Valor gasto]]</f>
        <v>46.399999999999977</v>
      </c>
      <c r="M290" s="111">
        <f t="shared" si="17"/>
        <v>7.1782178217821749E-2</v>
      </c>
      <c r="N290" s="52" t="s">
        <v>20</v>
      </c>
      <c r="O290" s="114" t="str">
        <f>IF([1]!Table_246[[#This Row],[Coluna2]]&gt;0.5, "🔥 Excelente", IF([1]!Table_246[[#This Row],[Coluna2]]&gt;0.4, "👍 Bom", "⚠️ Baixo"))</f>
        <v>⚠️ Baixo</v>
      </c>
    </row>
    <row r="291" spans="1:15" ht="15" customHeight="1">
      <c r="A291" s="28">
        <f>IF(Table_246[[#This Row],[Data]]="","",MONTH(Table_246[[#This Row],[Data]]))</f>
        <v>4</v>
      </c>
      <c r="B291" s="32">
        <v>46132</v>
      </c>
      <c r="C291" s="36" t="s">
        <v>2053</v>
      </c>
      <c r="D291" s="43">
        <v>1</v>
      </c>
      <c r="E291" s="48" t="s">
        <v>2210</v>
      </c>
      <c r="F291" s="48" t="s">
        <v>22</v>
      </c>
      <c r="G291" s="49">
        <v>600</v>
      </c>
      <c r="H291" s="10">
        <f>Table_246[[#This Row],[QT]]*Table_246[[#This Row],[Custo 
Un]]</f>
        <v>600</v>
      </c>
      <c r="I291" s="52">
        <v>646.4</v>
      </c>
      <c r="J291" s="263">
        <f t="shared" si="16"/>
        <v>646.4</v>
      </c>
      <c r="K291" s="10">
        <f t="shared" si="15"/>
        <v>646.4</v>
      </c>
      <c r="L291" s="50">
        <f>Table_246[[#This Row],[Valor da 
venda]]-Table_246[[#This Row],[Valor gasto]]</f>
        <v>46.399999999999977</v>
      </c>
      <c r="M291" s="111">
        <f t="shared" si="17"/>
        <v>7.1782178217821749E-2</v>
      </c>
      <c r="N291" s="52" t="s">
        <v>20</v>
      </c>
      <c r="O291" s="114" t="str">
        <f>IF([1]!Table_246[[#This Row],[Coluna2]]&gt;0.5, "🔥 Excelente", IF([1]!Table_246[[#This Row],[Coluna2]]&gt;0.4, "👍 Bom", "⚠️ Baixo"))</f>
        <v>⚠️ Baixo</v>
      </c>
    </row>
    <row r="292" spans="1:15" ht="15" customHeight="1">
      <c r="A292" s="28">
        <f>IF(Table_246[[#This Row],[Data]]="","",MONTH(Table_246[[#This Row],[Data]]))</f>
        <v>4</v>
      </c>
      <c r="B292" s="32">
        <v>46132</v>
      </c>
      <c r="C292" s="36" t="s">
        <v>2053</v>
      </c>
      <c r="D292" s="43">
        <v>1</v>
      </c>
      <c r="E292" s="48" t="s">
        <v>2211</v>
      </c>
      <c r="F292" s="48" t="s">
        <v>22</v>
      </c>
      <c r="G292" s="49">
        <v>600</v>
      </c>
      <c r="H292" s="10">
        <f>Table_246[[#This Row],[QT]]*Table_246[[#This Row],[Custo 
Un]]</f>
        <v>600</v>
      </c>
      <c r="I292" s="52">
        <v>642.29</v>
      </c>
      <c r="J292" s="263">
        <f t="shared" si="16"/>
        <v>642.29</v>
      </c>
      <c r="K292" s="10">
        <f t="shared" si="15"/>
        <v>642.29</v>
      </c>
      <c r="L292" s="50">
        <f>Table_246[[#This Row],[Valor da 
venda]]-Table_246[[#This Row],[Valor gasto]]</f>
        <v>42.289999999999964</v>
      </c>
      <c r="M292" s="111">
        <f t="shared" si="17"/>
        <v>6.5842532189509362E-2</v>
      </c>
      <c r="N292" s="52" t="s">
        <v>20</v>
      </c>
      <c r="O292" s="114" t="str">
        <f>IF([1]!Table_246[[#This Row],[Coluna2]]&gt;0.5, "🔥 Excelente", IF([1]!Table_246[[#This Row],[Coluna2]]&gt;0.4, "👍 Bom", "⚠️ Baixo"))</f>
        <v>⚠️ Baixo</v>
      </c>
    </row>
    <row r="293" spans="1:15" ht="15" customHeight="1">
      <c r="A293" s="28">
        <f>IF(Table_246[[#This Row],[Data]]="","",MONTH(Table_246[[#This Row],[Data]]))</f>
        <v>4</v>
      </c>
      <c r="B293" s="32">
        <v>46132</v>
      </c>
      <c r="C293" s="109" t="s">
        <v>1047</v>
      </c>
      <c r="D293" s="43">
        <v>1</v>
      </c>
      <c r="E293" s="48" t="s">
        <v>2209</v>
      </c>
      <c r="F293" s="48" t="s">
        <v>22</v>
      </c>
      <c r="G293" s="49">
        <f>IFERROR(VLOOKUP(C293,PROD!$A$2:$E$1204,5,0),"0")</f>
        <v>0.7</v>
      </c>
      <c r="H293" s="10">
        <f>Table_246[[#This Row],[QT]]*Table_246[[#This Row],[Custo 
Un]]</f>
        <v>0.7</v>
      </c>
      <c r="I293" s="52">
        <v>5.5</v>
      </c>
      <c r="J293" s="263">
        <f t="shared" si="16"/>
        <v>5.5</v>
      </c>
      <c r="K293" s="10">
        <f t="shared" si="15"/>
        <v>5.5</v>
      </c>
      <c r="L293" s="50">
        <f>Table_246[[#This Row],[Valor da 
venda]]-Table_246[[#This Row],[Valor gasto]]</f>
        <v>4.8</v>
      </c>
      <c r="M293" s="111">
        <f t="shared" si="17"/>
        <v>0.87272727272727268</v>
      </c>
      <c r="N293" s="52" t="s">
        <v>20</v>
      </c>
      <c r="O293" s="114" t="str">
        <f>IF([1]!Table_246[[#This Row],[Coluna2]]&gt;0.5, "🔥 Excelente", IF([1]!Table_246[[#This Row],[Coluna2]]&gt;0.4, "👍 Bom", "⚠️ Baixo"))</f>
        <v>⚠️ Baixo</v>
      </c>
    </row>
    <row r="294" spans="1:15" ht="15" customHeight="1">
      <c r="A294" s="28">
        <f>IF(Table_246[[#This Row],[Data]]="","",MONTH(Table_246[[#This Row],[Data]]))</f>
        <v>4</v>
      </c>
      <c r="B294" s="32">
        <v>46132</v>
      </c>
      <c r="C294" s="109" t="s">
        <v>1047</v>
      </c>
      <c r="D294" s="43">
        <v>1</v>
      </c>
      <c r="E294" s="48" t="s">
        <v>2213</v>
      </c>
      <c r="F294" s="48" t="s">
        <v>22</v>
      </c>
      <c r="G294" s="49">
        <f>IFERROR(VLOOKUP(C294,PROD!$A$2:$E$1204,5,0),"0")</f>
        <v>0.7</v>
      </c>
      <c r="H294" s="10">
        <f>Table_246[[#This Row],[QT]]*Table_246[[#This Row],[Custo 
Un]]</f>
        <v>0.7</v>
      </c>
      <c r="I294" s="52">
        <v>5.5</v>
      </c>
      <c r="J294" s="263">
        <f t="shared" si="16"/>
        <v>5.5</v>
      </c>
      <c r="K294" s="10">
        <f t="shared" si="15"/>
        <v>5.5</v>
      </c>
      <c r="L294" s="50">
        <f>Table_246[[#This Row],[Valor da 
venda]]-Table_246[[#This Row],[Valor gasto]]</f>
        <v>4.8</v>
      </c>
      <c r="M294" s="111">
        <f t="shared" si="17"/>
        <v>0.87272727272727268</v>
      </c>
      <c r="N294" s="52" t="s">
        <v>20</v>
      </c>
      <c r="O294" s="114" t="str">
        <f>IF([1]!Table_246[[#This Row],[Coluna2]]&gt;0.5, "🔥 Excelente", IF([1]!Table_246[[#This Row],[Coluna2]]&gt;0.4, "👍 Bom", "⚠️ Baixo"))</f>
        <v>⚠️ Baixo</v>
      </c>
    </row>
    <row r="295" spans="1:15" ht="15" customHeight="1">
      <c r="A295" s="28">
        <f>IF(Table_246[[#This Row],[Data]]="","",MONTH(Table_246[[#This Row],[Data]]))</f>
        <v>4</v>
      </c>
      <c r="B295" s="32">
        <v>46132</v>
      </c>
      <c r="C295" s="109" t="s">
        <v>1047</v>
      </c>
      <c r="D295" s="43">
        <v>1</v>
      </c>
      <c r="E295" s="48" t="s">
        <v>2212</v>
      </c>
      <c r="F295" s="48" t="s">
        <v>22</v>
      </c>
      <c r="G295" s="49">
        <f>IFERROR(VLOOKUP(C295,PROD!$A$2:$E$1204,5,0),"0")</f>
        <v>0.7</v>
      </c>
      <c r="H295" s="10">
        <f>Table_246[[#This Row],[QT]]*Table_246[[#This Row],[Custo 
Un]]</f>
        <v>0.7</v>
      </c>
      <c r="I295" s="52">
        <v>5.5</v>
      </c>
      <c r="J295" s="263">
        <f t="shared" si="16"/>
        <v>5.5</v>
      </c>
      <c r="K295" s="10">
        <f t="shared" si="15"/>
        <v>5.5</v>
      </c>
      <c r="L295" s="50">
        <f>Table_246[[#This Row],[Valor da 
venda]]-Table_246[[#This Row],[Valor gasto]]</f>
        <v>4.8</v>
      </c>
      <c r="M295" s="111">
        <f t="shared" si="17"/>
        <v>0.87272727272727268</v>
      </c>
      <c r="N295" s="52" t="s">
        <v>20</v>
      </c>
      <c r="O295" s="114" t="str">
        <f>IF([1]!Table_246[[#This Row],[Coluna2]]&gt;0.5, "🔥 Excelente", IF([1]!Table_246[[#This Row],[Coluna2]]&gt;0.4, "👍 Bom", "⚠️ Baixo"))</f>
        <v>⚠️ Baixo</v>
      </c>
    </row>
    <row r="296" spans="1:15" ht="15" customHeight="1">
      <c r="A296" s="28">
        <f>IF(Table_246[[#This Row],[Data]]="","",MONTH(Table_246[[#This Row],[Data]]))</f>
        <v>4</v>
      </c>
      <c r="B296" s="32">
        <v>46133</v>
      </c>
      <c r="C296" s="36" t="s">
        <v>2214</v>
      </c>
      <c r="D296" s="43">
        <v>1</v>
      </c>
      <c r="E296" s="48" t="s">
        <v>1008</v>
      </c>
      <c r="F296" s="48" t="s">
        <v>555</v>
      </c>
      <c r="G296" s="49">
        <v>5.5</v>
      </c>
      <c r="H296" s="10">
        <f>Table_246[[#This Row],[QT]]*Table_246[[#This Row],[Custo 
Un]]</f>
        <v>5.5</v>
      </c>
      <c r="I296" s="52">
        <v>20</v>
      </c>
      <c r="J296" s="263">
        <f t="shared" si="16"/>
        <v>20</v>
      </c>
      <c r="K296" s="10">
        <f t="shared" si="15"/>
        <v>20</v>
      </c>
      <c r="L296" s="50">
        <f>Table_246[[#This Row],[Valor da 
venda]]-Table_246[[#This Row],[Valor gasto]]</f>
        <v>14.5</v>
      </c>
      <c r="M296" s="111">
        <f t="shared" si="17"/>
        <v>0.72499999999999998</v>
      </c>
      <c r="N296" s="52" t="s">
        <v>20</v>
      </c>
      <c r="O296" s="114" t="str">
        <f>IF([1]!Table_246[[#This Row],[Coluna2]]&gt;0.5, "🔥 Excelente", IF([1]!Table_246[[#This Row],[Coluna2]]&gt;0.4, "👍 Bom", "⚠️ Baixo"))</f>
        <v>⚠️ Baixo</v>
      </c>
    </row>
    <row r="297" spans="1:15" ht="15" customHeight="1">
      <c r="A297" s="28">
        <f>IF(Table_246[[#This Row],[Data]]="","",MONTH(Table_246[[#This Row],[Data]]))</f>
        <v>4</v>
      </c>
      <c r="B297" s="32">
        <v>46134</v>
      </c>
      <c r="C297" s="36" t="s">
        <v>2215</v>
      </c>
      <c r="D297" s="43">
        <v>1</v>
      </c>
      <c r="E297" s="48" t="s">
        <v>645</v>
      </c>
      <c r="F297" s="48" t="s">
        <v>555</v>
      </c>
      <c r="G297" s="49">
        <v>19</v>
      </c>
      <c r="H297" s="10">
        <f>Table_246[[#This Row],[QT]]*Table_246[[#This Row],[Custo 
Un]]</f>
        <v>19</v>
      </c>
      <c r="I297" s="52">
        <v>35</v>
      </c>
      <c r="J297" s="263">
        <f t="shared" si="16"/>
        <v>35</v>
      </c>
      <c r="K297" s="10">
        <f t="shared" si="15"/>
        <v>35</v>
      </c>
      <c r="L297" s="50">
        <f>Table_246[[#This Row],[Valor da 
venda]]-Table_246[[#This Row],[Valor gasto]]</f>
        <v>16</v>
      </c>
      <c r="M297" s="111">
        <f t="shared" si="17"/>
        <v>0.45714285714285713</v>
      </c>
      <c r="N297" s="52" t="s">
        <v>20</v>
      </c>
      <c r="O297" s="114" t="str">
        <f>IF([1]!Table_246[[#This Row],[Coluna2]]&gt;0.5, "🔥 Excelente", IF([1]!Table_246[[#This Row],[Coluna2]]&gt;0.4, "👍 Bom", "⚠️ Baixo"))</f>
        <v>⚠️ Baixo</v>
      </c>
    </row>
    <row r="298" spans="1:15" ht="15" customHeight="1">
      <c r="A298" s="28">
        <f>IF(Table_246[[#This Row],[Data]]="","",MONTH(Table_246[[#This Row],[Data]]))</f>
        <v>4</v>
      </c>
      <c r="B298" s="32">
        <v>46134</v>
      </c>
      <c r="C298" s="36" t="s">
        <v>2216</v>
      </c>
      <c r="D298" s="43">
        <v>1</v>
      </c>
      <c r="E298" s="48" t="s">
        <v>1004</v>
      </c>
      <c r="F298" s="48" t="s">
        <v>555</v>
      </c>
      <c r="G298" s="49">
        <v>5</v>
      </c>
      <c r="H298" s="10">
        <f>Table_246[[#This Row],[QT]]*Table_246[[#This Row],[Custo 
Un]]</f>
        <v>5</v>
      </c>
      <c r="I298" s="49">
        <v>15</v>
      </c>
      <c r="J298" s="264">
        <f t="shared" si="16"/>
        <v>15</v>
      </c>
      <c r="K298" s="10">
        <f t="shared" si="15"/>
        <v>15</v>
      </c>
      <c r="L298" s="50">
        <f>Table_246[[#This Row],[Valor da 
venda]]-Table_246[[#This Row],[Valor gasto]]</f>
        <v>10</v>
      </c>
      <c r="M298" s="111">
        <f t="shared" si="17"/>
        <v>0.66666666666666663</v>
      </c>
      <c r="N298" s="52" t="s">
        <v>20</v>
      </c>
      <c r="O298" s="114" t="str">
        <f>IF([1]!Table_246[[#This Row],[Coluna2]]&gt;0.5, "🔥 Excelente", IF([1]!Table_246[[#This Row],[Coluna2]]&gt;0.4, "👍 Bom", "⚠️ Baixo"))</f>
        <v>⚠️ Baixo</v>
      </c>
    </row>
    <row r="299" spans="1:15" ht="15" customHeight="1">
      <c r="A299" s="28">
        <f>IF(Table_246[[#This Row],[Data]]="","",MONTH(Table_246[[#This Row],[Data]]))</f>
        <v>4</v>
      </c>
      <c r="B299" s="32">
        <v>46134</v>
      </c>
      <c r="C299" s="36" t="s">
        <v>2217</v>
      </c>
      <c r="D299" s="43">
        <v>1</v>
      </c>
      <c r="E299" s="48" t="s">
        <v>1008</v>
      </c>
      <c r="F299" s="48" t="s">
        <v>555</v>
      </c>
      <c r="G299" s="49">
        <v>0.7</v>
      </c>
      <c r="H299" s="10">
        <f>Table_246[[#This Row],[QT]]*Table_246[[#This Row],[Custo 
Un]]</f>
        <v>0.7</v>
      </c>
      <c r="I299" s="52">
        <v>2</v>
      </c>
      <c r="J299" s="263">
        <f t="shared" si="16"/>
        <v>2</v>
      </c>
      <c r="K299" s="10">
        <f t="shared" si="15"/>
        <v>2</v>
      </c>
      <c r="L299" s="50">
        <f>Table_246[[#This Row],[Valor da 
venda]]-Table_246[[#This Row],[Valor gasto]]</f>
        <v>1.3</v>
      </c>
      <c r="M299" s="111">
        <f t="shared" si="17"/>
        <v>0.65</v>
      </c>
      <c r="N299" s="52" t="s">
        <v>20</v>
      </c>
      <c r="O299" s="114" t="str">
        <f>IF([1]!Table_246[[#This Row],[Coluna2]]&gt;0.5, "🔥 Excelente", IF([1]!Table_246[[#This Row],[Coluna2]]&gt;0.4, "👍 Bom", "⚠️ Baixo"))</f>
        <v>⚠️ Baixo</v>
      </c>
    </row>
    <row r="300" spans="1:15" ht="15" customHeight="1">
      <c r="A300" s="28">
        <f>IF(Table_246[[#This Row],[Data]]="","",MONTH(Table_246[[#This Row],[Data]]))</f>
        <v>4</v>
      </c>
      <c r="B300" s="32">
        <v>46134</v>
      </c>
      <c r="C300" s="265" t="s">
        <v>2218</v>
      </c>
      <c r="D300" s="43">
        <v>1</v>
      </c>
      <c r="E300" s="48" t="s">
        <v>1008</v>
      </c>
      <c r="F300" s="48" t="s">
        <v>555</v>
      </c>
      <c r="G300" s="49">
        <v>10</v>
      </c>
      <c r="H300" s="10">
        <f>Table_246[[#This Row],[QT]]*Table_246[[#This Row],[Custo 
Un]]</f>
        <v>10</v>
      </c>
      <c r="I300" s="52">
        <v>20</v>
      </c>
      <c r="J300" s="263">
        <f t="shared" si="16"/>
        <v>20</v>
      </c>
      <c r="K300" s="10">
        <f t="shared" si="15"/>
        <v>20</v>
      </c>
      <c r="L300" s="50">
        <f>Table_246[[#This Row],[Valor da 
venda]]-Table_246[[#This Row],[Valor gasto]]</f>
        <v>10</v>
      </c>
      <c r="M300" s="111">
        <f t="shared" si="17"/>
        <v>0.5</v>
      </c>
      <c r="N300" s="52" t="s">
        <v>20</v>
      </c>
      <c r="O300" s="114" t="str">
        <f>IF([1]!Table_246[[#This Row],[Coluna2]]&gt;0.5, "🔥 Excelente", IF([1]!Table_246[[#This Row],[Coluna2]]&gt;0.4, "👍 Bom", "⚠️ Baixo"))</f>
        <v>⚠️ Baixo</v>
      </c>
    </row>
    <row r="301" spans="1:15" ht="15" customHeight="1">
      <c r="A301" s="28">
        <f>IF(Table_246[[#This Row],[Data]]="","",MONTH(Table_246[[#This Row],[Data]]))</f>
        <v>4</v>
      </c>
      <c r="B301" s="32">
        <v>46134</v>
      </c>
      <c r="C301" s="36" t="s">
        <v>2054</v>
      </c>
      <c r="D301" s="43">
        <v>1</v>
      </c>
      <c r="E301" s="48" t="s">
        <v>1008</v>
      </c>
      <c r="F301" s="48" t="s">
        <v>555</v>
      </c>
      <c r="G301" s="49">
        <v>4</v>
      </c>
      <c r="H301" s="10">
        <f>Table_246[[#This Row],[QT]]*Table_246[[#This Row],[Custo 
Un]]</f>
        <v>4</v>
      </c>
      <c r="I301" s="52">
        <v>10</v>
      </c>
      <c r="J301" s="263">
        <f t="shared" si="16"/>
        <v>10</v>
      </c>
      <c r="K301" s="10">
        <f t="shared" si="15"/>
        <v>10</v>
      </c>
      <c r="L301" s="50">
        <f>Table_246[[#This Row],[Valor da 
venda]]-Table_246[[#This Row],[Valor gasto]]</f>
        <v>6</v>
      </c>
      <c r="M301" s="111">
        <f t="shared" si="17"/>
        <v>0.6</v>
      </c>
      <c r="N301" s="52" t="s">
        <v>20</v>
      </c>
      <c r="O301" s="114" t="str">
        <f>IF([1]!Table_246[[#This Row],[Coluna2]]&gt;0.5, "🔥 Excelente", IF([1]!Table_246[[#This Row],[Coluna2]]&gt;0.4, "👍 Bom", "⚠️ Baixo"))</f>
        <v>⚠️ Baixo</v>
      </c>
    </row>
    <row r="302" spans="1:15" ht="15" customHeight="1">
      <c r="A302" s="28">
        <f>IF(Table_246[[#This Row],[Data]]="","",MONTH(Table_246[[#This Row],[Data]]))</f>
        <v>4</v>
      </c>
      <c r="B302" s="32">
        <v>46134</v>
      </c>
      <c r="C302" s="36" t="s">
        <v>2219</v>
      </c>
      <c r="D302" s="43">
        <v>1</v>
      </c>
      <c r="E302" s="48" t="s">
        <v>2085</v>
      </c>
      <c r="F302" s="48" t="s">
        <v>555</v>
      </c>
      <c r="G302" s="49">
        <f>30*5</f>
        <v>150</v>
      </c>
      <c r="H302" s="10">
        <f>Table_246[[#This Row],[QT]]*Table_246[[#This Row],[Custo 
Un]]</f>
        <v>150</v>
      </c>
      <c r="I302" s="52">
        <v>235</v>
      </c>
      <c r="J302" s="263">
        <f t="shared" si="16"/>
        <v>235</v>
      </c>
      <c r="K302" s="10">
        <f t="shared" si="15"/>
        <v>235</v>
      </c>
      <c r="L302" s="50">
        <f>Table_246[[#This Row],[Valor da 
venda]]-Table_246[[#This Row],[Valor gasto]]</f>
        <v>85</v>
      </c>
      <c r="M302" s="111">
        <f t="shared" si="17"/>
        <v>0.36170212765957449</v>
      </c>
      <c r="N302" s="52" t="s">
        <v>20</v>
      </c>
      <c r="O302" s="114" t="str">
        <f>IF([1]!Table_246[[#This Row],[Coluna2]]&gt;0.5, "🔥 Excelente", IF([1]!Table_246[[#This Row],[Coluna2]]&gt;0.4, "👍 Bom", "⚠️ Baixo"))</f>
        <v>⚠️ Baixo</v>
      </c>
    </row>
    <row r="303" spans="1:15" ht="15" customHeight="1">
      <c r="A303" s="28">
        <f>IF(Table_246[[#This Row],[Data]]="","",MONTH(Table_246[[#This Row],[Data]]))</f>
        <v>5</v>
      </c>
      <c r="B303" s="32">
        <v>46143</v>
      </c>
      <c r="C303" s="36" t="s">
        <v>2220</v>
      </c>
      <c r="D303" s="43">
        <v>1</v>
      </c>
      <c r="E303" s="48" t="s">
        <v>2197</v>
      </c>
      <c r="F303" s="48" t="s">
        <v>555</v>
      </c>
      <c r="G303" s="49">
        <v>20</v>
      </c>
      <c r="H303" s="10">
        <f>Table_246[[#This Row],[QT]]*Table_246[[#This Row],[Custo 
Un]]</f>
        <v>20</v>
      </c>
      <c r="I303" s="52">
        <v>35</v>
      </c>
      <c r="J303" s="263">
        <f t="shared" si="16"/>
        <v>35</v>
      </c>
      <c r="K303" s="10">
        <f t="shared" si="15"/>
        <v>35</v>
      </c>
      <c r="L303" s="50">
        <f>Table_246[[#This Row],[Valor da 
venda]]-Table_246[[#This Row],[Valor gasto]]</f>
        <v>15</v>
      </c>
      <c r="M303" s="111">
        <f t="shared" si="17"/>
        <v>0.42857142857142855</v>
      </c>
      <c r="N303" s="52" t="s">
        <v>20</v>
      </c>
      <c r="O303" s="114" t="str">
        <f>IF([1]!Table_246[[#This Row],[Coluna2]]&gt;0.5, "🔥 Excelente", IF([1]!Table_246[[#This Row],[Coluna2]]&gt;0.4, "👍 Bom", "⚠️ Baixo"))</f>
        <v>⚠️ Baixo</v>
      </c>
    </row>
    <row r="304" spans="1:15" ht="15" customHeight="1">
      <c r="A304" s="28">
        <f>IF(Table_246[[#This Row],[Data]]="","",MONTH(Table_246[[#This Row],[Data]]))</f>
        <v>5</v>
      </c>
      <c r="B304" s="32">
        <v>46144</v>
      </c>
      <c r="C304" s="36" t="s">
        <v>2221</v>
      </c>
      <c r="D304" s="43">
        <v>3</v>
      </c>
      <c r="E304" s="48" t="s">
        <v>1008</v>
      </c>
      <c r="F304" s="48" t="s">
        <v>555</v>
      </c>
      <c r="G304" s="49">
        <f>IFERROR(VLOOKUP(C304,PROD!$A$2:$E$1204,5,0),"0")</f>
        <v>7.5</v>
      </c>
      <c r="H304" s="10">
        <f>Table_246[[#This Row],[QT]]*Table_246[[#This Row],[Custo 
Un]]</f>
        <v>22.5</v>
      </c>
      <c r="I304" s="52">
        <v>10</v>
      </c>
      <c r="J304" s="263">
        <f t="shared" si="16"/>
        <v>30</v>
      </c>
      <c r="K304" s="10">
        <f t="shared" si="15"/>
        <v>30</v>
      </c>
      <c r="L304" s="50">
        <f>Table_246[[#This Row],[Valor da 
venda]]-Table_246[[#This Row],[Valor gasto]]</f>
        <v>7.5</v>
      </c>
      <c r="M304" s="111">
        <f t="shared" si="17"/>
        <v>0.25</v>
      </c>
      <c r="N304" s="52" t="s">
        <v>20</v>
      </c>
      <c r="O304" s="114" t="str">
        <f>IF([1]!Table_246[[#This Row],[Coluna2]]&gt;0.5, "🔥 Excelente", IF([1]!Table_246[[#This Row],[Coluna2]]&gt;0.4, "👍 Bom", "⚠️ Baixo"))</f>
        <v>⚠️ Baixo</v>
      </c>
    </row>
    <row r="305" spans="1:15" ht="15" customHeight="1">
      <c r="A305" s="28">
        <f>IF(Table_246[[#This Row],[Data]]="","",MONTH(Table_246[[#This Row],[Data]]))</f>
        <v>5</v>
      </c>
      <c r="B305" s="32">
        <v>46145</v>
      </c>
      <c r="C305" s="36" t="s">
        <v>146</v>
      </c>
      <c r="D305" s="43">
        <v>1</v>
      </c>
      <c r="E305" s="48" t="s">
        <v>1008</v>
      </c>
      <c r="F305" s="48" t="s">
        <v>555</v>
      </c>
      <c r="G305" s="49">
        <f>IFERROR(VLOOKUP(C305,PROD!$A$2:$E$1204,5,0),"0")</f>
        <v>7.0000000000000007E-2</v>
      </c>
      <c r="H305" s="10">
        <f>Table_246[[#This Row],[QT]]*Table_246[[#This Row],[Custo 
Un]]</f>
        <v>7.0000000000000007E-2</v>
      </c>
      <c r="I305" s="52">
        <v>1</v>
      </c>
      <c r="J305" s="263">
        <f t="shared" si="16"/>
        <v>1</v>
      </c>
      <c r="K305" s="10">
        <f t="shared" si="15"/>
        <v>1</v>
      </c>
      <c r="L305" s="50">
        <f>Table_246[[#This Row],[Valor da 
venda]]-Table_246[[#This Row],[Valor gasto]]</f>
        <v>0.92999999999999994</v>
      </c>
      <c r="M305" s="111">
        <f t="shared" si="17"/>
        <v>0.92999999999999994</v>
      </c>
      <c r="N305" s="52" t="s">
        <v>20</v>
      </c>
      <c r="O305" s="114" t="str">
        <f>IF([1]!Table_246[[#This Row],[Coluna2]]&gt;0.5, "🔥 Excelente", IF([1]!Table_246[[#This Row],[Coluna2]]&gt;0.4, "👍 Bom", "⚠️ Baixo"))</f>
        <v>⚠️ Baixo</v>
      </c>
    </row>
    <row r="306" spans="1:15" ht="15" customHeight="1">
      <c r="A306" s="28">
        <f>IF(Table_246[[#This Row],[Data]]="","",MONTH(Table_246[[#This Row],[Data]]))</f>
        <v>5</v>
      </c>
      <c r="B306" s="32">
        <v>46146</v>
      </c>
      <c r="C306" s="109" t="s">
        <v>1047</v>
      </c>
      <c r="D306" s="43">
        <v>1</v>
      </c>
      <c r="E306" s="48" t="s">
        <v>2222</v>
      </c>
      <c r="F306" s="48" t="s">
        <v>22</v>
      </c>
      <c r="G306" s="49">
        <f>IFERROR(VLOOKUP(C306,PROD!$A$2:$E$1204,5,0),"0")</f>
        <v>0.7</v>
      </c>
      <c r="H306" s="10">
        <f>Table_246[[#This Row],[QT]]*Table_246[[#This Row],[Custo 
Un]]</f>
        <v>0.7</v>
      </c>
      <c r="I306" s="52">
        <v>9.1300000000000008</v>
      </c>
      <c r="J306" s="263">
        <f t="shared" si="16"/>
        <v>9.1300000000000008</v>
      </c>
      <c r="K306" s="10">
        <f t="shared" si="15"/>
        <v>9.1300000000000008</v>
      </c>
      <c r="L306" s="50">
        <f>Table_246[[#This Row],[Valor da 
venda]]-Table_246[[#This Row],[Valor gasto]]</f>
        <v>8.4300000000000015</v>
      </c>
      <c r="M306" s="111">
        <f t="shared" si="17"/>
        <v>0.92332968236582702</v>
      </c>
      <c r="N306" s="52" t="s">
        <v>20</v>
      </c>
      <c r="O306" s="114" t="str">
        <f>IF([1]!Table_246[[#This Row],[Coluna2]]&gt;0.5, "🔥 Excelente", IF([1]!Table_246[[#This Row],[Coluna2]]&gt;0.4, "👍 Bom", "⚠️ Baixo"))</f>
        <v>⚠️ Baixo</v>
      </c>
    </row>
    <row r="307" spans="1:15" ht="15" customHeight="1">
      <c r="A307" s="28">
        <f>IF(Table_246[[#This Row],[Data]]="","",MONTH(Table_246[[#This Row],[Data]]))</f>
        <v>5</v>
      </c>
      <c r="B307" s="32">
        <v>46147</v>
      </c>
      <c r="C307" s="36" t="s">
        <v>2053</v>
      </c>
      <c r="D307" s="43">
        <v>1</v>
      </c>
      <c r="E307" s="48" t="s">
        <v>2223</v>
      </c>
      <c r="F307" s="48" t="s">
        <v>22</v>
      </c>
      <c r="G307" s="49">
        <v>600</v>
      </c>
      <c r="H307" s="10">
        <f>Table_246[[#This Row],[QT]]*Table_246[[#This Row],[Custo 
Un]]</f>
        <v>600</v>
      </c>
      <c r="I307" s="52">
        <v>638.20000000000005</v>
      </c>
      <c r="J307" s="263">
        <f t="shared" si="16"/>
        <v>638.20000000000005</v>
      </c>
      <c r="K307" s="10">
        <f t="shared" si="15"/>
        <v>638.20000000000005</v>
      </c>
      <c r="L307" s="50">
        <f>Table_246[[#This Row],[Valor da 
venda]]-Table_246[[#This Row],[Valor gasto]]</f>
        <v>38.200000000000045</v>
      </c>
      <c r="M307" s="111">
        <f t="shared" si="17"/>
        <v>5.9855844562833035E-2</v>
      </c>
      <c r="N307" s="52" t="s">
        <v>20</v>
      </c>
      <c r="O307" s="114" t="str">
        <f>IF([1]!Table_246[[#This Row],[Coluna2]]&gt;0.5, "🔥 Excelente", IF([1]!Table_246[[#This Row],[Coluna2]]&gt;0.4, "👍 Bom", "⚠️ Baixo"))</f>
        <v>⚠️ Baixo</v>
      </c>
    </row>
    <row r="308" spans="1:15" ht="15" customHeight="1">
      <c r="A308" s="28">
        <f>IF(Table_246[[#This Row],[Data]]="","",MONTH(Table_246[[#This Row],[Data]]))</f>
        <v>5</v>
      </c>
      <c r="B308" s="32">
        <v>46147</v>
      </c>
      <c r="C308" s="36" t="s">
        <v>999</v>
      </c>
      <c r="D308" s="43">
        <v>1</v>
      </c>
      <c r="E308" s="48" t="s">
        <v>2224</v>
      </c>
      <c r="F308" s="48" t="s">
        <v>22</v>
      </c>
      <c r="G308" s="49">
        <v>15</v>
      </c>
      <c r="H308" s="10">
        <f>Table_246[[#This Row],[QT]]*Table_246[[#This Row],[Custo 
Un]]</f>
        <v>15</v>
      </c>
      <c r="I308" s="52">
        <v>18.489999999999998</v>
      </c>
      <c r="J308" s="263">
        <f t="shared" si="16"/>
        <v>18.489999999999998</v>
      </c>
      <c r="K308" s="10">
        <f t="shared" si="15"/>
        <v>18.489999999999998</v>
      </c>
      <c r="L308" s="50">
        <f>Table_246[[#This Row],[Valor da 
venda]]-Table_246[[#This Row],[Valor gasto]]</f>
        <v>3.4899999999999984</v>
      </c>
      <c r="M308" s="111">
        <f t="shared" si="17"/>
        <v>0.18875067604110324</v>
      </c>
      <c r="N308" s="52" t="s">
        <v>20</v>
      </c>
      <c r="O308" s="114" t="str">
        <f>IF([1]!Table_246[[#This Row],[Coluna2]]&gt;0.5, "🔥 Excelente", IF([1]!Table_246[[#This Row],[Coluna2]]&gt;0.4, "👍 Bom", "⚠️ Baixo"))</f>
        <v>⚠️ Baixo</v>
      </c>
    </row>
    <row r="309" spans="1:15" ht="15" customHeight="1">
      <c r="A309" s="28">
        <f>IF(Table_246[[#This Row],[Data]]="","",MONTH(Table_246[[#This Row],[Data]]))</f>
        <v>5</v>
      </c>
      <c r="B309" s="32">
        <v>46147</v>
      </c>
      <c r="C309" s="109" t="s">
        <v>1047</v>
      </c>
      <c r="D309" s="43">
        <v>1</v>
      </c>
      <c r="E309" s="48" t="s">
        <v>2225</v>
      </c>
      <c r="F309" s="48" t="s">
        <v>22</v>
      </c>
      <c r="G309" s="49">
        <f>IFERROR(VLOOKUP(C309,PROD!$A$2:$E$1204,5,0),"0")</f>
        <v>0.7</v>
      </c>
      <c r="H309" s="10">
        <f>Table_246[[#This Row],[QT]]*Table_246[[#This Row],[Custo 
Un]]</f>
        <v>0.7</v>
      </c>
      <c r="I309" s="52">
        <v>9.1300000000000008</v>
      </c>
      <c r="J309" s="263">
        <f t="shared" si="16"/>
        <v>9.1300000000000008</v>
      </c>
      <c r="K309" s="10">
        <f t="shared" si="15"/>
        <v>9.1300000000000008</v>
      </c>
      <c r="L309" s="50">
        <f>Table_246[[#This Row],[Valor da 
venda]]-Table_246[[#This Row],[Valor gasto]]</f>
        <v>8.4300000000000015</v>
      </c>
      <c r="M309" s="111">
        <f t="shared" si="17"/>
        <v>0.92332968236582702</v>
      </c>
      <c r="N309" s="52" t="s">
        <v>20</v>
      </c>
      <c r="O309" s="114" t="str">
        <f>IF([1]!Table_246[[#This Row],[Coluna2]]&gt;0.5, "🔥 Excelente", IF([1]!Table_246[[#This Row],[Coluna2]]&gt;0.4, "👍 Bom", "⚠️ Baixo"))</f>
        <v>⚠️ Baixo</v>
      </c>
    </row>
    <row r="310" spans="1:15" ht="15" customHeight="1">
      <c r="A310" s="28">
        <f>IF(Table_246[[#This Row],[Data]]="","",MONTH(Table_246[[#This Row],[Data]]))</f>
        <v>5</v>
      </c>
      <c r="B310" s="32">
        <v>46147</v>
      </c>
      <c r="C310" s="109" t="s">
        <v>1047</v>
      </c>
      <c r="D310" s="43">
        <v>1</v>
      </c>
      <c r="E310" s="48" t="s">
        <v>2226</v>
      </c>
      <c r="F310" s="48" t="s">
        <v>22</v>
      </c>
      <c r="G310" s="49">
        <f>IFERROR(VLOOKUP(C310,PROD!$A$2:$E$1204,5,0),"0")</f>
        <v>0.7</v>
      </c>
      <c r="H310" s="10">
        <f>Table_246[[#This Row],[QT]]*Table_246[[#This Row],[Custo 
Un]]</f>
        <v>0.7</v>
      </c>
      <c r="I310" s="52">
        <v>9.1300000000000008</v>
      </c>
      <c r="J310" s="263">
        <f t="shared" si="16"/>
        <v>9.1300000000000008</v>
      </c>
      <c r="K310" s="10">
        <f t="shared" ref="K310:K372" si="18">I310*D310</f>
        <v>9.1300000000000008</v>
      </c>
      <c r="L310" s="50">
        <f>Table_246[[#This Row],[Valor da 
venda]]-Table_246[[#This Row],[Valor gasto]]</f>
        <v>8.4300000000000015</v>
      </c>
      <c r="M310" s="111">
        <f t="shared" si="17"/>
        <v>0.92332968236582702</v>
      </c>
      <c r="N310" s="52" t="s">
        <v>20</v>
      </c>
      <c r="O310" s="114" t="str">
        <f>IF([1]!Table_246[[#This Row],[Coluna2]]&gt;0.5, "🔥 Excelente", IF([1]!Table_246[[#This Row],[Coluna2]]&gt;0.4, "👍 Bom", "⚠️ Baixo"))</f>
        <v>⚠️ Baixo</v>
      </c>
    </row>
    <row r="311" spans="1:15" ht="15" customHeight="1">
      <c r="A311" s="28">
        <f>IF(Table_246[[#This Row],[Data]]="","",MONTH(Table_246[[#This Row],[Data]]))</f>
        <v>5</v>
      </c>
      <c r="B311" s="32">
        <v>46147</v>
      </c>
      <c r="C311" s="109" t="s">
        <v>1047</v>
      </c>
      <c r="D311" s="43">
        <v>1</v>
      </c>
      <c r="E311" s="48" t="s">
        <v>2227</v>
      </c>
      <c r="F311" s="48" t="s">
        <v>22</v>
      </c>
      <c r="G311" s="49">
        <f>IFERROR(VLOOKUP(C311,PROD!$A$2:$E$1204,5,0),"0")</f>
        <v>0.7</v>
      </c>
      <c r="H311" s="10">
        <f>Table_246[[#This Row],[QT]]*Table_246[[#This Row],[Custo 
Un]]</f>
        <v>0.7</v>
      </c>
      <c r="I311" s="52">
        <v>9.1300000000000008</v>
      </c>
      <c r="J311" s="263">
        <f t="shared" si="16"/>
        <v>9.1300000000000008</v>
      </c>
      <c r="K311" s="10">
        <f t="shared" si="18"/>
        <v>9.1300000000000008</v>
      </c>
      <c r="L311" s="50">
        <f>Table_246[[#This Row],[Valor da 
venda]]-Table_246[[#This Row],[Valor gasto]]</f>
        <v>8.4300000000000015</v>
      </c>
      <c r="M311" s="111">
        <f t="shared" si="17"/>
        <v>0.92332968236582702</v>
      </c>
      <c r="N311" s="52" t="s">
        <v>20</v>
      </c>
      <c r="O311" s="114" t="str">
        <f>IF([1]!Table_246[[#This Row],[Coluna2]]&gt;0.5, "🔥 Excelente", IF([1]!Table_246[[#This Row],[Coluna2]]&gt;0.4, "👍 Bom", "⚠️ Baixo"))</f>
        <v>⚠️ Baixo</v>
      </c>
    </row>
    <row r="312" spans="1:15" ht="15" customHeight="1">
      <c r="A312" s="28">
        <f>IF(Table_246[[#This Row],[Data]]="","",MONTH(Table_246[[#This Row],[Data]]))</f>
        <v>5</v>
      </c>
      <c r="B312" s="32">
        <v>46147</v>
      </c>
      <c r="C312" s="109" t="s">
        <v>1047</v>
      </c>
      <c r="D312" s="43">
        <v>1</v>
      </c>
      <c r="E312" s="48" t="s">
        <v>2228</v>
      </c>
      <c r="F312" s="48" t="s">
        <v>22</v>
      </c>
      <c r="G312" s="49">
        <f>IFERROR(VLOOKUP(C312,PROD!$A$2:$E$1204,5,0),"0")</f>
        <v>0.7</v>
      </c>
      <c r="H312" s="10">
        <f>Table_246[[#This Row],[QT]]*Table_246[[#This Row],[Custo 
Un]]</f>
        <v>0.7</v>
      </c>
      <c r="I312" s="52">
        <v>9.1300000000000008</v>
      </c>
      <c r="J312" s="263">
        <f t="shared" si="16"/>
        <v>9.1300000000000008</v>
      </c>
      <c r="K312" s="10">
        <f t="shared" si="18"/>
        <v>9.1300000000000008</v>
      </c>
      <c r="L312" s="50">
        <f>Table_246[[#This Row],[Valor da 
venda]]-Table_246[[#This Row],[Valor gasto]]</f>
        <v>8.4300000000000015</v>
      </c>
      <c r="M312" s="111">
        <f t="shared" si="17"/>
        <v>0.92332968236582702</v>
      </c>
      <c r="N312" s="52" t="s">
        <v>20</v>
      </c>
      <c r="O312" s="114" t="str">
        <f>IF([1]!Table_246[[#This Row],[Coluna2]]&gt;0.5, "🔥 Excelente", IF([1]!Table_246[[#This Row],[Coluna2]]&gt;0.4, "👍 Bom", "⚠️ Baixo"))</f>
        <v>⚠️ Baixo</v>
      </c>
    </row>
    <row r="313" spans="1:15" ht="15" customHeight="1">
      <c r="A313" s="28">
        <f>IF(Table_246[[#This Row],[Data]]="","",MONTH(Table_246[[#This Row],[Data]]))</f>
        <v>5</v>
      </c>
      <c r="B313" s="32">
        <v>46147</v>
      </c>
      <c r="C313" s="36" t="s">
        <v>1092</v>
      </c>
      <c r="D313" s="43">
        <v>1</v>
      </c>
      <c r="E313" s="48" t="s">
        <v>2229</v>
      </c>
      <c r="F313" s="48" t="s">
        <v>22</v>
      </c>
      <c r="G313" s="49">
        <f>IFERROR(VLOOKUP(C313,PROD!$A$2:$E$1204,5,0),"0")</f>
        <v>7.5</v>
      </c>
      <c r="H313" s="10">
        <f>Table_246[[#This Row],[QT]]*Table_246[[#This Row],[Custo 
Un]]</f>
        <v>7.5</v>
      </c>
      <c r="I313" s="52">
        <v>13.8</v>
      </c>
      <c r="J313" s="263">
        <f t="shared" si="16"/>
        <v>13.8</v>
      </c>
      <c r="K313" s="10">
        <f t="shared" si="18"/>
        <v>13.8</v>
      </c>
      <c r="L313" s="50">
        <f>Table_246[[#This Row],[Valor da 
venda]]-Table_246[[#This Row],[Valor gasto]]</f>
        <v>6.3000000000000007</v>
      </c>
      <c r="M313" s="111">
        <f t="shared" si="17"/>
        <v>0.45652173913043481</v>
      </c>
      <c r="N313" s="52" t="s">
        <v>20</v>
      </c>
      <c r="O313" s="114" t="str">
        <f>IF([1]!Table_246[[#This Row],[Coluna2]]&gt;0.5, "🔥 Excelente", IF([1]!Table_246[[#This Row],[Coluna2]]&gt;0.4, "👍 Bom", "⚠️ Baixo"))</f>
        <v>⚠️ Baixo</v>
      </c>
    </row>
    <row r="314" spans="1:15" ht="15" customHeight="1">
      <c r="A314" s="28">
        <f>IF(Table_246[[#This Row],[Data]]="","",MONTH(Table_246[[#This Row],[Data]]))</f>
        <v>5</v>
      </c>
      <c r="B314" s="32">
        <v>46147</v>
      </c>
      <c r="C314" s="36" t="s">
        <v>1092</v>
      </c>
      <c r="D314" s="43">
        <v>1</v>
      </c>
      <c r="E314" s="48" t="s">
        <v>2230</v>
      </c>
      <c r="F314" s="48" t="s">
        <v>22</v>
      </c>
      <c r="G314" s="49">
        <f>IFERROR(VLOOKUP(C314,PROD!$A$2:$E$1204,5,0),"0")</f>
        <v>7.5</v>
      </c>
      <c r="H314" s="10">
        <f>Table_246[[#This Row],[QT]]*Table_246[[#This Row],[Custo 
Un]]</f>
        <v>7.5</v>
      </c>
      <c r="I314" s="52">
        <v>13.8</v>
      </c>
      <c r="J314" s="263">
        <f t="shared" si="16"/>
        <v>13.8</v>
      </c>
      <c r="K314" s="10">
        <f t="shared" si="18"/>
        <v>13.8</v>
      </c>
      <c r="L314" s="50">
        <f>Table_246[[#This Row],[Valor da 
venda]]-Table_246[[#This Row],[Valor gasto]]</f>
        <v>6.3000000000000007</v>
      </c>
      <c r="M314" s="111">
        <f t="shared" si="17"/>
        <v>0.45652173913043481</v>
      </c>
      <c r="N314" s="52" t="s">
        <v>20</v>
      </c>
      <c r="O314" s="114" t="str">
        <f>IF([1]!Table_246[[#This Row],[Coluna2]]&gt;0.5, "🔥 Excelente", IF([1]!Table_246[[#This Row],[Coluna2]]&gt;0.4, "👍 Bom", "⚠️ Baixo"))</f>
        <v>⚠️ Baixo</v>
      </c>
    </row>
    <row r="315" spans="1:15" ht="15" customHeight="1">
      <c r="A315" s="28">
        <f>IF(Table_246[[#This Row],[Data]]="","",MONTH(Table_246[[#This Row],[Data]]))</f>
        <v>5</v>
      </c>
      <c r="B315" s="32">
        <v>46147</v>
      </c>
      <c r="C315" s="109" t="s">
        <v>1047</v>
      </c>
      <c r="D315" s="43">
        <v>1</v>
      </c>
      <c r="E315" s="48" t="s">
        <v>2231</v>
      </c>
      <c r="F315" s="48" t="s">
        <v>22</v>
      </c>
      <c r="G315" s="49">
        <f>IFERROR(VLOOKUP(C315,PROD!$A$2:$E$1204,5,0),"0")</f>
        <v>0.7</v>
      </c>
      <c r="H315" s="10">
        <f>Table_246[[#This Row],[QT]]*Table_246[[#This Row],[Custo 
Un]]</f>
        <v>0.7</v>
      </c>
      <c r="I315" s="52">
        <v>9.1300000000000008</v>
      </c>
      <c r="J315" s="263">
        <f t="shared" si="16"/>
        <v>9.1300000000000008</v>
      </c>
      <c r="K315" s="10">
        <f t="shared" si="18"/>
        <v>9.1300000000000008</v>
      </c>
      <c r="L315" s="50">
        <f>Table_246[[#This Row],[Valor da 
venda]]-Table_246[[#This Row],[Valor gasto]]</f>
        <v>8.4300000000000015</v>
      </c>
      <c r="M315" s="111">
        <f t="shared" si="17"/>
        <v>0.92332968236582702</v>
      </c>
      <c r="N315" s="52" t="s">
        <v>20</v>
      </c>
      <c r="O315" s="114" t="str">
        <f>IF([1]!Table_246[[#This Row],[Coluna2]]&gt;0.5, "🔥 Excelente", IF([1]!Table_246[[#This Row],[Coluna2]]&gt;0.4, "👍 Bom", "⚠️ Baixo"))</f>
        <v>⚠️ Baixo</v>
      </c>
    </row>
    <row r="316" spans="1:15" ht="15" customHeight="1">
      <c r="A316" s="28">
        <f>IF(Table_246[[#This Row],[Data]]="","",MONTH(Table_246[[#This Row],[Data]]))</f>
        <v>5</v>
      </c>
      <c r="B316" s="32">
        <v>46147</v>
      </c>
      <c r="C316" s="109" t="s">
        <v>1047</v>
      </c>
      <c r="D316" s="43">
        <v>1</v>
      </c>
      <c r="E316" s="48" t="s">
        <v>2232</v>
      </c>
      <c r="F316" s="48" t="s">
        <v>22</v>
      </c>
      <c r="G316" s="49">
        <f>IFERROR(VLOOKUP(C316,PROD!$A$2:$E$1204,5,0),"0")</f>
        <v>0.7</v>
      </c>
      <c r="H316" s="10">
        <f>Table_246[[#This Row],[QT]]*Table_246[[#This Row],[Custo 
Un]]</f>
        <v>0.7</v>
      </c>
      <c r="I316" s="52">
        <v>9.1300000000000008</v>
      </c>
      <c r="J316" s="263">
        <f t="shared" si="16"/>
        <v>9.1300000000000008</v>
      </c>
      <c r="K316" s="10">
        <f t="shared" si="18"/>
        <v>9.1300000000000008</v>
      </c>
      <c r="L316" s="50">
        <f>Table_246[[#This Row],[Valor da 
venda]]-Table_246[[#This Row],[Valor gasto]]</f>
        <v>8.4300000000000015</v>
      </c>
      <c r="M316" s="111">
        <f t="shared" si="17"/>
        <v>0.92332968236582702</v>
      </c>
      <c r="N316" s="52" t="s">
        <v>20</v>
      </c>
      <c r="O316" s="114" t="str">
        <f>IF([1]!Table_246[[#This Row],[Coluna2]]&gt;0.5, "🔥 Excelente", IF([1]!Table_246[[#This Row],[Coluna2]]&gt;0.4, "👍 Bom", "⚠️ Baixo"))</f>
        <v>⚠️ Baixo</v>
      </c>
    </row>
    <row r="317" spans="1:15" ht="15" customHeight="1">
      <c r="A317" s="28">
        <f>IF(Table_246[[#This Row],[Data]]="","",MONTH(Table_246[[#This Row],[Data]]))</f>
        <v>5</v>
      </c>
      <c r="B317" s="32">
        <v>46147</v>
      </c>
      <c r="C317" s="109" t="s">
        <v>1047</v>
      </c>
      <c r="D317" s="43">
        <v>1</v>
      </c>
      <c r="E317" s="48" t="s">
        <v>2233</v>
      </c>
      <c r="F317" s="48" t="s">
        <v>22</v>
      </c>
      <c r="G317" s="49">
        <f>IFERROR(VLOOKUP(C317,PROD!$A$2:$E$1204,5,0),"0")</f>
        <v>0.7</v>
      </c>
      <c r="H317" s="10">
        <f>Table_246[[#This Row],[QT]]*Table_246[[#This Row],[Custo 
Un]]</f>
        <v>0.7</v>
      </c>
      <c r="I317" s="52">
        <v>9.1300000000000008</v>
      </c>
      <c r="J317" s="263">
        <f t="shared" si="16"/>
        <v>9.1300000000000008</v>
      </c>
      <c r="K317" s="10">
        <f t="shared" si="18"/>
        <v>9.1300000000000008</v>
      </c>
      <c r="L317" s="50">
        <f>Table_246[[#This Row],[Valor da 
venda]]-Table_246[[#This Row],[Valor gasto]]</f>
        <v>8.4300000000000015</v>
      </c>
      <c r="M317" s="111">
        <f t="shared" si="17"/>
        <v>0.92332968236582702</v>
      </c>
      <c r="N317" s="52" t="s">
        <v>20</v>
      </c>
      <c r="O317" s="114" t="str">
        <f>IF([1]!Table_246[[#This Row],[Coluna2]]&gt;0.5, "🔥 Excelente", IF([1]!Table_246[[#This Row],[Coluna2]]&gt;0.4, "👍 Bom", "⚠️ Baixo"))</f>
        <v>⚠️ Baixo</v>
      </c>
    </row>
    <row r="318" spans="1:15" ht="15" customHeight="1">
      <c r="A318" s="28">
        <f>IF(Table_246[[#This Row],[Data]]="","",MONTH(Table_246[[#This Row],[Data]]))</f>
        <v>5</v>
      </c>
      <c r="B318" s="32">
        <v>46147</v>
      </c>
      <c r="C318" s="36" t="s">
        <v>2234</v>
      </c>
      <c r="D318" s="43">
        <v>1</v>
      </c>
      <c r="E318" s="48" t="s">
        <v>1008</v>
      </c>
      <c r="F318" s="48" t="s">
        <v>555</v>
      </c>
      <c r="G318" s="49">
        <v>10</v>
      </c>
      <c r="H318" s="10">
        <f>Table_246[[#This Row],[QT]]*Table_246[[#This Row],[Custo 
Un]]</f>
        <v>10</v>
      </c>
      <c r="I318" s="52">
        <v>30</v>
      </c>
      <c r="J318" s="263">
        <f t="shared" si="16"/>
        <v>30</v>
      </c>
      <c r="K318" s="10">
        <f t="shared" si="18"/>
        <v>30</v>
      </c>
      <c r="L318" s="50">
        <f>Table_246[[#This Row],[Valor da 
venda]]-Table_246[[#This Row],[Valor gasto]]</f>
        <v>20</v>
      </c>
      <c r="M318" s="111">
        <f t="shared" si="17"/>
        <v>0.66666666666666663</v>
      </c>
      <c r="N318" s="52" t="s">
        <v>20</v>
      </c>
      <c r="O318" s="114" t="str">
        <f>IF([1]!Table_246[[#This Row],[Coluna2]]&gt;0.5, "🔥 Excelente", IF([1]!Table_246[[#This Row],[Coluna2]]&gt;0.4, "👍 Bom", "⚠️ Baixo"))</f>
        <v>⚠️ Baixo</v>
      </c>
    </row>
    <row r="319" spans="1:15" ht="15" customHeight="1">
      <c r="A319" s="28">
        <f>IF(Table_246[[#This Row],[Data]]="","",MONTH(Table_246[[#This Row],[Data]]))</f>
        <v>5</v>
      </c>
      <c r="B319" s="32">
        <v>46147</v>
      </c>
      <c r="C319" s="109" t="s">
        <v>1201</v>
      </c>
      <c r="D319" s="43">
        <v>1</v>
      </c>
      <c r="E319" s="48" t="s">
        <v>2235</v>
      </c>
      <c r="F319" s="48" t="s">
        <v>1016</v>
      </c>
      <c r="G319" s="49">
        <f>IFERROR(VLOOKUP(C319,PROD!$A$2:$E$1204,5,0),"0")</f>
        <v>0.7</v>
      </c>
      <c r="H319" s="10">
        <f>Table_246[[#This Row],[QT]]*Table_246[[#This Row],[Custo 
Un]]</f>
        <v>0.7</v>
      </c>
      <c r="I319" s="52">
        <v>9.1999999999999993</v>
      </c>
      <c r="J319" s="263">
        <f t="shared" si="16"/>
        <v>9.1999999999999993</v>
      </c>
      <c r="K319" s="10">
        <f t="shared" si="18"/>
        <v>9.1999999999999993</v>
      </c>
      <c r="L319" s="50">
        <f>Table_246[[#This Row],[Valor da 
venda]]-Table_246[[#This Row],[Valor gasto]]</f>
        <v>8.5</v>
      </c>
      <c r="M319" s="111">
        <f t="shared" si="17"/>
        <v>0.92391304347826098</v>
      </c>
      <c r="N319" s="52" t="s">
        <v>993</v>
      </c>
      <c r="O319" s="114" t="str">
        <f>IF([1]!Table_246[[#This Row],[Coluna2]]&gt;0.5, "🔥 Excelente", IF([1]!Table_246[[#This Row],[Coluna2]]&gt;0.4, "👍 Bom", "⚠️ Baixo"))</f>
        <v>⚠️ Baixo</v>
      </c>
    </row>
    <row r="320" spans="1:15" ht="15" customHeight="1">
      <c r="A320" s="28">
        <f>IF(Table_246[[#This Row],[Data]]="","",MONTH(Table_246[[#This Row],[Data]]))</f>
        <v>5</v>
      </c>
      <c r="B320" s="32">
        <v>46147</v>
      </c>
      <c r="C320" s="36" t="s">
        <v>2054</v>
      </c>
      <c r="D320" s="43">
        <v>1</v>
      </c>
      <c r="E320" s="48" t="s">
        <v>2236</v>
      </c>
      <c r="F320" s="48" t="s">
        <v>1016</v>
      </c>
      <c r="G320" s="49">
        <v>4</v>
      </c>
      <c r="H320" s="10">
        <f>Table_246[[#This Row],[QT]]*Table_246[[#This Row],[Custo 
Un]]</f>
        <v>4</v>
      </c>
      <c r="I320" s="52">
        <v>7.23</v>
      </c>
      <c r="J320" s="263">
        <f t="shared" si="16"/>
        <v>7.23</v>
      </c>
      <c r="K320" s="10">
        <f t="shared" si="18"/>
        <v>7.23</v>
      </c>
      <c r="L320" s="50">
        <f>Table_246[[#This Row],[Valor da 
venda]]-Table_246[[#This Row],[Valor gasto]]</f>
        <v>3.2300000000000004</v>
      </c>
      <c r="M320" s="111">
        <f t="shared" si="17"/>
        <v>0.44674965421853391</v>
      </c>
      <c r="N320" s="52" t="s">
        <v>993</v>
      </c>
      <c r="O320" s="114" t="str">
        <f>IF([1]!Table_246[[#This Row],[Coluna2]]&gt;0.5, "🔥 Excelente", IF([1]!Table_246[[#This Row],[Coluna2]]&gt;0.4, "👍 Bom", "⚠️ Baixo"))</f>
        <v>⚠️ Baixo</v>
      </c>
    </row>
    <row r="321" spans="1:15" ht="15" customHeight="1">
      <c r="A321" s="28">
        <f>IF(Table_246[[#This Row],[Data]]="","",MONTH(Table_246[[#This Row],[Data]]))</f>
        <v>5</v>
      </c>
      <c r="B321" s="32">
        <v>46147</v>
      </c>
      <c r="C321" s="109" t="s">
        <v>1201</v>
      </c>
      <c r="D321" s="43">
        <v>1</v>
      </c>
      <c r="E321" s="48" t="s">
        <v>2237</v>
      </c>
      <c r="F321" s="48" t="s">
        <v>1016</v>
      </c>
      <c r="G321" s="49">
        <f>IFERROR(VLOOKUP(C321,PROD!$A$2:$E$1204,5,0),"0")</f>
        <v>0.7</v>
      </c>
      <c r="H321" s="10">
        <f>Table_246[[#This Row],[QT]]*Table_246[[#This Row],[Custo 
Un]]</f>
        <v>0.7</v>
      </c>
      <c r="I321" s="52">
        <v>9.1999999999999993</v>
      </c>
      <c r="J321" s="263">
        <f t="shared" si="16"/>
        <v>9.1999999999999993</v>
      </c>
      <c r="K321" s="10">
        <f t="shared" si="18"/>
        <v>9.1999999999999993</v>
      </c>
      <c r="L321" s="50">
        <f>Table_246[[#This Row],[Valor da 
venda]]-Table_246[[#This Row],[Valor gasto]]</f>
        <v>8.5</v>
      </c>
      <c r="M321" s="111">
        <f t="shared" si="17"/>
        <v>0.92391304347826098</v>
      </c>
      <c r="N321" s="52" t="s">
        <v>993</v>
      </c>
      <c r="O321" s="114" t="str">
        <f>IF([1]!Table_246[[#This Row],[Coluna2]]&gt;0.5, "🔥 Excelente", IF([1]!Table_246[[#This Row],[Coluna2]]&gt;0.4, "👍 Bom", "⚠️ Baixo"))</f>
        <v>⚠️ Baixo</v>
      </c>
    </row>
    <row r="322" spans="1:15" ht="15" customHeight="1">
      <c r="A322" s="28">
        <f>IF(Table_246[[#This Row],[Data]]="","",MONTH(Table_246[[#This Row],[Data]]))</f>
        <v>5</v>
      </c>
      <c r="B322" s="32">
        <v>46147</v>
      </c>
      <c r="C322" s="109" t="s">
        <v>1201</v>
      </c>
      <c r="D322" s="43">
        <v>1</v>
      </c>
      <c r="E322" s="48" t="s">
        <v>2238</v>
      </c>
      <c r="F322" s="48" t="s">
        <v>1016</v>
      </c>
      <c r="G322" s="267">
        <f>IFERROR(VLOOKUP(C322,PROD!$A$2:$E$1204,5,0),"0")</f>
        <v>0.7</v>
      </c>
      <c r="H322" s="10">
        <f>Table_246[[#This Row],[QT]]*Table_246[[#This Row],[Custo 
Un]]</f>
        <v>0.7</v>
      </c>
      <c r="I322" s="52">
        <v>9.1999999999999993</v>
      </c>
      <c r="J322" s="263">
        <f t="shared" ref="J322:J385" si="19">I322*D322</f>
        <v>9.1999999999999993</v>
      </c>
      <c r="K322" s="10">
        <f t="shared" si="18"/>
        <v>9.1999999999999993</v>
      </c>
      <c r="L322" s="50">
        <f>Table_246[[#This Row],[Valor da 
venda]]-Table_246[[#This Row],[Valor gasto]]</f>
        <v>8.5</v>
      </c>
      <c r="M322" s="111">
        <f t="shared" ref="M322:M385" si="20">IFERROR(L322/K322, 0)</f>
        <v>0.92391304347826098</v>
      </c>
      <c r="N322" s="52" t="s">
        <v>993</v>
      </c>
      <c r="O322" s="114" t="str">
        <f>IF([1]!Table_246[[#This Row],[Coluna2]]&gt;0.5, "🔥 Excelente", IF([1]!Table_246[[#This Row],[Coluna2]]&gt;0.4, "👍 Bom", "⚠️ Baixo"))</f>
        <v>⚠️ Baixo</v>
      </c>
    </row>
    <row r="323" spans="1:15" ht="15" customHeight="1">
      <c r="A323" s="28">
        <f>IF(Table_246[[#This Row],[Data]]="","",MONTH(Table_246[[#This Row],[Data]]))</f>
        <v>5</v>
      </c>
      <c r="B323" s="32">
        <v>46147</v>
      </c>
      <c r="C323" s="109" t="s">
        <v>1201</v>
      </c>
      <c r="D323" s="43">
        <v>1</v>
      </c>
      <c r="E323" s="48" t="s">
        <v>2239</v>
      </c>
      <c r="F323" s="48" t="s">
        <v>1016</v>
      </c>
      <c r="G323" s="49">
        <f>IFERROR(VLOOKUP(C323,PROD!$A$2:$E$1204,5,0),"0")</f>
        <v>0.7</v>
      </c>
      <c r="H323" s="10">
        <f>Table_246[[#This Row],[QT]]*Table_246[[#This Row],[Custo 
Un]]</f>
        <v>0.7</v>
      </c>
      <c r="I323" s="52">
        <v>25.04</v>
      </c>
      <c r="J323" s="263">
        <f t="shared" si="19"/>
        <v>25.04</v>
      </c>
      <c r="K323" s="10">
        <f t="shared" si="18"/>
        <v>25.04</v>
      </c>
      <c r="L323" s="50">
        <f>Table_246[[#This Row],[Valor da 
venda]]-Table_246[[#This Row],[Valor gasto]]</f>
        <v>24.34</v>
      </c>
      <c r="M323" s="111">
        <f t="shared" si="20"/>
        <v>0.97204472843450485</v>
      </c>
      <c r="N323" s="52" t="s">
        <v>993</v>
      </c>
      <c r="O323" s="114" t="str">
        <f>IF([1]!Table_246[[#This Row],[Coluna2]]&gt;0.5, "🔥 Excelente", IF([1]!Table_246[[#This Row],[Coluna2]]&gt;0.4, "👍 Bom", "⚠️ Baixo"))</f>
        <v>⚠️ Baixo</v>
      </c>
    </row>
    <row r="324" spans="1:15" ht="15" customHeight="1">
      <c r="A324" s="28">
        <f>IF(Table_246[[#This Row],[Data]]="","",MONTH(Table_246[[#This Row],[Data]]))</f>
        <v>5</v>
      </c>
      <c r="B324" s="32">
        <v>46148</v>
      </c>
      <c r="C324" s="109" t="s">
        <v>1201</v>
      </c>
      <c r="D324" s="43">
        <v>1</v>
      </c>
      <c r="E324" s="48" t="s">
        <v>2240</v>
      </c>
      <c r="F324" s="48" t="s">
        <v>1016</v>
      </c>
      <c r="G324" s="49">
        <f>IFERROR(VLOOKUP(C324,PROD!$A$2:$E$1204,5,0),"0")</f>
        <v>0.7</v>
      </c>
      <c r="H324" s="10">
        <f>Table_246[[#This Row],[QT]]*Table_246[[#This Row],[Custo 
Un]]</f>
        <v>0.7</v>
      </c>
      <c r="I324" s="52">
        <v>9.1999999999999993</v>
      </c>
      <c r="J324" s="263">
        <f t="shared" si="19"/>
        <v>9.1999999999999993</v>
      </c>
      <c r="K324" s="10">
        <f t="shared" si="18"/>
        <v>9.1999999999999993</v>
      </c>
      <c r="L324" s="50">
        <f>Table_246[[#This Row],[Valor da 
venda]]-Table_246[[#This Row],[Valor gasto]]</f>
        <v>8.5</v>
      </c>
      <c r="M324" s="111">
        <f t="shared" si="20"/>
        <v>0.92391304347826098</v>
      </c>
      <c r="N324" s="52" t="s">
        <v>993</v>
      </c>
      <c r="O324" s="114" t="str">
        <f>IF([1]!Table_246[[#This Row],[Coluna2]]&gt;0.5, "🔥 Excelente", IF([1]!Table_246[[#This Row],[Coluna2]]&gt;0.4, "👍 Bom", "⚠️ Baixo"))</f>
        <v>⚠️ Baixo</v>
      </c>
    </row>
    <row r="325" spans="1:15" ht="15" customHeight="1">
      <c r="A325" s="28">
        <f>IF(Table_246[[#This Row],[Data]]="","",MONTH(Table_246[[#This Row],[Data]]))</f>
        <v>5</v>
      </c>
      <c r="B325" s="32">
        <v>46148</v>
      </c>
      <c r="C325" s="109" t="s">
        <v>1201</v>
      </c>
      <c r="D325" s="43">
        <v>1</v>
      </c>
      <c r="E325" s="48" t="s">
        <v>2241</v>
      </c>
      <c r="F325" s="48" t="s">
        <v>1016</v>
      </c>
      <c r="G325" s="49">
        <f>IFERROR(VLOOKUP(C325,PROD!$A$2:$E$1204,5,0),"0")</f>
        <v>0.7</v>
      </c>
      <c r="H325" s="10">
        <f>Table_246[[#This Row],[QT]]*Table_246[[#This Row],[Custo 
Un]]</f>
        <v>0.7</v>
      </c>
      <c r="I325" s="52">
        <v>34.24</v>
      </c>
      <c r="J325" s="263">
        <f t="shared" si="19"/>
        <v>34.24</v>
      </c>
      <c r="K325" s="10">
        <f t="shared" si="18"/>
        <v>34.24</v>
      </c>
      <c r="L325" s="50">
        <f>Table_246[[#This Row],[Valor da 
venda]]-Table_246[[#This Row],[Valor gasto]]</f>
        <v>33.54</v>
      </c>
      <c r="M325" s="111">
        <f t="shared" si="20"/>
        <v>0.97955607476635509</v>
      </c>
      <c r="N325" s="52" t="s">
        <v>993</v>
      </c>
      <c r="O325" s="114" t="str">
        <f>IF([1]!Table_246[[#This Row],[Coluna2]]&gt;0.5, "🔥 Excelente", IF([1]!Table_246[[#This Row],[Coluna2]]&gt;0.4, "👍 Bom", "⚠️ Baixo"))</f>
        <v>⚠️ Baixo</v>
      </c>
    </row>
    <row r="326" spans="1:15" ht="15" customHeight="1">
      <c r="A326" s="28">
        <f>IF(Table_246[[#This Row],[Data]]="","",MONTH(Table_246[[#This Row],[Data]]))</f>
        <v>5</v>
      </c>
      <c r="B326" s="32">
        <v>46148</v>
      </c>
      <c r="C326" s="109" t="s">
        <v>1201</v>
      </c>
      <c r="D326" s="43">
        <v>1</v>
      </c>
      <c r="E326" s="48" t="s">
        <v>2242</v>
      </c>
      <c r="F326" s="48" t="s">
        <v>1016</v>
      </c>
      <c r="G326" s="49">
        <f>IFERROR(VLOOKUP(C326,PROD!$A$2:$E$1204,5,0),"0")</f>
        <v>0.7</v>
      </c>
      <c r="H326" s="10">
        <f>Table_246[[#This Row],[QT]]*Table_246[[#This Row],[Custo 
Un]]</f>
        <v>0.7</v>
      </c>
      <c r="I326" s="52">
        <v>9.1999999999999993</v>
      </c>
      <c r="J326" s="263">
        <f t="shared" si="19"/>
        <v>9.1999999999999993</v>
      </c>
      <c r="K326" s="10">
        <f t="shared" si="18"/>
        <v>9.1999999999999993</v>
      </c>
      <c r="L326" s="50">
        <f>Table_246[[#This Row],[Valor da 
venda]]-Table_246[[#This Row],[Valor gasto]]</f>
        <v>8.5</v>
      </c>
      <c r="M326" s="111">
        <f t="shared" si="20"/>
        <v>0.92391304347826098</v>
      </c>
      <c r="N326" s="52" t="s">
        <v>993</v>
      </c>
      <c r="O326" s="114" t="str">
        <f>IF([1]!Table_246[[#This Row],[Coluna2]]&gt;0.5, "🔥 Excelente", IF([1]!Table_246[[#This Row],[Coluna2]]&gt;0.4, "👍 Bom", "⚠️ Baixo"))</f>
        <v>⚠️ Baixo</v>
      </c>
    </row>
    <row r="327" spans="1:15" ht="15" customHeight="1">
      <c r="A327" s="28">
        <f>IF(Table_246[[#This Row],[Data]]="","",MONTH(Table_246[[#This Row],[Data]]))</f>
        <v>5</v>
      </c>
      <c r="B327" s="32">
        <v>46148</v>
      </c>
      <c r="C327" s="109" t="s">
        <v>1201</v>
      </c>
      <c r="D327" s="43">
        <v>1</v>
      </c>
      <c r="E327" s="48" t="s">
        <v>2243</v>
      </c>
      <c r="F327" s="48" t="s">
        <v>1016</v>
      </c>
      <c r="G327" s="49">
        <f>IFERROR(VLOOKUP(C327,PROD!$A$2:$E$1204,5,0),"0")</f>
        <v>0.7</v>
      </c>
      <c r="H327" s="10">
        <f>Table_246[[#This Row],[QT]]*Table_246[[#This Row],[Custo 
Un]]</f>
        <v>0.7</v>
      </c>
      <c r="I327" s="52">
        <v>9.1999999999999993</v>
      </c>
      <c r="J327" s="263">
        <f t="shared" si="19"/>
        <v>9.1999999999999993</v>
      </c>
      <c r="K327" s="10">
        <f t="shared" si="18"/>
        <v>9.1999999999999993</v>
      </c>
      <c r="L327" s="50">
        <f>Table_246[[#This Row],[Valor da 
venda]]-Table_246[[#This Row],[Valor gasto]]</f>
        <v>8.5</v>
      </c>
      <c r="M327" s="111">
        <f t="shared" si="20"/>
        <v>0.92391304347826098</v>
      </c>
      <c r="N327" s="52" t="s">
        <v>993</v>
      </c>
      <c r="O327" s="114" t="str">
        <f>IF([1]!Table_246[[#This Row],[Coluna2]]&gt;0.5, "🔥 Excelente", IF([1]!Table_246[[#This Row],[Coluna2]]&gt;0.4, "👍 Bom", "⚠️ Baixo"))</f>
        <v>⚠️ Baixo</v>
      </c>
    </row>
    <row r="328" spans="1:15" ht="15" customHeight="1">
      <c r="A328" s="28">
        <f>IF(Table_246[[#This Row],[Data]]="","",MONTH(Table_246[[#This Row],[Data]]))</f>
        <v>5</v>
      </c>
      <c r="B328" s="32">
        <v>46149</v>
      </c>
      <c r="C328" s="109" t="s">
        <v>1047</v>
      </c>
      <c r="D328" s="43">
        <v>1</v>
      </c>
      <c r="E328" s="48" t="s">
        <v>2244</v>
      </c>
      <c r="F328" s="48" t="s">
        <v>22</v>
      </c>
      <c r="G328" s="49">
        <f>IFERROR(VLOOKUP(C328,PROD!$A$2:$E$1204,5,0),"0")</f>
        <v>0.7</v>
      </c>
      <c r="H328" s="10">
        <f>Table_246[[#This Row],[QT]]*Table_246[[#This Row],[Custo 
Un]]</f>
        <v>0.7</v>
      </c>
      <c r="I328" s="52">
        <v>8.18</v>
      </c>
      <c r="J328" s="263">
        <f t="shared" si="19"/>
        <v>8.18</v>
      </c>
      <c r="K328" s="10">
        <f t="shared" si="18"/>
        <v>8.18</v>
      </c>
      <c r="L328" s="50">
        <f>Table_246[[#This Row],[Valor da 
venda]]-Table_246[[#This Row],[Valor gasto]]</f>
        <v>7.4799999999999995</v>
      </c>
      <c r="M328" s="111">
        <f t="shared" si="20"/>
        <v>0.91442542787286063</v>
      </c>
      <c r="N328" s="52" t="s">
        <v>20</v>
      </c>
      <c r="O328" s="114" t="str">
        <f>IF([1]!Table_246[[#This Row],[Coluna2]]&gt;0.5, "🔥 Excelente", IF([1]!Table_246[[#This Row],[Coluna2]]&gt;0.4, "👍 Bom", "⚠️ Baixo"))</f>
        <v>⚠️ Baixo</v>
      </c>
    </row>
    <row r="329" spans="1:15" ht="15" customHeight="1">
      <c r="A329" s="28">
        <f>IF(Table_246[[#This Row],[Data]]="","",MONTH(Table_246[[#This Row],[Data]]))</f>
        <v>5</v>
      </c>
      <c r="B329" s="32">
        <v>46149</v>
      </c>
      <c r="C329" s="36" t="s">
        <v>2329</v>
      </c>
      <c r="D329" s="43">
        <v>1</v>
      </c>
      <c r="E329" s="48" t="s">
        <v>2245</v>
      </c>
      <c r="F329" s="48" t="s">
        <v>22</v>
      </c>
      <c r="G329" s="49">
        <v>350</v>
      </c>
      <c r="H329" s="10">
        <f>Table_246[[#This Row],[QT]]*Table_246[[#This Row],[Custo 
Un]]</f>
        <v>350</v>
      </c>
      <c r="I329" s="52">
        <v>413.02</v>
      </c>
      <c r="J329" s="263">
        <f t="shared" si="19"/>
        <v>413.02</v>
      </c>
      <c r="K329" s="10">
        <f t="shared" si="18"/>
        <v>413.02</v>
      </c>
      <c r="L329" s="50">
        <f>Table_246[[#This Row],[Valor da 
venda]]-Table_246[[#This Row],[Valor gasto]]</f>
        <v>63.019999999999982</v>
      </c>
      <c r="M329" s="111">
        <f t="shared" si="20"/>
        <v>0.1525834100043581</v>
      </c>
      <c r="N329" s="52" t="s">
        <v>20</v>
      </c>
      <c r="O329" s="114" t="str">
        <f>IF([1]!Table_246[[#This Row],[Coluna2]]&gt;0.5, "🔥 Excelente", IF([1]!Table_246[[#This Row],[Coluna2]]&gt;0.4, "👍 Bom", "⚠️ Baixo"))</f>
        <v>⚠️ Baixo</v>
      </c>
    </row>
    <row r="330" spans="1:15" ht="15" customHeight="1">
      <c r="A330" s="28">
        <f>IF(Table_246[[#This Row],[Data]]="","",MONTH(Table_246[[#This Row],[Data]]))</f>
        <v>5</v>
      </c>
      <c r="B330" s="32">
        <v>46149</v>
      </c>
      <c r="C330" s="36" t="s">
        <v>2035</v>
      </c>
      <c r="D330" s="43">
        <v>1</v>
      </c>
      <c r="E330" s="48" t="s">
        <v>1008</v>
      </c>
      <c r="F330" s="48" t="s">
        <v>555</v>
      </c>
      <c r="G330" s="49" t="str">
        <f>IFERROR(VLOOKUP(C330,PROD!$A$2:$E$1204,5,0),"0")</f>
        <v>0</v>
      </c>
      <c r="H330" s="10">
        <f>Table_246[[#This Row],[QT]]*Table_246[[#This Row],[Custo 
Un]]</f>
        <v>0</v>
      </c>
      <c r="I330" s="52">
        <v>70</v>
      </c>
      <c r="J330" s="263">
        <f t="shared" si="19"/>
        <v>70</v>
      </c>
      <c r="K330" s="10">
        <f t="shared" si="18"/>
        <v>70</v>
      </c>
      <c r="L330" s="50">
        <f>Table_246[[#This Row],[Valor da 
venda]]-Table_246[[#This Row],[Valor gasto]]</f>
        <v>70</v>
      </c>
      <c r="M330" s="111">
        <f t="shared" si="20"/>
        <v>1</v>
      </c>
      <c r="N330" s="52" t="s">
        <v>20</v>
      </c>
      <c r="O330" s="114" t="str">
        <f>IF([1]!Table_246[[#This Row],[Coluna2]]&gt;0.5, "🔥 Excelente", IF([1]!Table_246[[#This Row],[Coluna2]]&gt;0.4, "👍 Bom", "⚠️ Baixo"))</f>
        <v>⚠️ Baixo</v>
      </c>
    </row>
    <row r="331" spans="1:15" ht="15" customHeight="1">
      <c r="A331" s="28">
        <f>IF(Table_246[[#This Row],[Data]]="","",MONTH(Table_246[[#This Row],[Data]]))</f>
        <v>5</v>
      </c>
      <c r="B331" s="32">
        <v>46149</v>
      </c>
      <c r="C331" s="36" t="s">
        <v>2217</v>
      </c>
      <c r="D331" s="43">
        <v>1</v>
      </c>
      <c r="E331" s="48" t="s">
        <v>2246</v>
      </c>
      <c r="F331" s="48" t="s">
        <v>555</v>
      </c>
      <c r="G331" s="49">
        <v>0.5</v>
      </c>
      <c r="H331" s="10">
        <f>Table_246[[#This Row],[QT]]*Table_246[[#This Row],[Custo 
Un]]</f>
        <v>0.5</v>
      </c>
      <c r="I331" s="52">
        <v>2</v>
      </c>
      <c r="J331" s="263">
        <f t="shared" si="19"/>
        <v>2</v>
      </c>
      <c r="K331" s="10">
        <f t="shared" si="18"/>
        <v>2</v>
      </c>
      <c r="L331" s="50">
        <f>Table_246[[#This Row],[Valor da 
venda]]-Table_246[[#This Row],[Valor gasto]]</f>
        <v>1.5</v>
      </c>
      <c r="M331" s="111">
        <f t="shared" si="20"/>
        <v>0.75</v>
      </c>
      <c r="N331" s="52" t="s">
        <v>20</v>
      </c>
      <c r="O331" s="114" t="str">
        <f>IF([1]!Table_246[[#This Row],[Coluna2]]&gt;0.5, "🔥 Excelente", IF([1]!Table_246[[#This Row],[Coluna2]]&gt;0.4, "👍 Bom", "⚠️ Baixo"))</f>
        <v>⚠️ Baixo</v>
      </c>
    </row>
    <row r="332" spans="1:15" ht="15" customHeight="1">
      <c r="A332" s="28">
        <f>IF(Table_246[[#This Row],[Data]]="","",MONTH(Table_246[[#This Row],[Data]]))</f>
        <v>5</v>
      </c>
      <c r="B332" s="32">
        <v>46150</v>
      </c>
      <c r="C332" s="36" t="s">
        <v>2247</v>
      </c>
      <c r="D332" s="43">
        <v>1</v>
      </c>
      <c r="E332" s="48" t="s">
        <v>1008</v>
      </c>
      <c r="F332" s="48" t="s">
        <v>555</v>
      </c>
      <c r="G332" s="49">
        <v>4</v>
      </c>
      <c r="H332" s="10">
        <f>Table_246[[#This Row],[QT]]*Table_246[[#This Row],[Custo 
Un]]</f>
        <v>4</v>
      </c>
      <c r="I332" s="52">
        <v>15</v>
      </c>
      <c r="J332" s="263">
        <f t="shared" si="19"/>
        <v>15</v>
      </c>
      <c r="K332" s="10">
        <f t="shared" si="18"/>
        <v>15</v>
      </c>
      <c r="L332" s="50">
        <f>Table_246[[#This Row],[Valor da 
venda]]-Table_246[[#This Row],[Valor gasto]]</f>
        <v>11</v>
      </c>
      <c r="M332" s="111">
        <f t="shared" si="20"/>
        <v>0.73333333333333328</v>
      </c>
      <c r="N332" s="52" t="s">
        <v>20</v>
      </c>
      <c r="O332" s="114" t="str">
        <f>IF([1]!Table_246[[#This Row],[Coluna2]]&gt;0.5, "🔥 Excelente", IF([1]!Table_246[[#This Row],[Coluna2]]&gt;0.4, "👍 Bom", "⚠️ Baixo"))</f>
        <v>⚠️ Baixo</v>
      </c>
    </row>
    <row r="333" spans="1:15" ht="15" customHeight="1">
      <c r="A333" s="28">
        <f>IF(Table_246[[#This Row],[Data]]="","",MONTH(Table_246[[#This Row],[Data]]))</f>
        <v>5</v>
      </c>
      <c r="B333" s="32">
        <v>46151</v>
      </c>
      <c r="C333" s="265" t="s">
        <v>2248</v>
      </c>
      <c r="D333" s="43">
        <v>1</v>
      </c>
      <c r="E333" s="48" t="s">
        <v>1008</v>
      </c>
      <c r="F333" s="48" t="s">
        <v>555</v>
      </c>
      <c r="G333" s="49">
        <v>10</v>
      </c>
      <c r="H333" s="10">
        <f>Table_246[[#This Row],[QT]]*Table_246[[#This Row],[Custo 
Un]]</f>
        <v>10</v>
      </c>
      <c r="I333" s="52">
        <v>30</v>
      </c>
      <c r="J333" s="263">
        <f t="shared" si="19"/>
        <v>30</v>
      </c>
      <c r="K333" s="10">
        <f t="shared" si="18"/>
        <v>30</v>
      </c>
      <c r="L333" s="50">
        <f>Table_246[[#This Row],[Valor da 
venda]]-Table_246[[#This Row],[Valor gasto]]</f>
        <v>20</v>
      </c>
      <c r="M333" s="111">
        <f t="shared" si="20"/>
        <v>0.66666666666666663</v>
      </c>
      <c r="N333" s="52" t="s">
        <v>20</v>
      </c>
      <c r="O333" s="114" t="str">
        <f>IF([1]!Table_246[[#This Row],[Coluna2]]&gt;0.5, "🔥 Excelente", IF([1]!Table_246[[#This Row],[Coluna2]]&gt;0.4, "👍 Bom", "⚠️ Baixo"))</f>
        <v>⚠️ Baixo</v>
      </c>
    </row>
    <row r="334" spans="1:15" ht="15" customHeight="1">
      <c r="A334" s="28">
        <f>IF(Table_246[[#This Row],[Data]]="","",MONTH(Table_246[[#This Row],[Data]]))</f>
        <v>5</v>
      </c>
      <c r="B334" s="32">
        <v>46151</v>
      </c>
      <c r="C334" s="36" t="s">
        <v>2249</v>
      </c>
      <c r="D334" s="43">
        <v>1</v>
      </c>
      <c r="E334" s="48" t="s">
        <v>1008</v>
      </c>
      <c r="F334" s="48" t="s">
        <v>555</v>
      </c>
      <c r="G334" s="49" t="str">
        <f>IFERROR(VLOOKUP(C334,PROD!$A$2:$E$1204,5,0),"0")</f>
        <v>0</v>
      </c>
      <c r="H334" s="10">
        <f>Table_246[[#This Row],[QT]]*Table_246[[#This Row],[Custo 
Un]]</f>
        <v>0</v>
      </c>
      <c r="I334" s="52">
        <v>15</v>
      </c>
      <c r="J334" s="263">
        <f t="shared" si="19"/>
        <v>15</v>
      </c>
      <c r="K334" s="10">
        <f t="shared" si="18"/>
        <v>15</v>
      </c>
      <c r="L334" s="50">
        <f>Table_246[[#This Row],[Valor da 
venda]]-Table_246[[#This Row],[Valor gasto]]</f>
        <v>15</v>
      </c>
      <c r="M334" s="111">
        <f t="shared" si="20"/>
        <v>1</v>
      </c>
      <c r="N334" s="52" t="s">
        <v>20</v>
      </c>
      <c r="O334" s="114" t="str">
        <f>IF([1]!Table_246[[#This Row],[Coluna2]]&gt;0.5, "🔥 Excelente", IF([1]!Table_246[[#This Row],[Coluna2]]&gt;0.4, "👍 Bom", "⚠️ Baixo"))</f>
        <v>⚠️ Baixo</v>
      </c>
    </row>
    <row r="335" spans="1:15" ht="15" customHeight="1">
      <c r="A335" s="28">
        <f>IF(Table_246[[#This Row],[Data]]="","",MONTH(Table_246[[#This Row],[Data]]))</f>
        <v>5</v>
      </c>
      <c r="B335" s="32">
        <v>46155</v>
      </c>
      <c r="C335" s="36" t="s">
        <v>2053</v>
      </c>
      <c r="D335" s="43">
        <v>1</v>
      </c>
      <c r="E335" s="48" t="s">
        <v>2250</v>
      </c>
      <c r="F335" s="48" t="s">
        <v>22</v>
      </c>
      <c r="G335" s="49">
        <v>600</v>
      </c>
      <c r="H335" s="10">
        <f>Table_246[[#This Row],[QT]]*Table_246[[#This Row],[Custo 
Un]]</f>
        <v>600</v>
      </c>
      <c r="I335" s="52">
        <v>638.20000000000005</v>
      </c>
      <c r="J335" s="263">
        <f t="shared" si="19"/>
        <v>638.20000000000005</v>
      </c>
      <c r="K335" s="10">
        <f t="shared" si="18"/>
        <v>638.20000000000005</v>
      </c>
      <c r="L335" s="50">
        <f>Table_246[[#This Row],[Valor da 
venda]]-Table_246[[#This Row],[Valor gasto]]</f>
        <v>38.200000000000045</v>
      </c>
      <c r="M335" s="111">
        <f t="shared" si="20"/>
        <v>5.9855844562833035E-2</v>
      </c>
      <c r="N335" s="52" t="s">
        <v>20</v>
      </c>
      <c r="O335" s="114" t="str">
        <f>IF([1]!Table_246[[#This Row],[Coluna2]]&gt;0.5, "🔥 Excelente", IF([1]!Table_246[[#This Row],[Coluna2]]&gt;0.4, "👍 Bom", "⚠️ Baixo"))</f>
        <v>⚠️ Baixo</v>
      </c>
    </row>
    <row r="336" spans="1:15" ht="15" customHeight="1">
      <c r="A336" s="28">
        <f>IF(Table_246[[#This Row],[Data]]="","",MONTH(Table_246[[#This Row],[Data]]))</f>
        <v>5</v>
      </c>
      <c r="B336" s="32">
        <v>46155</v>
      </c>
      <c r="C336" s="36" t="s">
        <v>2329</v>
      </c>
      <c r="D336" s="43">
        <v>1</v>
      </c>
      <c r="E336" s="48" t="s">
        <v>2251</v>
      </c>
      <c r="F336" s="48" t="s">
        <v>22</v>
      </c>
      <c r="G336" s="49">
        <v>350</v>
      </c>
      <c r="H336" s="10">
        <f>Table_246[[#This Row],[QT]]*Table_246[[#This Row],[Custo 
Un]]</f>
        <v>350</v>
      </c>
      <c r="I336" s="52">
        <v>413.02</v>
      </c>
      <c r="J336" s="263">
        <f t="shared" si="19"/>
        <v>413.02</v>
      </c>
      <c r="K336" s="10">
        <f t="shared" si="18"/>
        <v>413.02</v>
      </c>
      <c r="L336" s="50">
        <f>Table_246[[#This Row],[Valor da 
venda]]-Table_246[[#This Row],[Valor gasto]]</f>
        <v>63.019999999999982</v>
      </c>
      <c r="M336" s="111">
        <f t="shared" si="20"/>
        <v>0.1525834100043581</v>
      </c>
      <c r="N336" s="52" t="s">
        <v>20</v>
      </c>
      <c r="O336" s="114" t="str">
        <f>IF([1]!Table_246[[#This Row],[Coluna2]]&gt;0.5, "🔥 Excelente", IF([1]!Table_246[[#This Row],[Coluna2]]&gt;0.4, "👍 Bom", "⚠️ Baixo"))</f>
        <v>⚠️ Baixo</v>
      </c>
    </row>
    <row r="337" spans="1:15" ht="15" customHeight="1">
      <c r="A337" s="28">
        <f>IF(Table_246[[#This Row],[Data]]="","",MONTH(Table_246[[#This Row],[Data]]))</f>
        <v>5</v>
      </c>
      <c r="B337" s="32">
        <v>46155</v>
      </c>
      <c r="C337" s="109" t="s">
        <v>1047</v>
      </c>
      <c r="D337" s="43">
        <v>1</v>
      </c>
      <c r="E337" s="48" t="s">
        <v>2252</v>
      </c>
      <c r="F337" s="48" t="s">
        <v>22</v>
      </c>
      <c r="G337" s="49">
        <f>IFERROR(VLOOKUP(C337,PROD!$A$2:$E$1204,5,0),"0")</f>
        <v>0.7</v>
      </c>
      <c r="H337" s="10">
        <f>Table_246[[#This Row],[QT]]*Table_246[[#This Row],[Custo 
Un]]</f>
        <v>0.7</v>
      </c>
      <c r="I337" s="52">
        <v>9.1300000000000008</v>
      </c>
      <c r="J337" s="263">
        <f t="shared" si="19"/>
        <v>9.1300000000000008</v>
      </c>
      <c r="K337" s="10">
        <f t="shared" si="18"/>
        <v>9.1300000000000008</v>
      </c>
      <c r="L337" s="50">
        <f>Table_246[[#This Row],[Valor da 
venda]]-Table_246[[#This Row],[Valor gasto]]</f>
        <v>8.4300000000000015</v>
      </c>
      <c r="M337" s="111">
        <f t="shared" si="20"/>
        <v>0.92332968236582702</v>
      </c>
      <c r="N337" s="52" t="s">
        <v>20</v>
      </c>
      <c r="O337" s="114" t="str">
        <f>IF([1]!Table_246[[#This Row],[Coluna2]]&gt;0.5, "🔥 Excelente", IF([1]!Table_246[[#This Row],[Coluna2]]&gt;0.4, "👍 Bom", "⚠️ Baixo"))</f>
        <v>⚠️ Baixo</v>
      </c>
    </row>
    <row r="338" spans="1:15" ht="15" customHeight="1">
      <c r="A338" s="28">
        <f>IF(Table_246[[#This Row],[Data]]="","",MONTH(Table_246[[#This Row],[Data]]))</f>
        <v>5</v>
      </c>
      <c r="B338" s="32">
        <v>46155</v>
      </c>
      <c r="C338" s="109" t="s">
        <v>1047</v>
      </c>
      <c r="D338" s="43">
        <v>1</v>
      </c>
      <c r="E338" s="48" t="s">
        <v>2253</v>
      </c>
      <c r="F338" s="48" t="s">
        <v>22</v>
      </c>
      <c r="G338" s="49">
        <f>IFERROR(VLOOKUP(C338,PROD!$A$2:$E$1204,5,0),"0")</f>
        <v>0.7</v>
      </c>
      <c r="H338" s="10">
        <f>Table_246[[#This Row],[QT]]*Table_246[[#This Row],[Custo 
Un]]</f>
        <v>0.7</v>
      </c>
      <c r="I338" s="52">
        <v>9.1300000000000008</v>
      </c>
      <c r="J338" s="263">
        <f t="shared" si="19"/>
        <v>9.1300000000000008</v>
      </c>
      <c r="K338" s="10">
        <f t="shared" si="18"/>
        <v>9.1300000000000008</v>
      </c>
      <c r="L338" s="50">
        <f>Table_246[[#This Row],[Valor da 
venda]]-Table_246[[#This Row],[Valor gasto]]</f>
        <v>8.4300000000000015</v>
      </c>
      <c r="M338" s="111">
        <f t="shared" si="20"/>
        <v>0.92332968236582702</v>
      </c>
      <c r="N338" s="52" t="s">
        <v>20</v>
      </c>
      <c r="O338" s="114" t="str">
        <f>IF([1]!Table_246[[#This Row],[Coluna2]]&gt;0.5, "🔥 Excelente", IF([1]!Table_246[[#This Row],[Coluna2]]&gt;0.4, "👍 Bom", "⚠️ Baixo"))</f>
        <v>⚠️ Baixo</v>
      </c>
    </row>
    <row r="339" spans="1:15" ht="15" customHeight="1">
      <c r="A339" s="28">
        <f>IF(Table_246[[#This Row],[Data]]="","",MONTH(Table_246[[#This Row],[Data]]))</f>
        <v>5</v>
      </c>
      <c r="B339" s="32">
        <v>46155</v>
      </c>
      <c r="C339" s="36" t="s">
        <v>2254</v>
      </c>
      <c r="D339" s="43">
        <v>1</v>
      </c>
      <c r="E339" s="48" t="s">
        <v>1008</v>
      </c>
      <c r="F339" s="48" t="s">
        <v>555</v>
      </c>
      <c r="G339" s="49">
        <v>10</v>
      </c>
      <c r="H339" s="10">
        <f>Table_246[[#This Row],[QT]]*Table_246[[#This Row],[Custo 
Un]]</f>
        <v>10</v>
      </c>
      <c r="I339" s="52">
        <v>30</v>
      </c>
      <c r="J339" s="263">
        <f t="shared" si="19"/>
        <v>30</v>
      </c>
      <c r="K339" s="10">
        <f t="shared" si="18"/>
        <v>30</v>
      </c>
      <c r="L339" s="50">
        <f>Table_246[[#This Row],[Valor da 
venda]]-Table_246[[#This Row],[Valor gasto]]</f>
        <v>20</v>
      </c>
      <c r="M339" s="111">
        <f t="shared" si="20"/>
        <v>0.66666666666666663</v>
      </c>
      <c r="N339" s="52" t="s">
        <v>20</v>
      </c>
      <c r="O339" s="114" t="str">
        <f>IF([1]!Table_246[[#This Row],[Coluna2]]&gt;0.5, "🔥 Excelente", IF([1]!Table_246[[#This Row],[Coluna2]]&gt;0.4, "👍 Bom", "⚠️ Baixo"))</f>
        <v>⚠️ Baixo</v>
      </c>
    </row>
    <row r="340" spans="1:15" ht="15" customHeight="1">
      <c r="A340" s="28">
        <f>IF(Table_246[[#This Row],[Data]]="","",MONTH(Table_246[[#This Row],[Data]]))</f>
        <v>5</v>
      </c>
      <c r="B340" s="32">
        <v>46157</v>
      </c>
      <c r="C340" s="36" t="s">
        <v>2167</v>
      </c>
      <c r="D340" s="43">
        <v>1</v>
      </c>
      <c r="E340" s="48" t="s">
        <v>1008</v>
      </c>
      <c r="F340" s="48" t="s">
        <v>555</v>
      </c>
      <c r="G340" s="49">
        <v>5</v>
      </c>
      <c r="H340" s="10">
        <f>Table_246[[#This Row],[QT]]*Table_246[[#This Row],[Custo 
Un]]</f>
        <v>5</v>
      </c>
      <c r="I340" s="52">
        <v>15</v>
      </c>
      <c r="J340" s="263">
        <f t="shared" si="19"/>
        <v>15</v>
      </c>
      <c r="K340" s="10">
        <f t="shared" si="18"/>
        <v>15</v>
      </c>
      <c r="L340" s="50">
        <f>Table_246[[#This Row],[Valor da 
venda]]-Table_246[[#This Row],[Valor gasto]]</f>
        <v>10</v>
      </c>
      <c r="M340" s="111">
        <f t="shared" si="20"/>
        <v>0.66666666666666663</v>
      </c>
      <c r="N340" s="52" t="s">
        <v>20</v>
      </c>
      <c r="O340" s="114" t="str">
        <f>IF([1]!Table_246[[#This Row],[Coluna2]]&gt;0.5, "🔥 Excelente", IF([1]!Table_246[[#This Row],[Coluna2]]&gt;0.4, "👍 Bom", "⚠️ Baixo"))</f>
        <v>⚠️ Baixo</v>
      </c>
    </row>
    <row r="341" spans="1:15" ht="15" customHeight="1">
      <c r="A341" s="28">
        <f>IF(Table_246[[#This Row],[Data]]="","",MONTH(Table_246[[#This Row],[Data]]))</f>
        <v>5</v>
      </c>
      <c r="B341" s="32">
        <v>46157</v>
      </c>
      <c r="C341" s="36" t="s">
        <v>2255</v>
      </c>
      <c r="D341" s="43">
        <v>1</v>
      </c>
      <c r="E341" s="48" t="s">
        <v>1008</v>
      </c>
      <c r="F341" s="48" t="s">
        <v>555</v>
      </c>
      <c r="G341" s="49">
        <v>15</v>
      </c>
      <c r="H341" s="10">
        <f>Table_246[[#This Row],[QT]]*Table_246[[#This Row],[Custo 
Un]]</f>
        <v>15</v>
      </c>
      <c r="I341" s="52">
        <v>35</v>
      </c>
      <c r="J341" s="263">
        <f t="shared" si="19"/>
        <v>35</v>
      </c>
      <c r="K341" s="10">
        <f t="shared" si="18"/>
        <v>35</v>
      </c>
      <c r="L341" s="50">
        <f>Table_246[[#This Row],[Valor da 
venda]]-Table_246[[#This Row],[Valor gasto]]</f>
        <v>20</v>
      </c>
      <c r="M341" s="111">
        <f t="shared" si="20"/>
        <v>0.5714285714285714</v>
      </c>
      <c r="N341" s="52" t="s">
        <v>20</v>
      </c>
      <c r="O341" s="114" t="str">
        <f>IF([1]!Table_246[[#This Row],[Coluna2]]&gt;0.5, "🔥 Excelente", IF([1]!Table_246[[#This Row],[Coluna2]]&gt;0.4, "👍 Bom", "⚠️ Baixo"))</f>
        <v>⚠️ Baixo</v>
      </c>
    </row>
    <row r="342" spans="1:15" ht="15" customHeight="1">
      <c r="A342" s="28">
        <f>IF(Table_246[[#This Row],[Data]]="","",MONTH(Table_246[[#This Row],[Data]]))</f>
        <v>5</v>
      </c>
      <c r="B342" s="32">
        <v>46157</v>
      </c>
      <c r="C342" s="36" t="s">
        <v>2035</v>
      </c>
      <c r="D342" s="43">
        <v>1</v>
      </c>
      <c r="E342" s="48" t="s">
        <v>1008</v>
      </c>
      <c r="F342" s="48" t="s">
        <v>555</v>
      </c>
      <c r="G342" s="49" t="str">
        <f>IFERROR(VLOOKUP(C342,PROD!$A$2:$E$1204,5,0),"0")</f>
        <v>0</v>
      </c>
      <c r="H342" s="10">
        <f>Table_246[[#This Row],[QT]]*Table_246[[#This Row],[Custo 
Un]]</f>
        <v>0</v>
      </c>
      <c r="I342" s="52">
        <v>50</v>
      </c>
      <c r="J342" s="263">
        <f t="shared" si="19"/>
        <v>50</v>
      </c>
      <c r="K342" s="10">
        <f t="shared" si="18"/>
        <v>50</v>
      </c>
      <c r="L342" s="50">
        <f>Table_246[[#This Row],[Valor da 
venda]]-Table_246[[#This Row],[Valor gasto]]</f>
        <v>50</v>
      </c>
      <c r="M342" s="111">
        <f t="shared" si="20"/>
        <v>1</v>
      </c>
      <c r="N342" s="52" t="s">
        <v>20</v>
      </c>
      <c r="O342" s="114" t="str">
        <f>IF([1]!Table_246[[#This Row],[Coluna2]]&gt;0.5, "🔥 Excelente", IF([1]!Table_246[[#This Row],[Coluna2]]&gt;0.4, "👍 Bom", "⚠️ Baixo"))</f>
        <v>⚠️ Baixo</v>
      </c>
    </row>
    <row r="343" spans="1:15" ht="15" customHeight="1">
      <c r="A343" s="28">
        <f>IF(Table_246[[#This Row],[Data]]="","",MONTH(Table_246[[#This Row],[Data]]))</f>
        <v>5</v>
      </c>
      <c r="B343" s="32">
        <v>46157</v>
      </c>
      <c r="C343" s="36" t="s">
        <v>820</v>
      </c>
      <c r="D343" s="43">
        <v>1</v>
      </c>
      <c r="E343" s="48" t="s">
        <v>1008</v>
      </c>
      <c r="F343" s="48" t="s">
        <v>555</v>
      </c>
      <c r="G343" s="49">
        <v>5</v>
      </c>
      <c r="H343" s="10">
        <f>Table_246[[#This Row],[QT]]*Table_246[[#This Row],[Custo 
Un]]</f>
        <v>5</v>
      </c>
      <c r="I343" s="52">
        <v>15</v>
      </c>
      <c r="J343" s="263">
        <f t="shared" si="19"/>
        <v>15</v>
      </c>
      <c r="K343" s="10">
        <f t="shared" si="18"/>
        <v>15</v>
      </c>
      <c r="L343" s="50">
        <f>Table_246[[#This Row],[Valor da 
venda]]-Table_246[[#This Row],[Valor gasto]]</f>
        <v>10</v>
      </c>
      <c r="M343" s="111">
        <f t="shared" si="20"/>
        <v>0.66666666666666663</v>
      </c>
      <c r="N343" s="52" t="s">
        <v>20</v>
      </c>
      <c r="O343" s="114" t="str">
        <f>IF([1]!Table_246[[#This Row],[Coluna2]]&gt;0.5, "🔥 Excelente", IF([1]!Table_246[[#This Row],[Coluna2]]&gt;0.4, "👍 Bom", "⚠️ Baixo"))</f>
        <v>⚠️ Baixo</v>
      </c>
    </row>
    <row r="344" spans="1:15" ht="15" customHeight="1">
      <c r="A344" s="28">
        <f>IF(Table_246[[#This Row],[Data]]="","",MONTH(Table_246[[#This Row],[Data]]))</f>
        <v>5</v>
      </c>
      <c r="B344" s="32">
        <v>46158</v>
      </c>
      <c r="C344" s="36" t="s">
        <v>725</v>
      </c>
      <c r="D344" s="43">
        <v>1</v>
      </c>
      <c r="E344" s="48" t="s">
        <v>1008</v>
      </c>
      <c r="F344" s="48" t="s">
        <v>555</v>
      </c>
      <c r="G344" s="49">
        <f>IFERROR(VLOOKUP(C344,PROD!$A$2:$E$1204,5,0),"0")</f>
        <v>5</v>
      </c>
      <c r="H344" s="10">
        <f>Table_246[[#This Row],[QT]]*Table_246[[#This Row],[Custo 
Un]]</f>
        <v>5</v>
      </c>
      <c r="I344" s="52">
        <v>10</v>
      </c>
      <c r="J344" s="263">
        <f t="shared" si="19"/>
        <v>10</v>
      </c>
      <c r="K344" s="10">
        <f t="shared" si="18"/>
        <v>10</v>
      </c>
      <c r="L344" s="50">
        <f>Table_246[[#This Row],[Valor da 
venda]]-Table_246[[#This Row],[Valor gasto]]</f>
        <v>5</v>
      </c>
      <c r="M344" s="111">
        <f t="shared" si="20"/>
        <v>0.5</v>
      </c>
      <c r="N344" s="52" t="s">
        <v>20</v>
      </c>
      <c r="O344" s="114" t="str">
        <f>IF([1]!Table_246[[#This Row],[Coluna2]]&gt;0.5, "🔥 Excelente", IF([1]!Table_246[[#This Row],[Coluna2]]&gt;0.4, "👍 Bom", "⚠️ Baixo"))</f>
        <v>⚠️ Baixo</v>
      </c>
    </row>
    <row r="345" spans="1:15" ht="15" customHeight="1">
      <c r="A345" s="28">
        <f>IF(Table_246[[#This Row],[Data]]="","",MONTH(Table_246[[#This Row],[Data]]))</f>
        <v>5</v>
      </c>
      <c r="B345" s="32">
        <v>46158</v>
      </c>
      <c r="C345" s="36" t="s">
        <v>2068</v>
      </c>
      <c r="D345" s="43">
        <v>1</v>
      </c>
      <c r="E345" s="48" t="s">
        <v>1008</v>
      </c>
      <c r="F345" s="48" t="s">
        <v>555</v>
      </c>
      <c r="G345" s="49">
        <v>1</v>
      </c>
      <c r="H345" s="10">
        <f>Table_246[[#This Row],[QT]]*Table_246[[#This Row],[Custo 
Un]]</f>
        <v>1</v>
      </c>
      <c r="I345" s="52">
        <v>5</v>
      </c>
      <c r="J345" s="263">
        <f t="shared" si="19"/>
        <v>5</v>
      </c>
      <c r="K345" s="10">
        <f t="shared" si="18"/>
        <v>5</v>
      </c>
      <c r="L345" s="50">
        <f>Table_246[[#This Row],[Valor da 
venda]]-Table_246[[#This Row],[Valor gasto]]</f>
        <v>4</v>
      </c>
      <c r="M345" s="111">
        <f t="shared" si="20"/>
        <v>0.8</v>
      </c>
      <c r="N345" s="52" t="s">
        <v>20</v>
      </c>
      <c r="O345" s="114" t="str">
        <f>IF([1]!Table_246[[#This Row],[Coluna2]]&gt;0.5, "🔥 Excelente", IF([1]!Table_246[[#This Row],[Coluna2]]&gt;0.4, "👍 Bom", "⚠️ Baixo"))</f>
        <v>⚠️ Baixo</v>
      </c>
    </row>
    <row r="346" spans="1:15" ht="15" customHeight="1">
      <c r="A346" s="28">
        <f>IF(Table_246[[#This Row],[Data]]="","",MONTH(Table_246[[#This Row],[Data]]))</f>
        <v>5</v>
      </c>
      <c r="B346" s="32">
        <v>46158</v>
      </c>
      <c r="C346" s="36" t="s">
        <v>2035</v>
      </c>
      <c r="D346" s="43">
        <v>1</v>
      </c>
      <c r="E346" s="48" t="s">
        <v>1008</v>
      </c>
      <c r="F346" s="48" t="s">
        <v>555</v>
      </c>
      <c r="G346" s="49" t="str">
        <f>IFERROR(VLOOKUP(C346,PROD!$A$2:$E$1204,5,0),"0")</f>
        <v>0</v>
      </c>
      <c r="H346" s="10">
        <f>Table_246[[#This Row],[QT]]*Table_246[[#This Row],[Custo 
Un]]</f>
        <v>0</v>
      </c>
      <c r="I346" s="52">
        <v>100</v>
      </c>
      <c r="J346" s="263">
        <f t="shared" si="19"/>
        <v>100</v>
      </c>
      <c r="K346" s="10">
        <f t="shared" si="18"/>
        <v>100</v>
      </c>
      <c r="L346" s="50">
        <f>Table_246[[#This Row],[Valor da 
venda]]-Table_246[[#This Row],[Valor gasto]]</f>
        <v>100</v>
      </c>
      <c r="M346" s="111">
        <f t="shared" si="20"/>
        <v>1</v>
      </c>
      <c r="N346" s="52" t="s">
        <v>20</v>
      </c>
      <c r="O346" s="114" t="str">
        <f>IF([1]!Table_246[[#This Row],[Coluna2]]&gt;0.5, "🔥 Excelente", IF([1]!Table_246[[#This Row],[Coluna2]]&gt;0.4, "👍 Bom", "⚠️ Baixo"))</f>
        <v>⚠️ Baixo</v>
      </c>
    </row>
    <row r="347" spans="1:15" ht="15" customHeight="1">
      <c r="A347" s="28">
        <f>IF(Table_246[[#This Row],[Data]]="","",MONTH(Table_246[[#This Row],[Data]]))</f>
        <v>5</v>
      </c>
      <c r="B347" s="32">
        <v>46160</v>
      </c>
      <c r="C347" s="36" t="s">
        <v>2256</v>
      </c>
      <c r="D347" s="43">
        <v>1</v>
      </c>
      <c r="E347" s="48" t="s">
        <v>1008</v>
      </c>
      <c r="F347" s="48" t="s">
        <v>555</v>
      </c>
      <c r="G347" s="49">
        <v>7</v>
      </c>
      <c r="H347" s="10">
        <f>Table_246[[#This Row],[QT]]*Table_246[[#This Row],[Custo 
Un]]</f>
        <v>7</v>
      </c>
      <c r="I347" s="52">
        <v>15</v>
      </c>
      <c r="J347" s="263">
        <f t="shared" si="19"/>
        <v>15</v>
      </c>
      <c r="K347" s="10">
        <f t="shared" si="18"/>
        <v>15</v>
      </c>
      <c r="L347" s="50">
        <f>Table_246[[#This Row],[Valor da 
venda]]-Table_246[[#This Row],[Valor gasto]]</f>
        <v>8</v>
      </c>
      <c r="M347" s="111">
        <f t="shared" si="20"/>
        <v>0.53333333333333333</v>
      </c>
      <c r="N347" s="52" t="s">
        <v>20</v>
      </c>
      <c r="O347" s="114" t="str">
        <f>IF([1]!Table_246[[#This Row],[Coluna2]]&gt;0.5, "🔥 Excelente", IF([1]!Table_246[[#This Row],[Coluna2]]&gt;0.4, "👍 Bom", "⚠️ Baixo"))</f>
        <v>⚠️ Baixo</v>
      </c>
    </row>
    <row r="348" spans="1:15" ht="15" customHeight="1">
      <c r="A348" s="28">
        <f>IF(Table_246[[#This Row],[Data]]="","",MONTH(Table_246[[#This Row],[Data]]))</f>
        <v>5</v>
      </c>
      <c r="B348" s="32">
        <v>46160</v>
      </c>
      <c r="C348" s="36" t="s">
        <v>2257</v>
      </c>
      <c r="D348" s="43">
        <v>1</v>
      </c>
      <c r="E348" s="48" t="s">
        <v>1008</v>
      </c>
      <c r="F348" s="48" t="s">
        <v>555</v>
      </c>
      <c r="G348" s="49">
        <v>1</v>
      </c>
      <c r="H348" s="10">
        <f>Table_246[[#This Row],[QT]]*Table_246[[#This Row],[Custo 
Un]]</f>
        <v>1</v>
      </c>
      <c r="I348" s="52">
        <v>5</v>
      </c>
      <c r="J348" s="263">
        <f t="shared" si="19"/>
        <v>5</v>
      </c>
      <c r="K348" s="10">
        <f t="shared" si="18"/>
        <v>5</v>
      </c>
      <c r="L348" s="50">
        <f>Table_246[[#This Row],[Valor da 
venda]]-Table_246[[#This Row],[Valor gasto]]</f>
        <v>4</v>
      </c>
      <c r="M348" s="111">
        <f t="shared" si="20"/>
        <v>0.8</v>
      </c>
      <c r="N348" s="52" t="s">
        <v>20</v>
      </c>
      <c r="O348" s="114" t="str">
        <f>IF([1]!Table_246[[#This Row],[Coluna2]]&gt;0.5, "🔥 Excelente", IF([1]!Table_246[[#This Row],[Coluna2]]&gt;0.4, "👍 Bom", "⚠️ Baixo"))</f>
        <v>⚠️ Baixo</v>
      </c>
    </row>
    <row r="349" spans="1:15" ht="15" customHeight="1">
      <c r="A349" s="28">
        <f>IF(Table_246[[#This Row],[Data]]="","",MONTH(Table_246[[#This Row],[Data]]))</f>
        <v>5</v>
      </c>
      <c r="B349" s="32">
        <v>46160</v>
      </c>
      <c r="C349" s="36" t="s">
        <v>682</v>
      </c>
      <c r="D349" s="43">
        <v>1</v>
      </c>
      <c r="E349" s="48" t="s">
        <v>1008</v>
      </c>
      <c r="F349" s="48" t="s">
        <v>555</v>
      </c>
      <c r="G349" s="49">
        <v>5</v>
      </c>
      <c r="H349" s="10">
        <f>Table_246[[#This Row],[QT]]*Table_246[[#This Row],[Custo 
Un]]</f>
        <v>5</v>
      </c>
      <c r="I349" s="52">
        <v>10</v>
      </c>
      <c r="J349" s="263">
        <f t="shared" si="19"/>
        <v>10</v>
      </c>
      <c r="K349" s="10">
        <f t="shared" si="18"/>
        <v>10</v>
      </c>
      <c r="L349" s="50">
        <f>Table_246[[#This Row],[Valor da 
venda]]-Table_246[[#This Row],[Valor gasto]]</f>
        <v>5</v>
      </c>
      <c r="M349" s="111">
        <f t="shared" si="20"/>
        <v>0.5</v>
      </c>
      <c r="N349" s="52" t="s">
        <v>20</v>
      </c>
      <c r="O349" s="114" t="str">
        <f>IF([1]!Table_246[[#This Row],[Coluna2]]&gt;0.5, "🔥 Excelente", IF([1]!Table_246[[#This Row],[Coluna2]]&gt;0.4, "👍 Bom", "⚠️ Baixo"))</f>
        <v>⚠️ Baixo</v>
      </c>
    </row>
    <row r="350" spans="1:15" ht="15" customHeight="1">
      <c r="A350" s="28">
        <f>IF(Table_246[[#This Row],[Data]]="","",MONTH(Table_246[[#This Row],[Data]]))</f>
        <v>5</v>
      </c>
      <c r="B350" s="32">
        <v>46160</v>
      </c>
      <c r="C350" s="36" t="s">
        <v>2215</v>
      </c>
      <c r="D350" s="43">
        <v>1</v>
      </c>
      <c r="E350" s="48" t="s">
        <v>1008</v>
      </c>
      <c r="F350" s="48" t="s">
        <v>555</v>
      </c>
      <c r="G350" s="49">
        <v>20</v>
      </c>
      <c r="H350" s="10">
        <f>Table_246[[#This Row],[QT]]*Table_246[[#This Row],[Custo 
Un]]</f>
        <v>20</v>
      </c>
      <c r="I350" s="52">
        <v>50</v>
      </c>
      <c r="J350" s="263">
        <f t="shared" si="19"/>
        <v>50</v>
      </c>
      <c r="K350" s="10">
        <f t="shared" si="18"/>
        <v>50</v>
      </c>
      <c r="L350" s="50">
        <f>Table_246[[#This Row],[Valor da 
venda]]-Table_246[[#This Row],[Valor gasto]]</f>
        <v>30</v>
      </c>
      <c r="M350" s="111">
        <f t="shared" si="20"/>
        <v>0.6</v>
      </c>
      <c r="N350" s="52" t="s">
        <v>20</v>
      </c>
      <c r="O350" s="114" t="str">
        <f>IF([1]!Table_246[[#This Row],[Coluna2]]&gt;0.5, "🔥 Excelente", IF([1]!Table_246[[#This Row],[Coluna2]]&gt;0.4, "👍 Bom", "⚠️ Baixo"))</f>
        <v>⚠️ Baixo</v>
      </c>
    </row>
    <row r="351" spans="1:15" ht="15" customHeight="1">
      <c r="A351" s="28">
        <f>IF(Table_246[[#This Row],[Data]]="","",MONTH(Table_246[[#This Row],[Data]]))</f>
        <v>5</v>
      </c>
      <c r="B351" s="32">
        <v>46161</v>
      </c>
      <c r="C351" s="36" t="s">
        <v>146</v>
      </c>
      <c r="D351" s="43">
        <v>20</v>
      </c>
      <c r="E351" s="48" t="s">
        <v>1008</v>
      </c>
      <c r="F351" s="48" t="s">
        <v>555</v>
      </c>
      <c r="G351" s="49">
        <f>IFERROR(VLOOKUP(C351,PROD!$A$2:$E$1204,5,0),"0")</f>
        <v>7.0000000000000007E-2</v>
      </c>
      <c r="H351" s="10">
        <f>Table_246[[#This Row],[QT]]*Table_246[[#This Row],[Custo 
Un]]</f>
        <v>1.4000000000000001</v>
      </c>
      <c r="I351" s="52">
        <v>0.5</v>
      </c>
      <c r="J351" s="263">
        <f t="shared" si="19"/>
        <v>10</v>
      </c>
      <c r="K351" s="10">
        <f t="shared" si="18"/>
        <v>10</v>
      </c>
      <c r="L351" s="50">
        <f>Table_246[[#This Row],[Valor da 
venda]]-Table_246[[#This Row],[Valor gasto]]</f>
        <v>8.6</v>
      </c>
      <c r="M351" s="111">
        <f t="shared" si="20"/>
        <v>0.86</v>
      </c>
      <c r="N351" s="52" t="s">
        <v>20</v>
      </c>
      <c r="O351" s="114" t="str">
        <f>IF([1]!Table_246[[#This Row],[Coluna2]]&gt;0.5, "🔥 Excelente", IF([1]!Table_246[[#This Row],[Coluna2]]&gt;0.4, "👍 Bom", "⚠️ Baixo"))</f>
        <v>⚠️ Baixo</v>
      </c>
    </row>
    <row r="352" spans="1:15" ht="15" customHeight="1">
      <c r="A352" s="28">
        <f>IF(Table_246[[#This Row],[Data]]="","",MONTH(Table_246[[#This Row],[Data]]))</f>
        <v>5</v>
      </c>
      <c r="B352" s="32">
        <v>46161</v>
      </c>
      <c r="C352" s="36" t="s">
        <v>2258</v>
      </c>
      <c r="D352" s="43">
        <v>3</v>
      </c>
      <c r="E352" s="48" t="s">
        <v>2085</v>
      </c>
      <c r="F352" s="48" t="s">
        <v>555</v>
      </c>
      <c r="G352" s="49">
        <f>IFERROR(VLOOKUP(C352,PROD!$A$2:$E$1204,5,0),"0")</f>
        <v>4.5</v>
      </c>
      <c r="H352" s="10">
        <f>Table_246[[#This Row],[QT]]*Table_246[[#This Row],[Custo 
Un]]</f>
        <v>13.5</v>
      </c>
      <c r="I352" s="52">
        <v>7</v>
      </c>
      <c r="J352" s="263">
        <f t="shared" si="19"/>
        <v>21</v>
      </c>
      <c r="K352" s="10">
        <f t="shared" si="18"/>
        <v>21</v>
      </c>
      <c r="L352" s="50">
        <f>Table_246[[#This Row],[Valor da 
venda]]-Table_246[[#This Row],[Valor gasto]]</f>
        <v>7.5</v>
      </c>
      <c r="M352" s="111">
        <f t="shared" si="20"/>
        <v>0.35714285714285715</v>
      </c>
      <c r="N352" s="52" t="s">
        <v>20</v>
      </c>
      <c r="O352" s="114" t="str">
        <f>IF([1]!Table_246[[#This Row],[Coluna2]]&gt;0.5, "🔥 Excelente", IF([1]!Table_246[[#This Row],[Coluna2]]&gt;0.4, "👍 Bom", "⚠️ Baixo"))</f>
        <v>⚠️ Baixo</v>
      </c>
    </row>
    <row r="353" spans="1:15" ht="15" customHeight="1">
      <c r="A353" s="28">
        <f>IF(Table_246[[#This Row],[Data]]="","",MONTH(Table_246[[#This Row],[Data]]))</f>
        <v>5</v>
      </c>
      <c r="B353" s="32">
        <v>46161</v>
      </c>
      <c r="C353" s="36" t="s">
        <v>2258</v>
      </c>
      <c r="D353" s="43">
        <v>2</v>
      </c>
      <c r="E353" s="48" t="s">
        <v>821</v>
      </c>
      <c r="F353" s="48" t="s">
        <v>555</v>
      </c>
      <c r="G353" s="49">
        <f>IFERROR(VLOOKUP(C353,PROD!$A$2:$E$1204,5,0),"0")</f>
        <v>4.5</v>
      </c>
      <c r="H353" s="10">
        <f>Table_246[[#This Row],[QT]]*Table_246[[#This Row],[Custo 
Un]]</f>
        <v>9</v>
      </c>
      <c r="I353" s="52">
        <v>7</v>
      </c>
      <c r="J353" s="263">
        <f t="shared" si="19"/>
        <v>14</v>
      </c>
      <c r="K353" s="10">
        <f t="shared" si="18"/>
        <v>14</v>
      </c>
      <c r="L353" s="50">
        <f>Table_246[[#This Row],[Valor da 
venda]]-Table_246[[#This Row],[Valor gasto]]</f>
        <v>5</v>
      </c>
      <c r="M353" s="111">
        <f t="shared" si="20"/>
        <v>0.35714285714285715</v>
      </c>
      <c r="N353" s="52" t="s">
        <v>20</v>
      </c>
      <c r="O353" s="114" t="str">
        <f>IF([1]!Table_246[[#This Row],[Coluna2]]&gt;0.5, "🔥 Excelente", IF([1]!Table_246[[#This Row],[Coluna2]]&gt;0.4, "👍 Bom", "⚠️ Baixo"))</f>
        <v>⚠️ Baixo</v>
      </c>
    </row>
    <row r="354" spans="1:15" ht="15" customHeight="1">
      <c r="A354" s="28">
        <f>IF(Table_246[[#This Row],[Data]]="","",MONTH(Table_246[[#This Row],[Data]]))</f>
        <v>5</v>
      </c>
      <c r="B354" s="32">
        <v>46161</v>
      </c>
      <c r="C354" s="36" t="s">
        <v>1022</v>
      </c>
      <c r="D354" s="43">
        <v>1</v>
      </c>
      <c r="E354" s="48" t="s">
        <v>1008</v>
      </c>
      <c r="F354" s="48" t="s">
        <v>555</v>
      </c>
      <c r="G354" s="49">
        <v>11</v>
      </c>
      <c r="H354" s="10">
        <f>Table_246[[#This Row],[QT]]*Table_246[[#This Row],[Custo 
Un]]</f>
        <v>11</v>
      </c>
      <c r="I354" s="52">
        <v>20</v>
      </c>
      <c r="J354" s="263">
        <f t="shared" si="19"/>
        <v>20</v>
      </c>
      <c r="K354" s="10">
        <f t="shared" si="18"/>
        <v>20</v>
      </c>
      <c r="L354" s="50">
        <f>Table_246[[#This Row],[Valor da 
venda]]-Table_246[[#This Row],[Valor gasto]]</f>
        <v>9</v>
      </c>
      <c r="M354" s="111">
        <f t="shared" si="20"/>
        <v>0.45</v>
      </c>
      <c r="N354" s="52" t="s">
        <v>20</v>
      </c>
      <c r="O354" s="114" t="str">
        <f>IF([1]!Table_246[[#This Row],[Coluna2]]&gt;0.5, "🔥 Excelente", IF([1]!Table_246[[#This Row],[Coluna2]]&gt;0.4, "👍 Bom", "⚠️ Baixo"))</f>
        <v>⚠️ Baixo</v>
      </c>
    </row>
    <row r="355" spans="1:15" ht="15" customHeight="1">
      <c r="A355" s="28">
        <f>IF(Table_246[[#This Row],[Data]]="","",MONTH(Table_246[[#This Row],[Data]]))</f>
        <v>5</v>
      </c>
      <c r="B355" s="32">
        <v>46161</v>
      </c>
      <c r="C355" s="36" t="s">
        <v>820</v>
      </c>
      <c r="D355" s="43">
        <v>1</v>
      </c>
      <c r="E355" s="48" t="s">
        <v>1008</v>
      </c>
      <c r="F355" s="48" t="s">
        <v>555</v>
      </c>
      <c r="G355" s="49">
        <v>3</v>
      </c>
      <c r="H355" s="10">
        <f>Table_246[[#This Row],[QT]]*Table_246[[#This Row],[Custo 
Un]]</f>
        <v>3</v>
      </c>
      <c r="I355" s="52">
        <v>15</v>
      </c>
      <c r="J355" s="263">
        <f t="shared" si="19"/>
        <v>15</v>
      </c>
      <c r="K355" s="10">
        <f t="shared" si="18"/>
        <v>15</v>
      </c>
      <c r="L355" s="50">
        <f>Table_246[[#This Row],[Valor da 
venda]]-Table_246[[#This Row],[Valor gasto]]</f>
        <v>12</v>
      </c>
      <c r="M355" s="111">
        <f t="shared" si="20"/>
        <v>0.8</v>
      </c>
      <c r="N355" s="52" t="s">
        <v>20</v>
      </c>
      <c r="O355" s="114" t="str">
        <f>IF([1]!Table_246[[#This Row],[Coluna2]]&gt;0.5, "🔥 Excelente", IF([1]!Table_246[[#This Row],[Coluna2]]&gt;0.4, "👍 Bom", "⚠️ Baixo"))</f>
        <v>⚠️ Baixo</v>
      </c>
    </row>
    <row r="356" spans="1:15" ht="15" customHeight="1">
      <c r="A356" s="28">
        <f>IF(Table_246[[#This Row],[Data]]="","",MONTH(Table_246[[#This Row],[Data]]))</f>
        <v>5</v>
      </c>
      <c r="B356" s="32">
        <v>46164</v>
      </c>
      <c r="C356" s="36" t="s">
        <v>2258</v>
      </c>
      <c r="D356" s="43">
        <v>2</v>
      </c>
      <c r="E356" s="48" t="s">
        <v>2085</v>
      </c>
      <c r="F356" s="48" t="s">
        <v>555</v>
      </c>
      <c r="G356" s="49">
        <f>IFERROR(VLOOKUP(C356,PROD!$A$2:$E$1204,5,0),"0")</f>
        <v>4.5</v>
      </c>
      <c r="H356" s="10">
        <f>Table_246[[#This Row],[QT]]*Table_246[[#This Row],[Custo 
Un]]</f>
        <v>9</v>
      </c>
      <c r="I356" s="52">
        <v>7</v>
      </c>
      <c r="J356" s="263">
        <f t="shared" si="19"/>
        <v>14</v>
      </c>
      <c r="K356" s="10">
        <f t="shared" si="18"/>
        <v>14</v>
      </c>
      <c r="L356" s="50">
        <f>Table_246[[#This Row],[Valor da 
venda]]-Table_246[[#This Row],[Valor gasto]]</f>
        <v>5</v>
      </c>
      <c r="M356" s="111">
        <f t="shared" si="20"/>
        <v>0.35714285714285715</v>
      </c>
      <c r="N356" s="52" t="s">
        <v>20</v>
      </c>
      <c r="O356" s="114" t="str">
        <f>IF([1]!Table_246[[#This Row],[Coluna2]]&gt;0.5, "🔥 Excelente", IF([1]!Table_246[[#This Row],[Coluna2]]&gt;0.4, "👍 Bom", "⚠️ Baixo"))</f>
        <v>⚠️ Baixo</v>
      </c>
    </row>
    <row r="357" spans="1:15" ht="15" customHeight="1">
      <c r="A357" s="28">
        <f>IF(Table_246[[#This Row],[Data]]="","",MONTH(Table_246[[#This Row],[Data]]))</f>
        <v>5</v>
      </c>
      <c r="B357" s="32">
        <v>46164</v>
      </c>
      <c r="C357" s="36" t="s">
        <v>2258</v>
      </c>
      <c r="D357" s="43">
        <v>2</v>
      </c>
      <c r="E357" s="48" t="s">
        <v>2259</v>
      </c>
      <c r="F357" s="48" t="s">
        <v>555</v>
      </c>
      <c r="G357" s="49">
        <f>IFERROR(VLOOKUP(C357,PROD!$A$2:$E$1204,5,0),"0")</f>
        <v>4.5</v>
      </c>
      <c r="H357" s="10">
        <f>Table_246[[#This Row],[QT]]*Table_246[[#This Row],[Custo 
Un]]</f>
        <v>9</v>
      </c>
      <c r="I357" s="52">
        <v>7</v>
      </c>
      <c r="J357" s="263">
        <f t="shared" si="19"/>
        <v>14</v>
      </c>
      <c r="K357" s="10">
        <f t="shared" si="18"/>
        <v>14</v>
      </c>
      <c r="L357" s="50">
        <f>Table_246[[#This Row],[Valor da 
venda]]-Table_246[[#This Row],[Valor gasto]]</f>
        <v>5</v>
      </c>
      <c r="M357" s="111">
        <f t="shared" si="20"/>
        <v>0.35714285714285715</v>
      </c>
      <c r="N357" s="52" t="s">
        <v>20</v>
      </c>
      <c r="O357" s="114" t="str">
        <f>IF([1]!Table_246[[#This Row],[Coluna2]]&gt;0.5, "🔥 Excelente", IF([1]!Table_246[[#This Row],[Coluna2]]&gt;0.4, "👍 Bom", "⚠️ Baixo"))</f>
        <v>⚠️ Baixo</v>
      </c>
    </row>
    <row r="358" spans="1:15" ht="15" customHeight="1">
      <c r="A358" s="28">
        <f>IF(Table_246[[#This Row],[Data]]="","",MONTH(Table_246[[#This Row],[Data]]))</f>
        <v>5</v>
      </c>
      <c r="B358" s="32">
        <v>46164</v>
      </c>
      <c r="C358" s="36" t="s">
        <v>146</v>
      </c>
      <c r="D358" s="43">
        <v>1</v>
      </c>
      <c r="E358" s="48" t="s">
        <v>2260</v>
      </c>
      <c r="F358" s="48" t="s">
        <v>555</v>
      </c>
      <c r="G358" s="49">
        <f>IFERROR(VLOOKUP(C358,PROD!$A$2:$E$1204,5,0),"0")</f>
        <v>7.0000000000000007E-2</v>
      </c>
      <c r="H358" s="10">
        <f>Table_246[[#This Row],[QT]]*Table_246[[#This Row],[Custo 
Un]]</f>
        <v>7.0000000000000007E-2</v>
      </c>
      <c r="I358" s="52">
        <v>1</v>
      </c>
      <c r="J358" s="263">
        <f t="shared" si="19"/>
        <v>1</v>
      </c>
      <c r="K358" s="10">
        <f t="shared" si="18"/>
        <v>1</v>
      </c>
      <c r="L358" s="50">
        <f>Table_246[[#This Row],[Valor da 
venda]]-Table_246[[#This Row],[Valor gasto]]</f>
        <v>0.92999999999999994</v>
      </c>
      <c r="M358" s="111">
        <f t="shared" si="20"/>
        <v>0.92999999999999994</v>
      </c>
      <c r="N358" s="52" t="s">
        <v>20</v>
      </c>
      <c r="O358" s="114" t="str">
        <f>IF([1]!Table_246[[#This Row],[Coluna2]]&gt;0.5, "🔥 Excelente", IF([1]!Table_246[[#This Row],[Coluna2]]&gt;0.4, "👍 Bom", "⚠️ Baixo"))</f>
        <v>⚠️ Baixo</v>
      </c>
    </row>
    <row r="359" spans="1:15" ht="15" customHeight="1">
      <c r="A359" s="28">
        <f>IF(Table_246[[#This Row],[Data]]="","",MONTH(Table_246[[#This Row],[Data]]))</f>
        <v>5</v>
      </c>
      <c r="B359" s="32">
        <v>46165</v>
      </c>
      <c r="C359" s="36" t="s">
        <v>2261</v>
      </c>
      <c r="D359" s="43">
        <v>2</v>
      </c>
      <c r="E359" s="48" t="s">
        <v>2262</v>
      </c>
      <c r="F359" s="48" t="s">
        <v>555</v>
      </c>
      <c r="G359" s="49">
        <f>IFERROR(VLOOKUP(C359,PROD!$A$2:$E$1204,5,0),"0")</f>
        <v>0.76190476190476186</v>
      </c>
      <c r="H359" s="10">
        <f>Table_246[[#This Row],[QT]]*Table_246[[#This Row],[Custo 
Un]]</f>
        <v>1.5238095238095237</v>
      </c>
      <c r="I359" s="52">
        <v>1</v>
      </c>
      <c r="J359" s="263">
        <f t="shared" si="19"/>
        <v>2</v>
      </c>
      <c r="K359" s="10">
        <f t="shared" si="18"/>
        <v>2</v>
      </c>
      <c r="L359" s="50">
        <f>Table_246[[#This Row],[Valor da 
venda]]-Table_246[[#This Row],[Valor gasto]]</f>
        <v>0.47619047619047628</v>
      </c>
      <c r="M359" s="111">
        <f t="shared" si="20"/>
        <v>0.23809523809523814</v>
      </c>
      <c r="N359" s="52" t="s">
        <v>20</v>
      </c>
      <c r="O359" s="114" t="str">
        <f>IF([1]!Table_246[[#This Row],[Coluna2]]&gt;0.5, "🔥 Excelente", IF([1]!Table_246[[#This Row],[Coluna2]]&gt;0.4, "👍 Bom", "⚠️ Baixo"))</f>
        <v>⚠️ Baixo</v>
      </c>
    </row>
    <row r="360" spans="1:15" ht="15" customHeight="1">
      <c r="A360" s="28">
        <f>IF(Table_246[[#This Row],[Data]]="","",MONTH(Table_246[[#This Row],[Data]]))</f>
        <v>5</v>
      </c>
      <c r="B360" s="32">
        <v>46165</v>
      </c>
      <c r="C360" s="36" t="s">
        <v>2261</v>
      </c>
      <c r="D360" s="43">
        <v>33</v>
      </c>
      <c r="E360" s="48" t="s">
        <v>2085</v>
      </c>
      <c r="F360" s="48" t="s">
        <v>555</v>
      </c>
      <c r="G360" s="49">
        <f>IFERROR(VLOOKUP(C360,PROD!$A$2:$E$1204,5,0),"0")</f>
        <v>0.76190476190476186</v>
      </c>
      <c r="H360" s="10">
        <f>Table_246[[#This Row],[QT]]*Table_246[[#This Row],[Custo 
Un]]</f>
        <v>25.142857142857142</v>
      </c>
      <c r="I360" s="52">
        <v>1</v>
      </c>
      <c r="J360" s="263">
        <f t="shared" si="19"/>
        <v>33</v>
      </c>
      <c r="K360" s="10">
        <f t="shared" si="18"/>
        <v>33</v>
      </c>
      <c r="L360" s="50">
        <f>Table_246[[#This Row],[Valor da 
venda]]-Table_246[[#This Row],[Valor gasto]]</f>
        <v>7.8571428571428577</v>
      </c>
      <c r="M360" s="111">
        <f t="shared" si="20"/>
        <v>0.23809523809523811</v>
      </c>
      <c r="N360" s="52" t="s">
        <v>20</v>
      </c>
      <c r="O360" s="114" t="str">
        <f>IF([1]!Table_246[[#This Row],[Coluna2]]&gt;0.5, "🔥 Excelente", IF([1]!Table_246[[#This Row],[Coluna2]]&gt;0.4, "👍 Bom", "⚠️ Baixo"))</f>
        <v>⚠️ Baixo</v>
      </c>
    </row>
    <row r="361" spans="1:15" ht="15" customHeight="1">
      <c r="A361" s="28">
        <f>IF(Table_246[[#This Row],[Data]]="","",MONTH(Table_246[[#This Row],[Data]]))</f>
        <v>5</v>
      </c>
      <c r="B361" s="32">
        <v>46165</v>
      </c>
      <c r="C361" s="36" t="s">
        <v>2264</v>
      </c>
      <c r="D361" s="43">
        <v>1</v>
      </c>
      <c r="E361" s="48" t="s">
        <v>1097</v>
      </c>
      <c r="F361" s="48" t="s">
        <v>555</v>
      </c>
      <c r="G361" s="49">
        <f>IFERROR(VLOOKUP(C361,PROD!$A$2:$E$1204,5,0),"0")</f>
        <v>6</v>
      </c>
      <c r="H361" s="10">
        <f>Table_246[[#This Row],[QT]]*Table_246[[#This Row],[Custo 
Un]]</f>
        <v>6</v>
      </c>
      <c r="I361" s="52">
        <v>7</v>
      </c>
      <c r="J361" s="263">
        <f t="shared" si="19"/>
        <v>7</v>
      </c>
      <c r="K361" s="10">
        <f t="shared" si="18"/>
        <v>7</v>
      </c>
      <c r="L361" s="50">
        <f>Table_246[[#This Row],[Valor da 
venda]]-Table_246[[#This Row],[Valor gasto]]</f>
        <v>1</v>
      </c>
      <c r="M361" s="111">
        <f t="shared" si="20"/>
        <v>0.14285714285714285</v>
      </c>
      <c r="N361" s="52" t="s">
        <v>20</v>
      </c>
      <c r="O361" s="114" t="str">
        <f>IF([1]!Table_246[[#This Row],[Coluna2]]&gt;0.5, "🔥 Excelente", IF([1]!Table_246[[#This Row],[Coluna2]]&gt;0.4, "👍 Bom", "⚠️ Baixo"))</f>
        <v>⚠️ Baixo</v>
      </c>
    </row>
    <row r="362" spans="1:15" ht="15" customHeight="1">
      <c r="A362" s="28">
        <f>IF(Table_246[[#This Row],[Data]]="","",MONTH(Table_246[[#This Row],[Data]]))</f>
        <v>5</v>
      </c>
      <c r="B362" s="32">
        <v>46165</v>
      </c>
      <c r="C362" s="36" t="s">
        <v>2264</v>
      </c>
      <c r="D362" s="43">
        <v>2</v>
      </c>
      <c r="E362" s="48" t="s">
        <v>1036</v>
      </c>
      <c r="F362" s="48" t="s">
        <v>555</v>
      </c>
      <c r="G362" s="49">
        <f>IFERROR(VLOOKUP(C362,PROD!$A$2:$E$1204,5,0),"0")</f>
        <v>6</v>
      </c>
      <c r="H362" s="10">
        <f>Table_246[[#This Row],[QT]]*Table_246[[#This Row],[Custo 
Un]]</f>
        <v>12</v>
      </c>
      <c r="I362" s="52">
        <v>7</v>
      </c>
      <c r="J362" s="263">
        <f t="shared" si="19"/>
        <v>14</v>
      </c>
      <c r="K362" s="10">
        <f t="shared" si="18"/>
        <v>14</v>
      </c>
      <c r="L362" s="50">
        <f>Table_246[[#This Row],[Valor da 
venda]]-Table_246[[#This Row],[Valor gasto]]</f>
        <v>2</v>
      </c>
      <c r="M362" s="111">
        <f t="shared" si="20"/>
        <v>0.14285714285714285</v>
      </c>
      <c r="N362" s="52" t="s">
        <v>20</v>
      </c>
      <c r="O362" s="114" t="str">
        <f>IF([1]!Table_246[[#This Row],[Coluna2]]&gt;0.5, "🔥 Excelente", IF([1]!Table_246[[#This Row],[Coluna2]]&gt;0.4, "👍 Bom", "⚠️ Baixo"))</f>
        <v>⚠️ Baixo</v>
      </c>
    </row>
    <row r="363" spans="1:15" ht="15" customHeight="1">
      <c r="A363" s="28">
        <f>IF(Table_246[[#This Row],[Data]]="","",MONTH(Table_246[[#This Row],[Data]]))</f>
        <v>5</v>
      </c>
      <c r="B363" s="32">
        <v>46165</v>
      </c>
      <c r="C363" s="36" t="s">
        <v>678</v>
      </c>
      <c r="D363" s="43">
        <v>1</v>
      </c>
      <c r="E363" s="48" t="s">
        <v>1008</v>
      </c>
      <c r="F363" s="48" t="s">
        <v>555</v>
      </c>
      <c r="G363" s="49">
        <v>280</v>
      </c>
      <c r="H363" s="10">
        <f>Table_246[[#This Row],[QT]]*Table_246[[#This Row],[Custo 
Un]]</f>
        <v>280</v>
      </c>
      <c r="I363" s="52">
        <v>350</v>
      </c>
      <c r="J363" s="263">
        <f t="shared" si="19"/>
        <v>350</v>
      </c>
      <c r="K363" s="10">
        <f t="shared" si="18"/>
        <v>350</v>
      </c>
      <c r="L363" s="50">
        <f>Table_246[[#This Row],[Valor da 
venda]]-Table_246[[#This Row],[Valor gasto]]</f>
        <v>70</v>
      </c>
      <c r="M363" s="111">
        <f t="shared" si="20"/>
        <v>0.2</v>
      </c>
      <c r="N363" s="52" t="s">
        <v>20</v>
      </c>
      <c r="O363" s="114" t="str">
        <f>IF([1]!Table_246[[#This Row],[Coluna2]]&gt;0.5, "🔥 Excelente", IF([1]!Table_246[[#This Row],[Coluna2]]&gt;0.4, "👍 Bom", "⚠️ Baixo"))</f>
        <v>⚠️ Baixo</v>
      </c>
    </row>
    <row r="364" spans="1:15" ht="15" customHeight="1">
      <c r="A364" s="28">
        <f>IF(Table_246[[#This Row],[Data]]="","",MONTH(Table_246[[#This Row],[Data]]))</f>
        <v>5</v>
      </c>
      <c r="B364" s="32">
        <v>46165</v>
      </c>
      <c r="C364" s="36" t="s">
        <v>2265</v>
      </c>
      <c r="D364" s="43">
        <v>1</v>
      </c>
      <c r="E364" s="48" t="s">
        <v>1008</v>
      </c>
      <c r="F364" s="48" t="s">
        <v>555</v>
      </c>
      <c r="G364" s="49">
        <v>30</v>
      </c>
      <c r="H364" s="10">
        <f>Table_246[[#This Row],[QT]]*Table_246[[#This Row],[Custo 
Un]]</f>
        <v>30</v>
      </c>
      <c r="I364" s="52">
        <v>60</v>
      </c>
      <c r="J364" s="263">
        <f t="shared" si="19"/>
        <v>60</v>
      </c>
      <c r="K364" s="10">
        <f t="shared" si="18"/>
        <v>60</v>
      </c>
      <c r="L364" s="50">
        <f>Table_246[[#This Row],[Valor da 
venda]]-Table_246[[#This Row],[Valor gasto]]</f>
        <v>30</v>
      </c>
      <c r="M364" s="111">
        <f t="shared" si="20"/>
        <v>0.5</v>
      </c>
      <c r="N364" s="52" t="s">
        <v>20</v>
      </c>
      <c r="O364" s="114" t="str">
        <f>IF([1]!Table_246[[#This Row],[Coluna2]]&gt;0.5, "🔥 Excelente", IF([1]!Table_246[[#This Row],[Coluna2]]&gt;0.4, "👍 Bom", "⚠️ Baixo"))</f>
        <v>⚠️ Baixo</v>
      </c>
    </row>
    <row r="365" spans="1:15" ht="15" customHeight="1">
      <c r="A365" s="28">
        <f>IF(Table_246[[#This Row],[Data]]="","",MONTH(Table_246[[#This Row],[Data]]))</f>
        <v>5</v>
      </c>
      <c r="B365" s="32">
        <v>46165</v>
      </c>
      <c r="C365" s="36" t="s">
        <v>2266</v>
      </c>
      <c r="D365" s="43">
        <v>1</v>
      </c>
      <c r="E365" s="48" t="s">
        <v>1008</v>
      </c>
      <c r="F365" s="48" t="s">
        <v>555</v>
      </c>
      <c r="G365" s="49" t="str">
        <f>IFERROR(VLOOKUP(C365,PROD!$A$2:$E$1204,5,0),"0")</f>
        <v>0</v>
      </c>
      <c r="H365" s="10">
        <f>Table_246[[#This Row],[QT]]*Table_246[[#This Row],[Custo 
Un]]</f>
        <v>0</v>
      </c>
      <c r="I365" s="52">
        <v>18</v>
      </c>
      <c r="J365" s="263">
        <f t="shared" si="19"/>
        <v>18</v>
      </c>
      <c r="K365" s="10">
        <f t="shared" si="18"/>
        <v>18</v>
      </c>
      <c r="L365" s="50">
        <f>Table_246[[#This Row],[Valor da 
venda]]-Table_246[[#This Row],[Valor gasto]]</f>
        <v>18</v>
      </c>
      <c r="M365" s="111">
        <f t="shared" si="20"/>
        <v>1</v>
      </c>
      <c r="N365" s="52" t="s">
        <v>20</v>
      </c>
      <c r="O365" s="114" t="str">
        <f>IF([1]!Table_246[[#This Row],[Coluna2]]&gt;0.5, "🔥 Excelente", IF([1]!Table_246[[#This Row],[Coluna2]]&gt;0.4, "👍 Bom", "⚠️ Baixo"))</f>
        <v>⚠️ Baixo</v>
      </c>
    </row>
    <row r="366" spans="1:15" ht="15" customHeight="1">
      <c r="A366" s="28">
        <f>IF(Table_246[[#This Row],[Data]]="","",MONTH(Table_246[[#This Row],[Data]]))</f>
        <v>5</v>
      </c>
      <c r="B366" s="32">
        <v>46165</v>
      </c>
      <c r="C366" s="36" t="s">
        <v>2035</v>
      </c>
      <c r="D366" s="43">
        <v>1</v>
      </c>
      <c r="E366" s="48" t="s">
        <v>1008</v>
      </c>
      <c r="F366" s="48" t="s">
        <v>555</v>
      </c>
      <c r="G366" s="49" t="str">
        <f>IFERROR(VLOOKUP(C366,PROD!$A$2:$E$1204,5,0),"0")</f>
        <v>0</v>
      </c>
      <c r="H366" s="10">
        <f>Table_246[[#This Row],[QT]]*Table_246[[#This Row],[Custo 
Un]]</f>
        <v>0</v>
      </c>
      <c r="I366" s="52">
        <v>50</v>
      </c>
      <c r="J366" s="263">
        <f t="shared" si="19"/>
        <v>50</v>
      </c>
      <c r="K366" s="10">
        <f t="shared" si="18"/>
        <v>50</v>
      </c>
      <c r="L366" s="50">
        <f>Table_246[[#This Row],[Valor da 
venda]]-Table_246[[#This Row],[Valor gasto]]</f>
        <v>50</v>
      </c>
      <c r="M366" s="111">
        <f t="shared" si="20"/>
        <v>1</v>
      </c>
      <c r="N366" s="52" t="s">
        <v>20</v>
      </c>
      <c r="O366" s="114" t="str">
        <f>IF([1]!Table_246[[#This Row],[Coluna2]]&gt;0.5, "🔥 Excelente", IF([1]!Table_246[[#This Row],[Coluna2]]&gt;0.4, "👍 Bom", "⚠️ Baixo"))</f>
        <v>⚠️ Baixo</v>
      </c>
    </row>
    <row r="367" spans="1:15" ht="15" customHeight="1">
      <c r="A367" s="28">
        <f>IF(Table_246[[#This Row],[Data]]="","",MONTH(Table_246[[#This Row],[Data]]))</f>
        <v>5</v>
      </c>
      <c r="B367" s="32">
        <v>46165</v>
      </c>
      <c r="C367" s="36" t="s">
        <v>2267</v>
      </c>
      <c r="D367" s="43">
        <v>1</v>
      </c>
      <c r="E367" s="48" t="s">
        <v>1008</v>
      </c>
      <c r="F367" s="48" t="s">
        <v>555</v>
      </c>
      <c r="G367" s="49" t="str">
        <f>IFERROR(VLOOKUP(C367,PROD!$A$2:$E$1204,5,0),"0")</f>
        <v>0</v>
      </c>
      <c r="H367" s="10">
        <f>Table_246[[#This Row],[QT]]*Table_246[[#This Row],[Custo 
Un]]</f>
        <v>0</v>
      </c>
      <c r="I367" s="52">
        <v>250</v>
      </c>
      <c r="J367" s="263">
        <f t="shared" si="19"/>
        <v>250</v>
      </c>
      <c r="K367" s="10">
        <f t="shared" si="18"/>
        <v>250</v>
      </c>
      <c r="L367" s="50">
        <f>Table_246[[#This Row],[Valor da 
venda]]-Table_246[[#This Row],[Valor gasto]]</f>
        <v>250</v>
      </c>
      <c r="M367" s="111">
        <f t="shared" si="20"/>
        <v>1</v>
      </c>
      <c r="N367" s="52" t="s">
        <v>20</v>
      </c>
      <c r="O367" s="114" t="str">
        <f>IF([1]!Table_246[[#This Row],[Coluna2]]&gt;0.5, "🔥 Excelente", IF([1]!Table_246[[#This Row],[Coluna2]]&gt;0.4, "👍 Bom", "⚠️ Baixo"))</f>
        <v>⚠️ Baixo</v>
      </c>
    </row>
    <row r="368" spans="1:15" ht="15" customHeight="1">
      <c r="A368" s="28">
        <f>IF(Table_246[[#This Row],[Data]]="","",MONTH(Table_246[[#This Row],[Data]]))</f>
        <v>5</v>
      </c>
      <c r="B368" s="32">
        <v>46166</v>
      </c>
      <c r="C368" s="36" t="s">
        <v>2268</v>
      </c>
      <c r="D368" s="43">
        <v>25</v>
      </c>
      <c r="E368" s="48" t="s">
        <v>1036</v>
      </c>
      <c r="F368" s="48" t="s">
        <v>555</v>
      </c>
      <c r="G368" s="49">
        <f>IFERROR(VLOOKUP(C368,PROD!$A$2:$E$1204,5,0),"0")</f>
        <v>0.71</v>
      </c>
      <c r="H368" s="10">
        <f>Table_246[[#This Row],[QT]]*Table_246[[#This Row],[Custo 
Un]]</f>
        <v>17.75</v>
      </c>
      <c r="I368" s="52">
        <v>1</v>
      </c>
      <c r="J368" s="263">
        <f t="shared" si="19"/>
        <v>25</v>
      </c>
      <c r="K368" s="10">
        <f t="shared" si="18"/>
        <v>25</v>
      </c>
      <c r="L368" s="50">
        <f>Table_246[[#This Row],[Valor da 
venda]]-Table_246[[#This Row],[Valor gasto]]</f>
        <v>7.25</v>
      </c>
      <c r="M368" s="111">
        <f t="shared" si="20"/>
        <v>0.28999999999999998</v>
      </c>
      <c r="N368" s="266" t="s">
        <v>993</v>
      </c>
      <c r="O368" s="114" t="str">
        <f>IF([1]!Table_246[[#This Row],[Coluna2]]&gt;0.5, "🔥 Excelente", IF([1]!Table_246[[#This Row],[Coluna2]]&gt;0.4, "👍 Bom", "⚠️ Baixo"))</f>
        <v>⚠️ Baixo</v>
      </c>
    </row>
    <row r="369" spans="1:15" ht="15" customHeight="1">
      <c r="A369" s="28">
        <f>IF(Table_246[[#This Row],[Data]]="","",MONTH(Table_246[[#This Row],[Data]]))</f>
        <v>5</v>
      </c>
      <c r="B369" s="32">
        <v>46167</v>
      </c>
      <c r="C369" s="36" t="s">
        <v>2268</v>
      </c>
      <c r="D369" s="43">
        <v>10</v>
      </c>
      <c r="E369" s="48" t="s">
        <v>821</v>
      </c>
      <c r="F369" s="48" t="s">
        <v>555</v>
      </c>
      <c r="G369" s="49">
        <f>IFERROR(VLOOKUP(C369,PROD!$A$2:$E$1204,5,0),"0")</f>
        <v>0.71</v>
      </c>
      <c r="H369" s="10">
        <f>Table_246[[#This Row],[QT]]*Table_246[[#This Row],[Custo 
Un]]</f>
        <v>7.1</v>
      </c>
      <c r="I369" s="52">
        <v>1</v>
      </c>
      <c r="J369" s="263">
        <f t="shared" si="19"/>
        <v>10</v>
      </c>
      <c r="K369" s="10">
        <f t="shared" si="18"/>
        <v>10</v>
      </c>
      <c r="L369" s="50">
        <f>Table_246[[#This Row],[Valor da 
venda]]-Table_246[[#This Row],[Valor gasto]]</f>
        <v>2.9000000000000004</v>
      </c>
      <c r="M369" s="111">
        <f t="shared" si="20"/>
        <v>0.29000000000000004</v>
      </c>
      <c r="N369" s="52" t="s">
        <v>20</v>
      </c>
      <c r="O369" s="114" t="str">
        <f>IF([1]!Table_246[[#This Row],[Coluna2]]&gt;0.5, "🔥 Excelente", IF([1]!Table_246[[#This Row],[Coluna2]]&gt;0.4, "👍 Bom", "⚠️ Baixo"))</f>
        <v>⚠️ Baixo</v>
      </c>
    </row>
    <row r="370" spans="1:15" ht="15" customHeight="1">
      <c r="A370" s="28">
        <f>IF(Table_246[[#This Row],[Data]]="","",MONTH(Table_246[[#This Row],[Data]]))</f>
        <v>5</v>
      </c>
      <c r="B370" s="32">
        <v>46168</v>
      </c>
      <c r="C370" s="36" t="s">
        <v>2269</v>
      </c>
      <c r="D370" s="43">
        <v>1</v>
      </c>
      <c r="E370" s="48" t="s">
        <v>821</v>
      </c>
      <c r="F370" s="48" t="s">
        <v>555</v>
      </c>
      <c r="G370" s="49">
        <f>12*5</f>
        <v>60</v>
      </c>
      <c r="H370" s="10">
        <f>Table_246[[#This Row],[QT]]*Table_246[[#This Row],[Custo 
Un]]</f>
        <v>60</v>
      </c>
      <c r="I370" s="52">
        <v>130</v>
      </c>
      <c r="J370" s="263">
        <f t="shared" si="19"/>
        <v>130</v>
      </c>
      <c r="K370" s="10">
        <f t="shared" si="18"/>
        <v>130</v>
      </c>
      <c r="L370" s="50">
        <f>Table_246[[#This Row],[Valor da 
venda]]-Table_246[[#This Row],[Valor gasto]]</f>
        <v>70</v>
      </c>
      <c r="M370" s="111">
        <f t="shared" si="20"/>
        <v>0.53846153846153844</v>
      </c>
      <c r="N370" s="52" t="s">
        <v>993</v>
      </c>
      <c r="O370" s="114" t="str">
        <f>IF([1]!Table_246[[#This Row],[Coluna2]]&gt;0.5, "🔥 Excelente", IF([1]!Table_246[[#This Row],[Coluna2]]&gt;0.4, "👍 Bom", "⚠️ Baixo"))</f>
        <v>⚠️ Baixo</v>
      </c>
    </row>
    <row r="371" spans="1:15" ht="15" customHeight="1">
      <c r="A371" s="28">
        <f>IF(Table_246[[#This Row],[Data]]="","",MONTH(Table_246[[#This Row],[Data]]))</f>
        <v>5</v>
      </c>
      <c r="B371" s="32">
        <v>46169</v>
      </c>
      <c r="C371" s="36" t="s">
        <v>2258</v>
      </c>
      <c r="D371" s="43">
        <v>4</v>
      </c>
      <c r="E371" s="48" t="s">
        <v>2262</v>
      </c>
      <c r="F371" s="48" t="s">
        <v>555</v>
      </c>
      <c r="G371" s="49">
        <v>5.5</v>
      </c>
      <c r="H371" s="10">
        <f>Table_246[[#This Row],[QT]]*Table_246[[#This Row],[Custo 
Un]]</f>
        <v>22</v>
      </c>
      <c r="I371" s="52">
        <v>7</v>
      </c>
      <c r="J371" s="263">
        <f t="shared" si="19"/>
        <v>28</v>
      </c>
      <c r="K371" s="10">
        <f t="shared" si="18"/>
        <v>28</v>
      </c>
      <c r="L371" s="50">
        <f>Table_246[[#This Row],[Valor da 
venda]]-Table_246[[#This Row],[Valor gasto]]</f>
        <v>6</v>
      </c>
      <c r="M371" s="111">
        <f t="shared" si="20"/>
        <v>0.21428571428571427</v>
      </c>
      <c r="N371" s="52" t="s">
        <v>993</v>
      </c>
      <c r="O371" s="114" t="str">
        <f>IF([1]!Table_246[[#This Row],[Coluna2]]&gt;0.5, "🔥 Excelente", IF([1]!Table_246[[#This Row],[Coluna2]]&gt;0.4, "👍 Bom", "⚠️ Baixo"))</f>
        <v>⚠️ Baixo</v>
      </c>
    </row>
    <row r="372" spans="1:15" ht="15" customHeight="1">
      <c r="A372" s="28">
        <f>IF(Table_246[[#This Row],[Data]]="","",MONTH(Table_246[[#This Row],[Data]]))</f>
        <v>5</v>
      </c>
      <c r="B372" s="32">
        <v>46170</v>
      </c>
      <c r="C372" s="36" t="s">
        <v>146</v>
      </c>
      <c r="D372" s="43">
        <v>1</v>
      </c>
      <c r="E372" s="48" t="s">
        <v>461</v>
      </c>
      <c r="F372" s="48" t="s">
        <v>555</v>
      </c>
      <c r="G372" s="49">
        <f>IFERROR(VLOOKUP(C372,PROD!$A$2:$E$1204,5,0),"0")</f>
        <v>7.0000000000000007E-2</v>
      </c>
      <c r="H372" s="10">
        <f>Table_246[[#This Row],[QT]]*Table_246[[#This Row],[Custo 
Un]]</f>
        <v>7.0000000000000007E-2</v>
      </c>
      <c r="I372" s="52">
        <v>1</v>
      </c>
      <c r="J372" s="263">
        <f t="shared" si="19"/>
        <v>1</v>
      </c>
      <c r="K372" s="10">
        <f t="shared" si="18"/>
        <v>1</v>
      </c>
      <c r="L372" s="50">
        <f>Table_246[[#This Row],[Valor da 
venda]]-Table_246[[#This Row],[Valor gasto]]</f>
        <v>0.92999999999999994</v>
      </c>
      <c r="M372" s="111">
        <f t="shared" si="20"/>
        <v>0.92999999999999994</v>
      </c>
      <c r="N372" s="52" t="s">
        <v>20</v>
      </c>
      <c r="O372" s="114" t="str">
        <f>IF([1]!Table_246[[#This Row],[Coluna2]]&gt;0.5, "🔥 Excelente", IF([1]!Table_246[[#This Row],[Coluna2]]&gt;0.4, "👍 Bom", "⚠️ Baixo"))</f>
        <v>⚠️ Baixo</v>
      </c>
    </row>
    <row r="373" spans="1:15" ht="15" customHeight="1">
      <c r="A373" s="28">
        <f>IF(Table_246[[#This Row],[Data]]="","",MONTH(Table_246[[#This Row],[Data]]))</f>
        <v>5</v>
      </c>
      <c r="B373" s="32">
        <v>46171</v>
      </c>
      <c r="C373" s="36" t="s">
        <v>2270</v>
      </c>
      <c r="D373" s="43">
        <v>1</v>
      </c>
      <c r="E373" s="48" t="s">
        <v>821</v>
      </c>
      <c r="F373" s="48" t="s">
        <v>555</v>
      </c>
      <c r="G373" s="49">
        <v>3.5</v>
      </c>
      <c r="H373" s="10">
        <f>Table_246[[#This Row],[QT]]*Table_246[[#This Row],[Custo 
Un]]</f>
        <v>3.5</v>
      </c>
      <c r="I373" s="52">
        <v>10</v>
      </c>
      <c r="J373" s="263">
        <f t="shared" si="19"/>
        <v>10</v>
      </c>
      <c r="K373" s="10">
        <f t="shared" ref="K373:K431" si="21">I373*D373</f>
        <v>10</v>
      </c>
      <c r="L373" s="50">
        <f>Table_246[[#This Row],[Valor da 
venda]]-Table_246[[#This Row],[Valor gasto]]</f>
        <v>6.5</v>
      </c>
      <c r="M373" s="111">
        <f t="shared" si="20"/>
        <v>0.65</v>
      </c>
      <c r="N373" s="52" t="s">
        <v>20</v>
      </c>
      <c r="O373" s="114" t="str">
        <f>IF([1]!Table_246[[#This Row],[Coluna2]]&gt;0.5, "🔥 Excelente", IF([1]!Table_246[[#This Row],[Coluna2]]&gt;0.4, "👍 Bom", "⚠️ Baixo"))</f>
        <v>⚠️ Baixo</v>
      </c>
    </row>
    <row r="374" spans="1:15" ht="15" customHeight="1">
      <c r="A374" s="28">
        <f>IF(Table_246[[#This Row],[Data]]="","",MONTH(Table_246[[#This Row],[Data]]))</f>
        <v>5</v>
      </c>
      <c r="B374" s="32">
        <v>46172</v>
      </c>
      <c r="C374" s="36" t="s">
        <v>2270</v>
      </c>
      <c r="D374" s="43">
        <v>1</v>
      </c>
      <c r="E374" s="48" t="s">
        <v>239</v>
      </c>
      <c r="F374" s="48" t="s">
        <v>555</v>
      </c>
      <c r="G374" s="49">
        <v>3.5</v>
      </c>
      <c r="H374" s="10">
        <f>Table_246[[#This Row],[QT]]*Table_246[[#This Row],[Custo 
Un]]</f>
        <v>3.5</v>
      </c>
      <c r="I374" s="52">
        <v>10</v>
      </c>
      <c r="J374" s="263">
        <f t="shared" si="19"/>
        <v>10</v>
      </c>
      <c r="K374" s="10">
        <f t="shared" si="21"/>
        <v>10</v>
      </c>
      <c r="L374" s="50">
        <f>Table_246[[#This Row],[Valor da 
venda]]-Table_246[[#This Row],[Valor gasto]]</f>
        <v>6.5</v>
      </c>
      <c r="M374" s="111">
        <f t="shared" si="20"/>
        <v>0.65</v>
      </c>
      <c r="N374" s="52" t="s">
        <v>993</v>
      </c>
      <c r="O374" s="114" t="str">
        <f>IF([1]!Table_246[[#This Row],[Coluna2]]&gt;0.5, "🔥 Excelente", IF([1]!Table_246[[#This Row],[Coluna2]]&gt;0.4, "👍 Bom", "⚠️ Baixo"))</f>
        <v>⚠️ Baixo</v>
      </c>
    </row>
    <row r="375" spans="1:15" ht="15" customHeight="1">
      <c r="A375" s="28">
        <f>IF(Table_246[[#This Row],[Data]]="","",MONTH(Table_246[[#This Row],[Data]]))</f>
        <v>5</v>
      </c>
      <c r="B375" s="32">
        <v>46173</v>
      </c>
      <c r="C375" s="36" t="s">
        <v>2271</v>
      </c>
      <c r="D375" s="43">
        <v>1</v>
      </c>
      <c r="E375" s="48" t="s">
        <v>1008</v>
      </c>
      <c r="F375" s="48" t="s">
        <v>555</v>
      </c>
      <c r="G375" s="49">
        <v>3</v>
      </c>
      <c r="H375" s="10">
        <f>Table_246[[#This Row],[QT]]*Table_246[[#This Row],[Custo 
Un]]</f>
        <v>3</v>
      </c>
      <c r="I375" s="52">
        <v>5</v>
      </c>
      <c r="J375" s="263">
        <f t="shared" si="19"/>
        <v>5</v>
      </c>
      <c r="K375" s="10">
        <f t="shared" si="21"/>
        <v>5</v>
      </c>
      <c r="L375" s="50">
        <f>Table_246[[#This Row],[Valor da 
venda]]-Table_246[[#This Row],[Valor gasto]]</f>
        <v>2</v>
      </c>
      <c r="M375" s="111">
        <f t="shared" si="20"/>
        <v>0.4</v>
      </c>
      <c r="N375" s="52" t="s">
        <v>20</v>
      </c>
      <c r="O375" s="114" t="str">
        <f>IF([1]!Table_246[[#This Row],[Coluna2]]&gt;0.5, "🔥 Excelente", IF([1]!Table_246[[#This Row],[Coluna2]]&gt;0.4, "👍 Bom", "⚠️ Baixo"))</f>
        <v>⚠️ Baixo</v>
      </c>
    </row>
    <row r="376" spans="1:15" ht="15" customHeight="1">
      <c r="A376" s="28">
        <f>IF(Table_246[[#This Row],[Data]]="","",MONTH(Table_246[[#This Row],[Data]]))</f>
        <v>6</v>
      </c>
      <c r="B376" s="32">
        <v>46174</v>
      </c>
      <c r="C376" s="36" t="s">
        <v>2220</v>
      </c>
      <c r="D376" s="43">
        <v>1</v>
      </c>
      <c r="E376" s="48" t="s">
        <v>1008</v>
      </c>
      <c r="F376" s="48" t="s">
        <v>555</v>
      </c>
      <c r="G376" s="49">
        <v>20</v>
      </c>
      <c r="H376" s="10">
        <f>Table_246[[#This Row],[QT]]*Table_246[[#This Row],[Custo 
Un]]</f>
        <v>20</v>
      </c>
      <c r="I376" s="52">
        <v>40</v>
      </c>
      <c r="J376" s="263">
        <f t="shared" si="19"/>
        <v>40</v>
      </c>
      <c r="K376" s="10">
        <f t="shared" si="21"/>
        <v>40</v>
      </c>
      <c r="L376" s="50">
        <f>Table_246[[#This Row],[Valor da 
venda]]-Table_246[[#This Row],[Valor gasto]]</f>
        <v>20</v>
      </c>
      <c r="M376" s="111">
        <f t="shared" si="20"/>
        <v>0.5</v>
      </c>
      <c r="N376" s="52" t="s">
        <v>20</v>
      </c>
      <c r="O376" s="114" t="str">
        <f>IF([1]!Table_246[[#This Row],[Coluna2]]&gt;0.5, "🔥 Excelente", IF([1]!Table_246[[#This Row],[Coluna2]]&gt;0.4, "👍 Bom", "⚠️ Baixo"))</f>
        <v>⚠️ Baixo</v>
      </c>
    </row>
    <row r="377" spans="1:15" ht="15" customHeight="1">
      <c r="A377" s="28">
        <f>IF(Table_246[[#This Row],[Data]]="","",MONTH(Table_246[[#This Row],[Data]]))</f>
        <v>6</v>
      </c>
      <c r="B377" s="32">
        <v>46175</v>
      </c>
      <c r="C377" s="36" t="s">
        <v>2207</v>
      </c>
      <c r="D377" s="43">
        <v>1</v>
      </c>
      <c r="E377" s="48" t="s">
        <v>1008</v>
      </c>
      <c r="F377" s="48" t="s">
        <v>555</v>
      </c>
      <c r="G377" s="49">
        <v>10</v>
      </c>
      <c r="H377" s="10">
        <f>Table_246[[#This Row],[QT]]*Table_246[[#This Row],[Custo 
Un]]</f>
        <v>10</v>
      </c>
      <c r="I377" s="52">
        <v>25</v>
      </c>
      <c r="J377" s="263">
        <f t="shared" si="19"/>
        <v>25</v>
      </c>
      <c r="K377" s="10">
        <f t="shared" si="21"/>
        <v>25</v>
      </c>
      <c r="L377" s="50">
        <f>Table_246[[#This Row],[Valor da 
venda]]-Table_246[[#This Row],[Valor gasto]]</f>
        <v>15</v>
      </c>
      <c r="M377" s="111">
        <f t="shared" si="20"/>
        <v>0.6</v>
      </c>
      <c r="N377" s="52" t="s">
        <v>20</v>
      </c>
      <c r="O377" s="114" t="str">
        <f>IF([1]!Table_246[[#This Row],[Coluna2]]&gt;0.5, "🔥 Excelente", IF([1]!Table_246[[#This Row],[Coluna2]]&gt;0.4, "👍 Bom", "⚠️ Baixo"))</f>
        <v>⚠️ Baixo</v>
      </c>
    </row>
    <row r="378" spans="1:15" ht="15" customHeight="1">
      <c r="A378" s="28">
        <f>IF(Table_246[[#This Row],[Data]]="","",MONTH(Table_246[[#This Row],[Data]]))</f>
        <v>6</v>
      </c>
      <c r="B378" s="32">
        <v>46176</v>
      </c>
      <c r="C378" s="36" t="s">
        <v>957</v>
      </c>
      <c r="D378" s="43">
        <v>1</v>
      </c>
      <c r="E378" s="48" t="s">
        <v>2273</v>
      </c>
      <c r="F378" s="48" t="s">
        <v>555</v>
      </c>
      <c r="G378" s="49">
        <v>4</v>
      </c>
      <c r="H378" s="10">
        <f>Table_246[[#This Row],[QT]]*Table_246[[#This Row],[Custo 
Un]]</f>
        <v>4</v>
      </c>
      <c r="I378" s="52">
        <v>15</v>
      </c>
      <c r="J378" s="263">
        <f t="shared" si="19"/>
        <v>15</v>
      </c>
      <c r="K378" s="10">
        <f t="shared" si="21"/>
        <v>15</v>
      </c>
      <c r="L378" s="50">
        <f>Table_246[[#This Row],[Valor da 
venda]]-Table_246[[#This Row],[Valor gasto]]</f>
        <v>11</v>
      </c>
      <c r="M378" s="111">
        <f t="shared" si="20"/>
        <v>0.73333333333333328</v>
      </c>
      <c r="N378" s="52" t="s">
        <v>20</v>
      </c>
      <c r="O378" s="114" t="str">
        <f>IF([1]!Table_246[[#This Row],[Coluna2]]&gt;0.5, "🔥 Excelente", IF([1]!Table_246[[#This Row],[Coluna2]]&gt;0.4, "👍 Bom", "⚠️ Baixo"))</f>
        <v>⚠️ Baixo</v>
      </c>
    </row>
    <row r="379" spans="1:15" ht="15" customHeight="1">
      <c r="A379" s="28">
        <f>IF(Table_246[[#This Row],[Data]]="","",MONTH(Table_246[[#This Row],[Data]]))</f>
        <v>6</v>
      </c>
      <c r="B379" s="32">
        <v>46176</v>
      </c>
      <c r="C379" s="36" t="s">
        <v>2035</v>
      </c>
      <c r="D379" s="43">
        <v>1</v>
      </c>
      <c r="E379" s="48" t="s">
        <v>1008</v>
      </c>
      <c r="F379" s="48" t="s">
        <v>555</v>
      </c>
      <c r="G379" s="49" t="str">
        <f>IFERROR(VLOOKUP(C379,PROD!$A$2:$E$1204,5,0),"0")</f>
        <v>0</v>
      </c>
      <c r="H379" s="10">
        <f>Table_246[[#This Row],[QT]]*Table_246[[#This Row],[Custo 
Un]]</f>
        <v>0</v>
      </c>
      <c r="I379" s="52">
        <v>70</v>
      </c>
      <c r="J379" s="263">
        <f t="shared" si="19"/>
        <v>70</v>
      </c>
      <c r="K379" s="10">
        <f t="shared" si="21"/>
        <v>70</v>
      </c>
      <c r="L379" s="50">
        <f>Table_246[[#This Row],[Valor da 
venda]]-Table_246[[#This Row],[Valor gasto]]</f>
        <v>70</v>
      </c>
      <c r="M379" s="111">
        <f t="shared" si="20"/>
        <v>1</v>
      </c>
      <c r="N379" s="52" t="s">
        <v>20</v>
      </c>
      <c r="O379" s="114" t="str">
        <f>IF([1]!Table_246[[#This Row],[Coluna2]]&gt;0.5, "🔥 Excelente", IF([1]!Table_246[[#This Row],[Coluna2]]&gt;0.4, "👍 Bom", "⚠️ Baixo"))</f>
        <v>⚠️ Baixo</v>
      </c>
    </row>
    <row r="380" spans="1:15" ht="15" customHeight="1">
      <c r="A380" s="28">
        <f>IF(Table_246[[#This Row],[Data]]="","",MONTH(Table_246[[#This Row],[Data]]))</f>
        <v>6</v>
      </c>
      <c r="B380" s="32">
        <v>46176</v>
      </c>
      <c r="C380" s="36" t="s">
        <v>2272</v>
      </c>
      <c r="D380" s="43">
        <v>1</v>
      </c>
      <c r="E380" s="48" t="s">
        <v>1008</v>
      </c>
      <c r="F380" s="48" t="s">
        <v>555</v>
      </c>
      <c r="G380" s="49" t="str">
        <f>IFERROR(VLOOKUP(C380,PROD!$A$2:$E$1204,5,0),"0")</f>
        <v>0</v>
      </c>
      <c r="H380" s="10">
        <f>Table_246[[#This Row],[QT]]*Table_246[[#This Row],[Custo 
Un]]</f>
        <v>0</v>
      </c>
      <c r="I380" s="52">
        <v>2</v>
      </c>
      <c r="J380" s="263">
        <f t="shared" si="19"/>
        <v>2</v>
      </c>
      <c r="K380" s="10">
        <f t="shared" si="21"/>
        <v>2</v>
      </c>
      <c r="L380" s="50">
        <f>Table_246[[#This Row],[Valor da 
venda]]-Table_246[[#This Row],[Valor gasto]]</f>
        <v>2</v>
      </c>
      <c r="M380" s="111">
        <f t="shared" si="20"/>
        <v>1</v>
      </c>
      <c r="N380" s="52" t="s">
        <v>20</v>
      </c>
      <c r="O380" s="114" t="str">
        <f>IF([1]!Table_246[[#This Row],[Coluna2]]&gt;0.5, "🔥 Excelente", IF([1]!Table_246[[#This Row],[Coluna2]]&gt;0.4, "👍 Bom", "⚠️ Baixo"))</f>
        <v>⚠️ Baixo</v>
      </c>
    </row>
    <row r="381" spans="1:15" ht="15" customHeight="1">
      <c r="A381" s="28">
        <f>IF(Table_246[[#This Row],[Data]]="","",MONTH(Table_246[[#This Row],[Data]]))</f>
        <v>6</v>
      </c>
      <c r="B381" s="32">
        <v>46177</v>
      </c>
      <c r="C381" s="36" t="s">
        <v>2278</v>
      </c>
      <c r="D381" s="43">
        <v>1</v>
      </c>
      <c r="E381" s="48" t="s">
        <v>1008</v>
      </c>
      <c r="F381" s="48" t="s">
        <v>555</v>
      </c>
      <c r="G381" s="49" t="str">
        <f>IFERROR(VLOOKUP(C381,PROD!$A$2:$E$1204,5,0),"0")</f>
        <v>0</v>
      </c>
      <c r="H381" s="10">
        <f>Table_246[[#This Row],[QT]]*Table_246[[#This Row],[Custo 
Un]]</f>
        <v>0</v>
      </c>
      <c r="I381" s="52">
        <v>10</v>
      </c>
      <c r="J381" s="263">
        <f t="shared" si="19"/>
        <v>10</v>
      </c>
      <c r="K381" s="10">
        <f t="shared" si="21"/>
        <v>10</v>
      </c>
      <c r="L381" s="50">
        <f>Table_246[[#This Row],[Valor da 
venda]]-Table_246[[#This Row],[Valor gasto]]</f>
        <v>10</v>
      </c>
      <c r="M381" s="111">
        <f t="shared" si="20"/>
        <v>1</v>
      </c>
      <c r="N381" s="52" t="s">
        <v>20</v>
      </c>
      <c r="O381" s="114" t="str">
        <f>IF([1]!Table_246[[#This Row],[Coluna2]]&gt;0.5, "🔥 Excelente", IF([1]!Table_246[[#This Row],[Coluna2]]&gt;0.4, "👍 Bom", "⚠️ Baixo"))</f>
        <v>⚠️ Baixo</v>
      </c>
    </row>
    <row r="382" spans="1:15" ht="15" customHeight="1">
      <c r="A382" s="28">
        <f>IF(Table_246[[#This Row],[Data]]="","",MONTH(Table_246[[#This Row],[Data]]))</f>
        <v>6</v>
      </c>
      <c r="B382" s="32">
        <v>46178</v>
      </c>
      <c r="C382" s="36" t="s">
        <v>2279</v>
      </c>
      <c r="D382" s="43">
        <v>2</v>
      </c>
      <c r="E382" s="48" t="s">
        <v>1008</v>
      </c>
      <c r="F382" s="48" t="s">
        <v>555</v>
      </c>
      <c r="G382" s="49" t="str">
        <f>IFERROR(VLOOKUP(C382,PROD!$A$2:$E$1204,5,0),"0")</f>
        <v>0</v>
      </c>
      <c r="H382" s="10">
        <f>Table_246[[#This Row],[QT]]*Table_246[[#This Row],[Custo 
Un]]</f>
        <v>0</v>
      </c>
      <c r="I382" s="52">
        <v>5</v>
      </c>
      <c r="J382" s="263">
        <f t="shared" si="19"/>
        <v>10</v>
      </c>
      <c r="K382" s="10">
        <f t="shared" si="21"/>
        <v>10</v>
      </c>
      <c r="L382" s="50">
        <f>Table_246[[#This Row],[Valor da 
venda]]-Table_246[[#This Row],[Valor gasto]]</f>
        <v>10</v>
      </c>
      <c r="M382" s="111">
        <f t="shared" si="20"/>
        <v>1</v>
      </c>
      <c r="N382" s="52" t="s">
        <v>20</v>
      </c>
      <c r="O382" s="114" t="str">
        <f>IF([1]!Table_246[[#This Row],[Coluna2]]&gt;0.5, "🔥 Excelente", IF([1]!Table_246[[#This Row],[Coluna2]]&gt;0.4, "👍 Bom", "⚠️ Baixo"))</f>
        <v>⚠️ Baixo</v>
      </c>
    </row>
    <row r="383" spans="1:15" ht="15" customHeight="1">
      <c r="A383" s="28">
        <f>IF(Table_246[[#This Row],[Data]]="","",MONTH(Table_246[[#This Row],[Data]]))</f>
        <v>6</v>
      </c>
      <c r="B383" s="32">
        <v>46178</v>
      </c>
      <c r="C383" s="36" t="s">
        <v>2281</v>
      </c>
      <c r="D383" s="43">
        <v>1</v>
      </c>
      <c r="E383" s="48" t="s">
        <v>2280</v>
      </c>
      <c r="F383" s="48" t="s">
        <v>22</v>
      </c>
      <c r="G383" s="49">
        <v>650</v>
      </c>
      <c r="H383" s="10">
        <f>Table_246[[#This Row],[QT]]*Table_246[[#This Row],[Custo 
Un]]</f>
        <v>650</v>
      </c>
      <c r="I383" s="52">
        <v>945.51</v>
      </c>
      <c r="J383" s="263">
        <f t="shared" si="19"/>
        <v>945.51</v>
      </c>
      <c r="K383" s="10">
        <f t="shared" si="21"/>
        <v>945.51</v>
      </c>
      <c r="L383" s="50">
        <f>Table_246[[#This Row],[Valor da 
venda]]-Table_246[[#This Row],[Valor gasto]]</f>
        <v>295.51</v>
      </c>
      <c r="M383" s="111">
        <f t="shared" si="20"/>
        <v>0.31254032215418132</v>
      </c>
      <c r="N383" s="52" t="s">
        <v>20</v>
      </c>
      <c r="O383" s="114" t="str">
        <f>IF([1]!Table_246[[#This Row],[Coluna2]]&gt;0.5, "🔥 Excelente", IF([1]!Table_246[[#This Row],[Coluna2]]&gt;0.4, "👍 Bom", "⚠️ Baixo"))</f>
        <v>⚠️ Baixo</v>
      </c>
    </row>
    <row r="384" spans="1:15" ht="15" customHeight="1">
      <c r="A384" s="28">
        <f>IF(Table_246[[#This Row],[Data]]="","",MONTH(Table_246[[#This Row],[Data]]))</f>
        <v>6</v>
      </c>
      <c r="B384" s="32">
        <v>46178</v>
      </c>
      <c r="C384" s="36" t="s">
        <v>2281</v>
      </c>
      <c r="D384" s="43">
        <v>1</v>
      </c>
      <c r="E384" s="48" t="s">
        <v>2282</v>
      </c>
      <c r="F384" s="48" t="s">
        <v>22</v>
      </c>
      <c r="G384" s="49">
        <v>650</v>
      </c>
      <c r="H384" s="10">
        <f>Table_246[[#This Row],[QT]]*Table_246[[#This Row],[Custo 
Un]]</f>
        <v>650</v>
      </c>
      <c r="I384" s="52">
        <v>945.51</v>
      </c>
      <c r="J384" s="263">
        <f t="shared" si="19"/>
        <v>945.51</v>
      </c>
      <c r="K384" s="10">
        <f t="shared" si="21"/>
        <v>945.51</v>
      </c>
      <c r="L384" s="50">
        <f>Table_246[[#This Row],[Valor da 
venda]]-Table_246[[#This Row],[Valor gasto]]</f>
        <v>295.51</v>
      </c>
      <c r="M384" s="111">
        <f t="shared" si="20"/>
        <v>0.31254032215418132</v>
      </c>
      <c r="N384" s="52" t="s">
        <v>20</v>
      </c>
      <c r="O384" s="114" t="str">
        <f>IF([1]!Table_246[[#This Row],[Coluna2]]&gt;0.5, "🔥 Excelente", IF([1]!Table_246[[#This Row],[Coluna2]]&gt;0.4, "👍 Bom", "⚠️ Baixo"))</f>
        <v>⚠️ Baixo</v>
      </c>
    </row>
    <row r="385" spans="1:15" ht="15" customHeight="1">
      <c r="A385" s="28">
        <f>IF(Table_246[[#This Row],[Data]]="","",MONTH(Table_246[[#This Row],[Data]]))</f>
        <v>6</v>
      </c>
      <c r="B385" s="32">
        <v>46178</v>
      </c>
      <c r="C385" s="109" t="s">
        <v>1047</v>
      </c>
      <c r="D385" s="43">
        <v>1</v>
      </c>
      <c r="E385" s="48" t="s">
        <v>2283</v>
      </c>
      <c r="F385" s="48" t="s">
        <v>22</v>
      </c>
      <c r="G385" s="49">
        <f>IFERROR(VLOOKUP(C385,PROD!$A$2:$E$1204,5,0),"0")</f>
        <v>0.7</v>
      </c>
      <c r="H385" s="10">
        <f>Table_246[[#This Row],[QT]]*Table_246[[#This Row],[Custo 
Un]]</f>
        <v>0.7</v>
      </c>
      <c r="I385" s="52">
        <v>8.64</v>
      </c>
      <c r="J385" s="263">
        <f t="shared" si="19"/>
        <v>8.64</v>
      </c>
      <c r="K385" s="10">
        <f t="shared" si="21"/>
        <v>8.64</v>
      </c>
      <c r="L385" s="50">
        <f>Table_246[[#This Row],[Valor da 
venda]]-Table_246[[#This Row],[Valor gasto]]</f>
        <v>7.94</v>
      </c>
      <c r="M385" s="111">
        <f t="shared" si="20"/>
        <v>0.91898148148148151</v>
      </c>
      <c r="N385" s="52" t="s">
        <v>20</v>
      </c>
      <c r="O385" s="114" t="str">
        <f>IF([1]!Table_246[[#This Row],[Coluna2]]&gt;0.5, "🔥 Excelente", IF([1]!Table_246[[#This Row],[Coluna2]]&gt;0.4, "👍 Bom", "⚠️ Baixo"))</f>
        <v>⚠️ Baixo</v>
      </c>
    </row>
    <row r="386" spans="1:15" ht="15" customHeight="1">
      <c r="A386" s="28">
        <f>IF(Table_246[[#This Row],[Data]]="","",MONTH(Table_246[[#This Row],[Data]]))</f>
        <v>6</v>
      </c>
      <c r="B386" s="32">
        <v>46178</v>
      </c>
      <c r="C386" s="109" t="s">
        <v>1047</v>
      </c>
      <c r="D386" s="43">
        <v>1</v>
      </c>
      <c r="E386" s="48" t="s">
        <v>2284</v>
      </c>
      <c r="F386" s="48" t="s">
        <v>22</v>
      </c>
      <c r="G386" s="49">
        <f>IFERROR(VLOOKUP(C386,PROD!$A$2:$E$1204,5,0),"0")</f>
        <v>0.7</v>
      </c>
      <c r="H386" s="10">
        <f>Table_246[[#This Row],[QT]]*Table_246[[#This Row],[Custo 
Un]]</f>
        <v>0.7</v>
      </c>
      <c r="I386" s="52">
        <v>7.88</v>
      </c>
      <c r="J386" s="263">
        <f t="shared" ref="J386:J431" si="22">I386*D386</f>
        <v>7.88</v>
      </c>
      <c r="K386" s="10">
        <f t="shared" si="21"/>
        <v>7.88</v>
      </c>
      <c r="L386" s="50">
        <f>Table_246[[#This Row],[Valor da 
venda]]-Table_246[[#This Row],[Valor gasto]]</f>
        <v>7.18</v>
      </c>
      <c r="M386" s="111">
        <f t="shared" ref="M386:M449" si="23">IFERROR(L386/K386, 0)</f>
        <v>0.91116751269035534</v>
      </c>
      <c r="N386" s="52" t="s">
        <v>20</v>
      </c>
      <c r="O386" s="114" t="str">
        <f>IF([1]!Table_246[[#This Row],[Coluna2]]&gt;0.5, "🔥 Excelente", IF([1]!Table_246[[#This Row],[Coluna2]]&gt;0.4, "👍 Bom", "⚠️ Baixo"))</f>
        <v>⚠️ Baixo</v>
      </c>
    </row>
    <row r="387" spans="1:15" ht="15" customHeight="1">
      <c r="A387" s="28">
        <f>IF(Table_246[[#This Row],[Data]]="","",MONTH(Table_246[[#This Row],[Data]]))</f>
        <v>6</v>
      </c>
      <c r="B387" s="32">
        <v>46178</v>
      </c>
      <c r="C387" s="36" t="s">
        <v>2286</v>
      </c>
      <c r="D387" s="43">
        <v>1</v>
      </c>
      <c r="E387" s="48" t="s">
        <v>2285</v>
      </c>
      <c r="F387" s="48" t="s">
        <v>22</v>
      </c>
      <c r="G387" s="49">
        <f>IFERROR(VLOOKUP(C387,PROD!$A$2:$E$1204,5,0),"0")</f>
        <v>1</v>
      </c>
      <c r="H387" s="10">
        <f>Table_246[[#This Row],[QT]]*Table_246[[#This Row],[Custo 
Un]]</f>
        <v>1</v>
      </c>
      <c r="I387" s="52">
        <v>24.75</v>
      </c>
      <c r="J387" s="263">
        <f t="shared" si="22"/>
        <v>24.75</v>
      </c>
      <c r="K387" s="10">
        <f t="shared" si="21"/>
        <v>24.75</v>
      </c>
      <c r="L387" s="50">
        <f>Table_246[[#This Row],[Valor da 
venda]]-Table_246[[#This Row],[Valor gasto]]</f>
        <v>23.75</v>
      </c>
      <c r="M387" s="111">
        <f t="shared" si="23"/>
        <v>0.95959595959595956</v>
      </c>
      <c r="N387" s="52" t="s">
        <v>20</v>
      </c>
      <c r="O387" s="114" t="str">
        <f>IF([1]!Table_246[[#This Row],[Coluna2]]&gt;0.5, "🔥 Excelente", IF([1]!Table_246[[#This Row],[Coluna2]]&gt;0.4, "👍 Bom", "⚠️ Baixo"))</f>
        <v>⚠️ Baixo</v>
      </c>
    </row>
    <row r="388" spans="1:15" ht="15" customHeight="1">
      <c r="A388" s="28">
        <f>IF(Table_246[[#This Row],[Data]]="","",MONTH(Table_246[[#This Row],[Data]]))</f>
        <v>6</v>
      </c>
      <c r="B388" s="32">
        <v>46178</v>
      </c>
      <c r="C388" s="36" t="s">
        <v>2305</v>
      </c>
      <c r="D388" s="43">
        <v>1</v>
      </c>
      <c r="E388" s="48" t="s">
        <v>2287</v>
      </c>
      <c r="F388" s="48" t="s">
        <v>22</v>
      </c>
      <c r="G388" s="49">
        <v>350</v>
      </c>
      <c r="H388" s="10">
        <f>Table_246[[#This Row],[QT]]*Table_246[[#This Row],[Custo 
Un]]</f>
        <v>350</v>
      </c>
      <c r="I388" s="52">
        <v>394.71</v>
      </c>
      <c r="J388" s="263">
        <f t="shared" si="22"/>
        <v>394.71</v>
      </c>
      <c r="K388" s="10">
        <f t="shared" si="21"/>
        <v>394.71</v>
      </c>
      <c r="L388" s="50">
        <f>Table_246[[#This Row],[Valor da 
venda]]-Table_246[[#This Row],[Valor gasto]]</f>
        <v>44.70999999999998</v>
      </c>
      <c r="M388" s="111">
        <f t="shared" si="23"/>
        <v>0.11327303589977447</v>
      </c>
      <c r="N388" s="52" t="s">
        <v>20</v>
      </c>
      <c r="O388" s="114" t="str">
        <f>IF([1]!Table_246[[#This Row],[Coluna2]]&gt;0.5, "🔥 Excelente", IF([1]!Table_246[[#This Row],[Coluna2]]&gt;0.4, "👍 Bom", "⚠️ Baixo"))</f>
        <v>⚠️ Baixo</v>
      </c>
    </row>
    <row r="389" spans="1:15" ht="15" customHeight="1">
      <c r="A389" s="28">
        <f>IF(Table_246[[#This Row],[Data]]="","",MONTH(Table_246[[#This Row],[Data]]))</f>
        <v>6</v>
      </c>
      <c r="B389" s="32">
        <v>46178</v>
      </c>
      <c r="C389" s="36" t="s">
        <v>2286</v>
      </c>
      <c r="D389" s="43">
        <v>1</v>
      </c>
      <c r="E389" s="48" t="s">
        <v>2288</v>
      </c>
      <c r="F389" s="48" t="s">
        <v>22</v>
      </c>
      <c r="G389" s="49">
        <f>IFERROR(VLOOKUP(C389,PROD!$A$2:$E$1204,5,0),"0")</f>
        <v>1</v>
      </c>
      <c r="H389" s="10">
        <f>Table_246[[#This Row],[QT]]*Table_246[[#This Row],[Custo 
Un]]</f>
        <v>1</v>
      </c>
      <c r="I389" s="52">
        <v>24.75</v>
      </c>
      <c r="J389" s="263">
        <f t="shared" si="22"/>
        <v>24.75</v>
      </c>
      <c r="K389" s="10">
        <f t="shared" si="21"/>
        <v>24.75</v>
      </c>
      <c r="L389" s="50">
        <f>Table_246[[#This Row],[Valor da 
venda]]-Table_246[[#This Row],[Valor gasto]]</f>
        <v>23.75</v>
      </c>
      <c r="M389" s="111">
        <f t="shared" si="23"/>
        <v>0.95959595959595956</v>
      </c>
      <c r="N389" s="52" t="s">
        <v>993</v>
      </c>
      <c r="O389" s="114" t="str">
        <f>IF([1]!Table_246[[#This Row],[Coluna2]]&gt;0.5, "🔥 Excelente", IF([1]!Table_246[[#This Row],[Coluna2]]&gt;0.4, "👍 Bom", "⚠️ Baixo"))</f>
        <v>⚠️ Baixo</v>
      </c>
    </row>
    <row r="390" spans="1:15" ht="15" customHeight="1">
      <c r="A390" s="28">
        <f>IF(Table_246[[#This Row],[Data]]="","",MONTH(Table_246[[#This Row],[Data]]))</f>
        <v>6</v>
      </c>
      <c r="B390" s="32">
        <v>46178</v>
      </c>
      <c r="C390" s="36" t="s">
        <v>2286</v>
      </c>
      <c r="D390" s="43">
        <v>1</v>
      </c>
      <c r="E390" s="48" t="s">
        <v>2289</v>
      </c>
      <c r="F390" s="48" t="s">
        <v>22</v>
      </c>
      <c r="G390" s="49">
        <f>IFERROR(VLOOKUP(C390,PROD!$A$2:$E$1204,5,0),"0")</f>
        <v>1</v>
      </c>
      <c r="H390" s="10">
        <f>Table_246[[#This Row],[QT]]*Table_246[[#This Row],[Custo 
Un]]</f>
        <v>1</v>
      </c>
      <c r="I390" s="52">
        <v>24.75</v>
      </c>
      <c r="J390" s="263">
        <f t="shared" si="22"/>
        <v>24.75</v>
      </c>
      <c r="K390" s="10">
        <f t="shared" si="21"/>
        <v>24.75</v>
      </c>
      <c r="L390" s="50">
        <f>Table_246[[#This Row],[Valor da 
venda]]-Table_246[[#This Row],[Valor gasto]]</f>
        <v>23.75</v>
      </c>
      <c r="M390" s="111">
        <f t="shared" si="23"/>
        <v>0.95959595959595956</v>
      </c>
      <c r="N390" s="52" t="s">
        <v>993</v>
      </c>
      <c r="O390" s="114" t="str">
        <f>IF([1]!Table_246[[#This Row],[Coluna2]]&gt;0.5, "🔥 Excelente", IF([1]!Table_246[[#This Row],[Coluna2]]&gt;0.4, "👍 Bom", "⚠️ Baixo"))</f>
        <v>⚠️ Baixo</v>
      </c>
    </row>
    <row r="391" spans="1:15" ht="15" customHeight="1">
      <c r="A391" s="28">
        <f>IF(Table_246[[#This Row],[Data]]="","",MONTH(Table_246[[#This Row],[Data]]))</f>
        <v>6</v>
      </c>
      <c r="B391" s="32">
        <v>46178</v>
      </c>
      <c r="C391" s="109" t="s">
        <v>1047</v>
      </c>
      <c r="D391" s="43">
        <v>1</v>
      </c>
      <c r="E391" s="48" t="s">
        <v>2290</v>
      </c>
      <c r="F391" s="48" t="s">
        <v>22</v>
      </c>
      <c r="G391" s="49">
        <f>IFERROR(VLOOKUP(C391,PROD!$A$2:$E$1204,5,0),"0")</f>
        <v>0.7</v>
      </c>
      <c r="H391" s="10">
        <f>Table_246[[#This Row],[QT]]*Table_246[[#This Row],[Custo 
Un]]</f>
        <v>0.7</v>
      </c>
      <c r="I391" s="52">
        <v>7.88</v>
      </c>
      <c r="J391" s="263">
        <f t="shared" si="22"/>
        <v>7.88</v>
      </c>
      <c r="K391" s="10">
        <f t="shared" si="21"/>
        <v>7.88</v>
      </c>
      <c r="L391" s="50">
        <f>Table_246[[#This Row],[Valor da 
venda]]-Table_246[[#This Row],[Valor gasto]]</f>
        <v>7.18</v>
      </c>
      <c r="M391" s="111">
        <f t="shared" si="23"/>
        <v>0.91116751269035534</v>
      </c>
      <c r="N391" s="52" t="s">
        <v>993</v>
      </c>
      <c r="O391" s="114" t="str">
        <f>IF([1]!Table_246[[#This Row],[Coluna2]]&gt;0.5, "🔥 Excelente", IF([1]!Table_246[[#This Row],[Coluna2]]&gt;0.4, "👍 Bom", "⚠️ Baixo"))</f>
        <v>⚠️ Baixo</v>
      </c>
    </row>
    <row r="392" spans="1:15" ht="15" customHeight="1">
      <c r="A392" s="28">
        <f>IF(Table_246[[#This Row],[Data]]="","",MONTH(Table_246[[#This Row],[Data]]))</f>
        <v>6</v>
      </c>
      <c r="B392" s="32">
        <v>46178</v>
      </c>
      <c r="C392" s="36" t="s">
        <v>2286</v>
      </c>
      <c r="D392" s="43">
        <v>1</v>
      </c>
      <c r="E392" s="48" t="s">
        <v>2291</v>
      </c>
      <c r="F392" s="48" t="s">
        <v>22</v>
      </c>
      <c r="G392" s="49">
        <f>IFERROR(VLOOKUP(C392,PROD!$A$2:$E$1204,5,0),"0")</f>
        <v>1</v>
      </c>
      <c r="H392" s="10">
        <f>Table_246[[#This Row],[QT]]*Table_246[[#This Row],[Custo 
Un]]</f>
        <v>1</v>
      </c>
      <c r="I392" s="52">
        <v>24.75</v>
      </c>
      <c r="J392" s="263">
        <f t="shared" si="22"/>
        <v>24.75</v>
      </c>
      <c r="K392" s="10">
        <f t="shared" si="21"/>
        <v>24.75</v>
      </c>
      <c r="L392" s="50">
        <f>Table_246[[#This Row],[Valor da 
venda]]-Table_246[[#This Row],[Valor gasto]]</f>
        <v>23.75</v>
      </c>
      <c r="M392" s="111">
        <f t="shared" si="23"/>
        <v>0.95959595959595956</v>
      </c>
      <c r="N392" s="52" t="s">
        <v>993</v>
      </c>
      <c r="O392" s="114" t="str">
        <f>IF([1]!Table_246[[#This Row],[Coluna2]]&gt;0.5, "🔥 Excelente", IF([1]!Table_246[[#This Row],[Coluna2]]&gt;0.4, "👍 Bom", "⚠️ Baixo"))</f>
        <v>⚠️ Baixo</v>
      </c>
    </row>
    <row r="393" spans="1:15" ht="15" customHeight="1">
      <c r="A393" s="28">
        <f>IF(Table_246[[#This Row],[Data]]="","",MONTH(Table_246[[#This Row],[Data]]))</f>
        <v>6</v>
      </c>
      <c r="B393" s="32">
        <v>46178</v>
      </c>
      <c r="C393" s="36" t="s">
        <v>2286</v>
      </c>
      <c r="D393" s="43">
        <v>1</v>
      </c>
      <c r="E393" s="48" t="s">
        <v>2292</v>
      </c>
      <c r="F393" s="48" t="s">
        <v>22</v>
      </c>
      <c r="G393" s="49">
        <f>IFERROR(VLOOKUP(C393,PROD!$A$2:$E$1204,5,0),"0")</f>
        <v>1</v>
      </c>
      <c r="H393" s="10">
        <f>Table_246[[#This Row],[QT]]*Table_246[[#This Row],[Custo 
Un]]</f>
        <v>1</v>
      </c>
      <c r="I393" s="52">
        <v>24.75</v>
      </c>
      <c r="J393" s="263">
        <f t="shared" si="22"/>
        <v>24.75</v>
      </c>
      <c r="K393" s="10">
        <f t="shared" si="21"/>
        <v>24.75</v>
      </c>
      <c r="L393" s="50">
        <f>Table_246[[#This Row],[Valor da 
venda]]-Table_246[[#This Row],[Valor gasto]]</f>
        <v>23.75</v>
      </c>
      <c r="M393" s="111">
        <f t="shared" si="23"/>
        <v>0.95959595959595956</v>
      </c>
      <c r="N393" s="52" t="s">
        <v>993</v>
      </c>
      <c r="O393" s="114" t="str">
        <f>IF([1]!Table_246[[#This Row],[Coluna2]]&gt;0.5, "🔥 Excelente", IF([1]!Table_246[[#This Row],[Coluna2]]&gt;0.4, "👍 Bom", "⚠️ Baixo"))</f>
        <v>⚠️ Baixo</v>
      </c>
    </row>
    <row r="394" spans="1:15" ht="15" customHeight="1">
      <c r="A394" s="28">
        <f>IF(Table_246[[#This Row],[Data]]="","",MONTH(Table_246[[#This Row],[Data]]))</f>
        <v>6</v>
      </c>
      <c r="B394" s="32">
        <v>46178</v>
      </c>
      <c r="C394" s="109" t="s">
        <v>1047</v>
      </c>
      <c r="D394" s="43">
        <v>10</v>
      </c>
      <c r="E394" s="48" t="s">
        <v>2293</v>
      </c>
      <c r="F394" s="48" t="s">
        <v>22</v>
      </c>
      <c r="G394" s="49">
        <f>IFERROR(VLOOKUP(C394,PROD!$A$2:$E$1204,5,0),"0")</f>
        <v>0.7</v>
      </c>
      <c r="H394" s="10">
        <f>Table_246[[#This Row],[QT]]*Table_246[[#This Row],[Custo 
Un]]</f>
        <v>7</v>
      </c>
      <c r="I394" s="52">
        <f>44.25/10</f>
        <v>4.4249999999999998</v>
      </c>
      <c r="J394" s="263">
        <f t="shared" si="22"/>
        <v>44.25</v>
      </c>
      <c r="K394" s="10">
        <f t="shared" si="21"/>
        <v>44.25</v>
      </c>
      <c r="L394" s="50">
        <f>Table_246[[#This Row],[Valor da 
venda]]-Table_246[[#This Row],[Valor gasto]]</f>
        <v>37.25</v>
      </c>
      <c r="M394" s="111">
        <f t="shared" si="23"/>
        <v>0.84180790960451979</v>
      </c>
      <c r="N394" s="52" t="s">
        <v>993</v>
      </c>
      <c r="O394" s="114" t="str">
        <f>IF([1]!Table_246[[#This Row],[Coluna2]]&gt;0.5, "🔥 Excelente", IF([1]!Table_246[[#This Row],[Coluna2]]&gt;0.4, "👍 Bom", "⚠️ Baixo"))</f>
        <v>⚠️ Baixo</v>
      </c>
    </row>
    <row r="395" spans="1:15" ht="15" customHeight="1">
      <c r="A395" s="28">
        <f>IF(Table_246[[#This Row],[Data]]="","",MONTH(Table_246[[#This Row],[Data]]))</f>
        <v>6</v>
      </c>
      <c r="B395" s="32">
        <v>46178</v>
      </c>
      <c r="C395" s="36" t="s">
        <v>2286</v>
      </c>
      <c r="D395" s="43">
        <v>1</v>
      </c>
      <c r="E395" s="48" t="s">
        <v>2294</v>
      </c>
      <c r="F395" s="48" t="s">
        <v>22</v>
      </c>
      <c r="G395" s="49">
        <f>IFERROR(VLOOKUP(C395,PROD!$A$2:$E$1204,5,0),"0")</f>
        <v>1</v>
      </c>
      <c r="H395" s="10">
        <f>Table_246[[#This Row],[QT]]*Table_246[[#This Row],[Custo 
Un]]</f>
        <v>1</v>
      </c>
      <c r="I395" s="52">
        <v>24.75</v>
      </c>
      <c r="J395" s="263">
        <f t="shared" si="22"/>
        <v>24.75</v>
      </c>
      <c r="K395" s="10">
        <f t="shared" si="21"/>
        <v>24.75</v>
      </c>
      <c r="L395" s="50">
        <f>Table_246[[#This Row],[Valor da 
venda]]-Table_246[[#This Row],[Valor gasto]]</f>
        <v>23.75</v>
      </c>
      <c r="M395" s="111">
        <f t="shared" si="23"/>
        <v>0.95959595959595956</v>
      </c>
      <c r="N395" s="52" t="s">
        <v>993</v>
      </c>
      <c r="O395" s="114" t="str">
        <f>IF([1]!Table_246[[#This Row],[Coluna2]]&gt;0.5, "🔥 Excelente", IF([1]!Table_246[[#This Row],[Coluna2]]&gt;0.4, "👍 Bom", "⚠️ Baixo"))</f>
        <v>⚠️ Baixo</v>
      </c>
    </row>
    <row r="396" spans="1:15" ht="15" customHeight="1">
      <c r="A396" s="28">
        <f>IF(Table_246[[#This Row],[Data]]="","",MONTH(Table_246[[#This Row],[Data]]))</f>
        <v>6</v>
      </c>
      <c r="B396" s="32">
        <v>46178</v>
      </c>
      <c r="C396" s="36" t="s">
        <v>2286</v>
      </c>
      <c r="D396" s="43">
        <v>1</v>
      </c>
      <c r="E396" s="48" t="s">
        <v>2295</v>
      </c>
      <c r="F396" s="48" t="s">
        <v>22</v>
      </c>
      <c r="G396" s="49">
        <f>IFERROR(VLOOKUP(C396,PROD!$A$2:$E$1204,5,0),"0")</f>
        <v>1</v>
      </c>
      <c r="H396" s="10">
        <f>Table_246[[#This Row],[QT]]*Table_246[[#This Row],[Custo 
Un]]</f>
        <v>1</v>
      </c>
      <c r="I396" s="52">
        <v>24.75</v>
      </c>
      <c r="J396" s="263">
        <f t="shared" si="22"/>
        <v>24.75</v>
      </c>
      <c r="K396" s="10">
        <f t="shared" si="21"/>
        <v>24.75</v>
      </c>
      <c r="L396" s="50">
        <f>Table_246[[#This Row],[Valor da 
venda]]-Table_246[[#This Row],[Valor gasto]]</f>
        <v>23.75</v>
      </c>
      <c r="M396" s="111">
        <f t="shared" si="23"/>
        <v>0.95959595959595956</v>
      </c>
      <c r="N396" s="52" t="s">
        <v>993</v>
      </c>
      <c r="O396" s="114" t="str">
        <f>IF([1]!Table_246[[#This Row],[Coluna2]]&gt;0.5, "🔥 Excelente", IF([1]!Table_246[[#This Row],[Coluna2]]&gt;0.4, "👍 Bom", "⚠️ Baixo"))</f>
        <v>⚠️ Baixo</v>
      </c>
    </row>
    <row r="397" spans="1:15" ht="15" customHeight="1">
      <c r="A397" s="28">
        <f>IF(Table_246[[#This Row],[Data]]="","",MONTH(Table_246[[#This Row],[Data]]))</f>
        <v>6</v>
      </c>
      <c r="B397" s="32">
        <v>46178</v>
      </c>
      <c r="C397" s="109" t="s">
        <v>1047</v>
      </c>
      <c r="D397" s="43">
        <v>1</v>
      </c>
      <c r="E397" s="48" t="s">
        <v>2296</v>
      </c>
      <c r="F397" s="48" t="s">
        <v>22</v>
      </c>
      <c r="G397" s="49">
        <f>IFERROR(VLOOKUP(C397,PROD!$A$2:$E$1204,5,0),"0")</f>
        <v>0.7</v>
      </c>
      <c r="H397" s="10">
        <f>Table_246[[#This Row],[QT]]*Table_246[[#This Row],[Custo 
Un]]</f>
        <v>0.7</v>
      </c>
      <c r="I397" s="52">
        <v>8.3699999999999992</v>
      </c>
      <c r="J397" s="263">
        <f t="shared" si="22"/>
        <v>8.3699999999999992</v>
      </c>
      <c r="K397" s="10">
        <f t="shared" si="21"/>
        <v>8.3699999999999992</v>
      </c>
      <c r="L397" s="50">
        <f>Table_246[[#This Row],[Valor da 
venda]]-Table_246[[#This Row],[Valor gasto]]</f>
        <v>7.669999999999999</v>
      </c>
      <c r="M397" s="111">
        <f t="shared" si="23"/>
        <v>0.91636798088410987</v>
      </c>
      <c r="N397" s="52" t="s">
        <v>993</v>
      </c>
      <c r="O397" s="114" t="str">
        <f>IF([1]!Table_246[[#This Row],[Coluna2]]&gt;0.5, "🔥 Excelente", IF([1]!Table_246[[#This Row],[Coluna2]]&gt;0.4, "👍 Bom", "⚠️ Baixo"))</f>
        <v>⚠️ Baixo</v>
      </c>
    </row>
    <row r="398" spans="1:15" ht="15" customHeight="1">
      <c r="A398" s="28">
        <f>IF(Table_246[[#This Row],[Data]]="","",MONTH(Table_246[[#This Row],[Data]]))</f>
        <v>6</v>
      </c>
      <c r="B398" s="32">
        <v>46178</v>
      </c>
      <c r="C398" s="36" t="s">
        <v>2286</v>
      </c>
      <c r="D398" s="43">
        <v>1</v>
      </c>
      <c r="E398" s="48" t="s">
        <v>2297</v>
      </c>
      <c r="F398" s="48" t="s">
        <v>22</v>
      </c>
      <c r="G398" s="49">
        <f>IFERROR(VLOOKUP(C398,PROD!$A$2:$E$1204,5,0),"0")</f>
        <v>1</v>
      </c>
      <c r="H398" s="10">
        <f>Table_246[[#This Row],[QT]]*Table_246[[#This Row],[Custo 
Un]]</f>
        <v>1</v>
      </c>
      <c r="I398" s="52">
        <v>24.75</v>
      </c>
      <c r="J398" s="263">
        <f t="shared" si="22"/>
        <v>24.75</v>
      </c>
      <c r="K398" s="10">
        <f t="shared" si="21"/>
        <v>24.75</v>
      </c>
      <c r="L398" s="50">
        <f>Table_246[[#This Row],[Valor da 
venda]]-Table_246[[#This Row],[Valor gasto]]</f>
        <v>23.75</v>
      </c>
      <c r="M398" s="111">
        <f t="shared" si="23"/>
        <v>0.95959595959595956</v>
      </c>
      <c r="N398" s="52" t="s">
        <v>993</v>
      </c>
      <c r="O398" s="114" t="str">
        <f>IF([1]!Table_246[[#This Row],[Coluna2]]&gt;0.5, "🔥 Excelente", IF([1]!Table_246[[#This Row],[Coluna2]]&gt;0.4, "👍 Bom", "⚠️ Baixo"))</f>
        <v>⚠️ Baixo</v>
      </c>
    </row>
    <row r="399" spans="1:15" ht="15" customHeight="1">
      <c r="A399" s="28">
        <f>IF(Table_246[[#This Row],[Data]]="","",MONTH(Table_246[[#This Row],[Data]]))</f>
        <v>6</v>
      </c>
      <c r="B399" s="32">
        <v>46178</v>
      </c>
      <c r="C399" s="109" t="s">
        <v>1047</v>
      </c>
      <c r="D399" s="43">
        <v>1</v>
      </c>
      <c r="E399" s="48" t="s">
        <v>2298</v>
      </c>
      <c r="F399" s="48" t="s">
        <v>22</v>
      </c>
      <c r="G399" s="49">
        <f>IFERROR(VLOOKUP(C399,PROD!$A$2:$E$1204,5,0),"0")</f>
        <v>0.7</v>
      </c>
      <c r="H399" s="10">
        <f>Table_246[[#This Row],[QT]]*Table_246[[#This Row],[Custo 
Un]]</f>
        <v>0.7</v>
      </c>
      <c r="I399" s="52">
        <v>8.3699999999999992</v>
      </c>
      <c r="J399" s="263">
        <f t="shared" si="22"/>
        <v>8.3699999999999992</v>
      </c>
      <c r="K399" s="10">
        <f t="shared" si="21"/>
        <v>8.3699999999999992</v>
      </c>
      <c r="L399" s="50">
        <f>Table_246[[#This Row],[Valor da 
venda]]-Table_246[[#This Row],[Valor gasto]]</f>
        <v>7.669999999999999</v>
      </c>
      <c r="M399" s="111">
        <f t="shared" si="23"/>
        <v>0.91636798088410987</v>
      </c>
      <c r="N399" s="52" t="s">
        <v>993</v>
      </c>
      <c r="O399" s="114" t="str">
        <f>IF([1]!Table_246[[#This Row],[Coluna2]]&gt;0.5, "🔥 Excelente", IF([1]!Table_246[[#This Row],[Coluna2]]&gt;0.4, "👍 Bom", "⚠️ Baixo"))</f>
        <v>⚠️ Baixo</v>
      </c>
    </row>
    <row r="400" spans="1:15" ht="15" customHeight="1">
      <c r="A400" s="28">
        <f>IF(Table_246[[#This Row],[Data]]="","",MONTH(Table_246[[#This Row],[Data]]))</f>
        <v>6</v>
      </c>
      <c r="B400" s="32">
        <v>46178</v>
      </c>
      <c r="C400" s="36" t="s">
        <v>2286</v>
      </c>
      <c r="D400" s="43">
        <v>1</v>
      </c>
      <c r="E400" s="48" t="s">
        <v>2299</v>
      </c>
      <c r="F400" s="48" t="s">
        <v>22</v>
      </c>
      <c r="G400" s="49">
        <f>IFERROR(VLOOKUP(C400,PROD!$A$2:$E$1204,5,0),"0")</f>
        <v>1</v>
      </c>
      <c r="H400" s="10">
        <f>Table_246[[#This Row],[QT]]*Table_246[[#This Row],[Custo 
Un]]</f>
        <v>1</v>
      </c>
      <c r="I400" s="52">
        <v>24.75</v>
      </c>
      <c r="J400" s="263">
        <f t="shared" si="22"/>
        <v>24.75</v>
      </c>
      <c r="K400" s="10">
        <f t="shared" si="21"/>
        <v>24.75</v>
      </c>
      <c r="L400" s="50">
        <f>Table_246[[#This Row],[Valor da 
venda]]-Table_246[[#This Row],[Valor gasto]]</f>
        <v>23.75</v>
      </c>
      <c r="M400" s="111">
        <f t="shared" si="23"/>
        <v>0.95959595959595956</v>
      </c>
      <c r="N400" s="52" t="s">
        <v>993</v>
      </c>
      <c r="O400" s="114" t="str">
        <f>IF([1]!Table_246[[#This Row],[Coluna2]]&gt;0.5, "🔥 Excelente", IF([1]!Table_246[[#This Row],[Coluna2]]&gt;0.4, "👍 Bom", "⚠️ Baixo"))</f>
        <v>⚠️ Baixo</v>
      </c>
    </row>
    <row r="401" spans="1:15" ht="15" customHeight="1">
      <c r="A401" s="28">
        <f>IF(Table_246[[#This Row],[Data]]="","",MONTH(Table_246[[#This Row],[Data]]))</f>
        <v>6</v>
      </c>
      <c r="B401" s="32">
        <v>46178</v>
      </c>
      <c r="C401" s="36" t="s">
        <v>2286</v>
      </c>
      <c r="D401" s="43">
        <v>1</v>
      </c>
      <c r="E401" s="48" t="s">
        <v>2300</v>
      </c>
      <c r="F401" s="48" t="s">
        <v>22</v>
      </c>
      <c r="G401" s="49">
        <f>IFERROR(VLOOKUP(C401,PROD!$A$2:$E$1204,5,0),"0")</f>
        <v>1</v>
      </c>
      <c r="H401" s="10">
        <f>Table_246[[#This Row],[QT]]*Table_246[[#This Row],[Custo 
Un]]</f>
        <v>1</v>
      </c>
      <c r="I401" s="52">
        <v>24.75</v>
      </c>
      <c r="J401" s="263">
        <f t="shared" si="22"/>
        <v>24.75</v>
      </c>
      <c r="K401" s="10">
        <f t="shared" si="21"/>
        <v>24.75</v>
      </c>
      <c r="L401" s="50">
        <f>Table_246[[#This Row],[Valor da 
venda]]-Table_246[[#This Row],[Valor gasto]]</f>
        <v>23.75</v>
      </c>
      <c r="M401" s="111">
        <f t="shared" si="23"/>
        <v>0.95959595959595956</v>
      </c>
      <c r="N401" s="52" t="s">
        <v>993</v>
      </c>
      <c r="O401" s="114" t="str">
        <f>IF([1]!Table_246[[#This Row],[Coluna2]]&gt;0.5, "🔥 Excelente", IF([1]!Table_246[[#This Row],[Coluna2]]&gt;0.4, "👍 Bom", "⚠️ Baixo"))</f>
        <v>⚠️ Baixo</v>
      </c>
    </row>
    <row r="402" spans="1:15" ht="15" customHeight="1">
      <c r="A402" s="28">
        <f>IF(Table_246[[#This Row],[Data]]="","",MONTH(Table_246[[#This Row],[Data]]))</f>
        <v>6</v>
      </c>
      <c r="B402" s="32">
        <v>46178</v>
      </c>
      <c r="C402" s="36" t="s">
        <v>2286</v>
      </c>
      <c r="D402" s="43">
        <v>1</v>
      </c>
      <c r="E402" s="48" t="s">
        <v>2301</v>
      </c>
      <c r="F402" s="48" t="s">
        <v>22</v>
      </c>
      <c r="G402" s="49">
        <f>IFERROR(VLOOKUP(C402,PROD!$A$2:$E$1204,5,0),"0")</f>
        <v>1</v>
      </c>
      <c r="H402" s="10">
        <f>Table_246[[#This Row],[QT]]*Table_246[[#This Row],[Custo 
Un]]</f>
        <v>1</v>
      </c>
      <c r="I402" s="52">
        <v>24.75</v>
      </c>
      <c r="J402" s="263">
        <f t="shared" si="22"/>
        <v>24.75</v>
      </c>
      <c r="K402" s="10">
        <f t="shared" si="21"/>
        <v>24.75</v>
      </c>
      <c r="L402" s="50">
        <f>Table_246[[#This Row],[Valor da 
venda]]-Table_246[[#This Row],[Valor gasto]]</f>
        <v>23.75</v>
      </c>
      <c r="M402" s="111">
        <f t="shared" si="23"/>
        <v>0.95959595959595956</v>
      </c>
      <c r="N402" s="52" t="s">
        <v>993</v>
      </c>
      <c r="O402" s="114" t="str">
        <f>IF([1]!Table_246[[#This Row],[Coluna2]]&gt;0.5, "🔥 Excelente", IF([1]!Table_246[[#This Row],[Coluna2]]&gt;0.4, "👍 Bom", "⚠️ Baixo"))</f>
        <v>⚠️ Baixo</v>
      </c>
    </row>
    <row r="403" spans="1:15" ht="15" customHeight="1">
      <c r="A403" s="28">
        <f>IF(Table_246[[#This Row],[Data]]="","",MONTH(Table_246[[#This Row],[Data]]))</f>
        <v>6</v>
      </c>
      <c r="B403" s="32">
        <v>46178</v>
      </c>
      <c r="C403" s="36" t="s">
        <v>2286</v>
      </c>
      <c r="D403" s="43">
        <v>1</v>
      </c>
      <c r="E403" s="48" t="s">
        <v>2302</v>
      </c>
      <c r="F403" s="48" t="s">
        <v>22</v>
      </c>
      <c r="G403" s="49">
        <f>IFERROR(VLOOKUP(C403,PROD!$A$2:$E$1204,5,0),"0")</f>
        <v>1</v>
      </c>
      <c r="H403" s="10">
        <f>Table_246[[#This Row],[QT]]*Table_246[[#This Row],[Custo 
Un]]</f>
        <v>1</v>
      </c>
      <c r="I403" s="52">
        <v>24.75</v>
      </c>
      <c r="J403" s="263">
        <f t="shared" si="22"/>
        <v>24.75</v>
      </c>
      <c r="K403" s="10">
        <f t="shared" si="21"/>
        <v>24.75</v>
      </c>
      <c r="L403" s="50">
        <f>Table_246[[#This Row],[Valor da 
venda]]-Table_246[[#This Row],[Valor gasto]]</f>
        <v>23.75</v>
      </c>
      <c r="M403" s="111">
        <f t="shared" si="23"/>
        <v>0.95959595959595956</v>
      </c>
      <c r="N403" s="52" t="s">
        <v>993</v>
      </c>
      <c r="O403" s="114" t="str">
        <f>IF([1]!Table_246[[#This Row],[Coluna2]]&gt;0.5, "🔥 Excelente", IF([1]!Table_246[[#This Row],[Coluna2]]&gt;0.4, "👍 Bom", "⚠️ Baixo"))</f>
        <v>⚠️ Baixo</v>
      </c>
    </row>
    <row r="404" spans="1:15" ht="15" customHeight="1">
      <c r="A404" s="28">
        <f>IF(Table_246[[#This Row],[Data]]="","",MONTH(Table_246[[#This Row],[Data]]))</f>
        <v>6</v>
      </c>
      <c r="B404" s="32">
        <v>46178</v>
      </c>
      <c r="C404" s="36" t="s">
        <v>2305</v>
      </c>
      <c r="D404" s="43">
        <v>1</v>
      </c>
      <c r="E404" s="48" t="s">
        <v>2303</v>
      </c>
      <c r="F404" s="48" t="s">
        <v>22</v>
      </c>
      <c r="G404" s="49">
        <v>350</v>
      </c>
      <c r="H404" s="10">
        <f>Table_246[[#This Row],[QT]]*Table_246[[#This Row],[Custo 
Un]]</f>
        <v>350</v>
      </c>
      <c r="I404" s="52">
        <v>394.71</v>
      </c>
      <c r="J404" s="263">
        <f t="shared" si="22"/>
        <v>394.71</v>
      </c>
      <c r="K404" s="10">
        <f t="shared" si="21"/>
        <v>394.71</v>
      </c>
      <c r="L404" s="50">
        <f>Table_246[[#This Row],[Valor da 
venda]]-Table_246[[#This Row],[Valor gasto]]</f>
        <v>44.70999999999998</v>
      </c>
      <c r="M404" s="111">
        <f t="shared" si="23"/>
        <v>0.11327303589977447</v>
      </c>
      <c r="N404" s="52" t="s">
        <v>993</v>
      </c>
      <c r="O404" s="114" t="str">
        <f>IF([1]!Table_246[[#This Row],[Coluna2]]&gt;0.5, "🔥 Excelente", IF([1]!Table_246[[#This Row],[Coluna2]]&gt;0.4, "👍 Bom", "⚠️ Baixo"))</f>
        <v>⚠️ Baixo</v>
      </c>
    </row>
    <row r="405" spans="1:15" ht="15" customHeight="1">
      <c r="A405" s="28">
        <f>IF(Table_246[[#This Row],[Data]]="","",MONTH(Table_246[[#This Row],[Data]]))</f>
        <v>6</v>
      </c>
      <c r="B405" s="32">
        <v>46178</v>
      </c>
      <c r="C405" s="109" t="s">
        <v>1047</v>
      </c>
      <c r="D405" s="43">
        <v>1</v>
      </c>
      <c r="E405" s="48" t="s">
        <v>2304</v>
      </c>
      <c r="F405" s="48" t="s">
        <v>22</v>
      </c>
      <c r="G405" s="49">
        <f>IFERROR(VLOOKUP(C405,PROD!$A$2:$E$1204,5,0),"0")</f>
        <v>0.7</v>
      </c>
      <c r="H405" s="10">
        <f>Table_246[[#This Row],[QT]]*Table_246[[#This Row],[Custo 
Un]]</f>
        <v>0.7</v>
      </c>
      <c r="I405" s="52">
        <v>8.3699999999999992</v>
      </c>
      <c r="J405" s="263">
        <f t="shared" si="22"/>
        <v>8.3699999999999992</v>
      </c>
      <c r="K405" s="10">
        <f t="shared" si="21"/>
        <v>8.3699999999999992</v>
      </c>
      <c r="L405" s="50">
        <f>Table_246[[#This Row],[Valor da 
venda]]-Table_246[[#This Row],[Valor gasto]]</f>
        <v>7.669999999999999</v>
      </c>
      <c r="M405" s="111">
        <f t="shared" si="23"/>
        <v>0.91636798088410987</v>
      </c>
      <c r="N405" s="52" t="s">
        <v>993</v>
      </c>
      <c r="O405" s="114" t="str">
        <f>IF([1]!Table_246[[#This Row],[Coluna2]]&gt;0.5, "🔥 Excelente", IF([1]!Table_246[[#This Row],[Coluna2]]&gt;0.4, "👍 Bom", "⚠️ Baixo"))</f>
        <v>⚠️ Baixo</v>
      </c>
    </row>
    <row r="406" spans="1:15" ht="15" customHeight="1">
      <c r="A406" s="28">
        <f>IF(Table_246[[#This Row],[Data]]="","",MONTH(Table_246[[#This Row],[Data]]))</f>
        <v>6</v>
      </c>
      <c r="B406" s="32">
        <v>46178</v>
      </c>
      <c r="C406" s="109" t="s">
        <v>1047</v>
      </c>
      <c r="D406" s="43">
        <v>1</v>
      </c>
      <c r="E406" s="48" t="s">
        <v>2306</v>
      </c>
      <c r="F406" s="48" t="s">
        <v>22</v>
      </c>
      <c r="G406" s="49">
        <f>IFERROR(VLOOKUP(C406,PROD!$A$2:$E$1204,5,0),"0")</f>
        <v>0.7</v>
      </c>
      <c r="H406" s="10">
        <f>Table_246[[#This Row],[QT]]*Table_246[[#This Row],[Custo 
Un]]</f>
        <v>0.7</v>
      </c>
      <c r="I406" s="52">
        <v>8.3699999999999992</v>
      </c>
      <c r="J406" s="263">
        <f t="shared" si="22"/>
        <v>8.3699999999999992</v>
      </c>
      <c r="K406" s="10">
        <f t="shared" si="21"/>
        <v>8.3699999999999992</v>
      </c>
      <c r="L406" s="50">
        <f>Table_246[[#This Row],[Valor da 
venda]]-Table_246[[#This Row],[Valor gasto]]</f>
        <v>7.669999999999999</v>
      </c>
      <c r="M406" s="111">
        <f t="shared" si="23"/>
        <v>0.91636798088410987</v>
      </c>
      <c r="N406" s="52" t="s">
        <v>993</v>
      </c>
      <c r="O406" s="114" t="str">
        <f>IF([1]!Table_246[[#This Row],[Coluna2]]&gt;0.5, "🔥 Excelente", IF([1]!Table_246[[#This Row],[Coluna2]]&gt;0.4, "👍 Bom", "⚠️ Baixo"))</f>
        <v>⚠️ Baixo</v>
      </c>
    </row>
    <row r="407" spans="1:15" ht="15" customHeight="1">
      <c r="A407" s="28">
        <f>IF(Table_246[[#This Row],[Data]]="","",MONTH(Table_246[[#This Row],[Data]]))</f>
        <v>6</v>
      </c>
      <c r="B407" s="32">
        <v>46178</v>
      </c>
      <c r="C407" s="36" t="s">
        <v>2286</v>
      </c>
      <c r="D407" s="43">
        <v>1</v>
      </c>
      <c r="E407" s="48" t="s">
        <v>2307</v>
      </c>
      <c r="F407" s="48" t="s">
        <v>22</v>
      </c>
      <c r="G407" s="49">
        <f>IFERROR(VLOOKUP(C407,PROD!$A$2:$E$1204,5,0),"0")</f>
        <v>1</v>
      </c>
      <c r="H407" s="10">
        <f>Table_246[[#This Row],[QT]]*Table_246[[#This Row],[Custo 
Un]]</f>
        <v>1</v>
      </c>
      <c r="I407" s="52">
        <v>24.75</v>
      </c>
      <c r="J407" s="263">
        <f t="shared" si="22"/>
        <v>24.75</v>
      </c>
      <c r="K407" s="10">
        <f t="shared" si="21"/>
        <v>24.75</v>
      </c>
      <c r="L407" s="50">
        <f>Table_246[[#This Row],[Valor da 
venda]]-Table_246[[#This Row],[Valor gasto]]</f>
        <v>23.75</v>
      </c>
      <c r="M407" s="111">
        <f t="shared" si="23"/>
        <v>0.95959595959595956</v>
      </c>
      <c r="N407" s="52" t="s">
        <v>993</v>
      </c>
      <c r="O407" s="114" t="str">
        <f>IF([1]!Table_246[[#This Row],[Coluna2]]&gt;0.5, "🔥 Excelente", IF([1]!Table_246[[#This Row],[Coluna2]]&gt;0.4, "👍 Bom", "⚠️ Baixo"))</f>
        <v>⚠️ Baixo</v>
      </c>
    </row>
    <row r="408" spans="1:15" ht="15" customHeight="1">
      <c r="A408" s="28">
        <f>IF(Table_246[[#This Row],[Data]]="","",MONTH(Table_246[[#This Row],[Data]]))</f>
        <v>6</v>
      </c>
      <c r="B408" s="32">
        <v>46178</v>
      </c>
      <c r="C408" s="36" t="s">
        <v>2286</v>
      </c>
      <c r="D408" s="43">
        <v>1</v>
      </c>
      <c r="E408" s="48" t="s">
        <v>2308</v>
      </c>
      <c r="F408" s="48" t="s">
        <v>22</v>
      </c>
      <c r="G408" s="49">
        <f>IFERROR(VLOOKUP(C408,PROD!$A$2:$E$1204,5,0),"0")</f>
        <v>1</v>
      </c>
      <c r="H408" s="10">
        <f>Table_246[[#This Row],[QT]]*Table_246[[#This Row],[Custo 
Un]]</f>
        <v>1</v>
      </c>
      <c r="I408" s="52">
        <v>24.75</v>
      </c>
      <c r="J408" s="263">
        <f t="shared" si="22"/>
        <v>24.75</v>
      </c>
      <c r="K408" s="10">
        <f t="shared" si="21"/>
        <v>24.75</v>
      </c>
      <c r="L408" s="50">
        <f>Table_246[[#This Row],[Valor da 
venda]]-Table_246[[#This Row],[Valor gasto]]</f>
        <v>23.75</v>
      </c>
      <c r="M408" s="111">
        <f t="shared" si="23"/>
        <v>0.95959595959595956</v>
      </c>
      <c r="N408" s="52" t="s">
        <v>993</v>
      </c>
      <c r="O408" s="114" t="str">
        <f>IF([1]!Table_246[[#This Row],[Coluna2]]&gt;0.5, "🔥 Excelente", IF([1]!Table_246[[#This Row],[Coluna2]]&gt;0.4, "👍 Bom", "⚠️ Baixo"))</f>
        <v>⚠️ Baixo</v>
      </c>
    </row>
    <row r="409" spans="1:15" ht="15" customHeight="1">
      <c r="A409" s="28">
        <f>IF(Table_246[[#This Row],[Data]]="","",MONTH(Table_246[[#This Row],[Data]]))</f>
        <v>6</v>
      </c>
      <c r="B409" s="32">
        <v>46178</v>
      </c>
      <c r="C409" s="36" t="s">
        <v>2286</v>
      </c>
      <c r="D409" s="43">
        <v>1</v>
      </c>
      <c r="E409" s="48" t="s">
        <v>2309</v>
      </c>
      <c r="F409" s="48" t="s">
        <v>22</v>
      </c>
      <c r="G409" s="49">
        <f>IFERROR(VLOOKUP(C409,PROD!$A$2:$E$1204,5,0),"0")</f>
        <v>1</v>
      </c>
      <c r="H409" s="10">
        <f>Table_246[[#This Row],[QT]]*Table_246[[#This Row],[Custo 
Un]]</f>
        <v>1</v>
      </c>
      <c r="I409" s="52">
        <v>24.75</v>
      </c>
      <c r="J409" s="263">
        <f t="shared" si="22"/>
        <v>24.75</v>
      </c>
      <c r="K409" s="10">
        <f t="shared" si="21"/>
        <v>24.75</v>
      </c>
      <c r="L409" s="50">
        <f>Table_246[[#This Row],[Valor da 
venda]]-Table_246[[#This Row],[Valor gasto]]</f>
        <v>23.75</v>
      </c>
      <c r="M409" s="111">
        <f t="shared" si="23"/>
        <v>0.95959595959595956</v>
      </c>
      <c r="N409" s="52" t="s">
        <v>993</v>
      </c>
      <c r="O409" s="114" t="str">
        <f>IF([1]!Table_246[[#This Row],[Coluna2]]&gt;0.5, "🔥 Excelente", IF([1]!Table_246[[#This Row],[Coluna2]]&gt;0.4, "👍 Bom", "⚠️ Baixo"))</f>
        <v>⚠️ Baixo</v>
      </c>
    </row>
    <row r="410" spans="1:15" ht="15" customHeight="1">
      <c r="A410" s="28">
        <f>IF(Table_246[[#This Row],[Data]]="","",MONTH(Table_246[[#This Row],[Data]]))</f>
        <v>6</v>
      </c>
      <c r="B410" s="32">
        <v>46178</v>
      </c>
      <c r="C410" s="109" t="s">
        <v>1047</v>
      </c>
      <c r="D410" s="43">
        <v>1</v>
      </c>
      <c r="E410" s="48" t="s">
        <v>2310</v>
      </c>
      <c r="F410" s="48" t="s">
        <v>22</v>
      </c>
      <c r="G410" s="49">
        <f>IFERROR(VLOOKUP(C410,PROD!$A$2:$E$1204,5,0),"0")</f>
        <v>0.7</v>
      </c>
      <c r="H410" s="10">
        <f>Table_246[[#This Row],[QT]]*Table_246[[#This Row],[Custo 
Un]]</f>
        <v>0.7</v>
      </c>
      <c r="I410" s="52">
        <v>8.3699999999999992</v>
      </c>
      <c r="J410" s="263">
        <f t="shared" si="22"/>
        <v>8.3699999999999992</v>
      </c>
      <c r="K410" s="10">
        <f t="shared" si="21"/>
        <v>8.3699999999999992</v>
      </c>
      <c r="L410" s="50">
        <f>Table_246[[#This Row],[Valor da 
venda]]-Table_246[[#This Row],[Valor gasto]]</f>
        <v>7.669999999999999</v>
      </c>
      <c r="M410" s="111">
        <f t="shared" si="23"/>
        <v>0.91636798088410987</v>
      </c>
      <c r="N410" s="52" t="s">
        <v>993</v>
      </c>
      <c r="O410" s="114" t="str">
        <f>IF([1]!Table_246[[#This Row],[Coluna2]]&gt;0.5, "🔥 Excelente", IF([1]!Table_246[[#This Row],[Coluna2]]&gt;0.4, "👍 Bom", "⚠️ Baixo"))</f>
        <v>⚠️ Baixo</v>
      </c>
    </row>
    <row r="411" spans="1:15" ht="15" customHeight="1">
      <c r="A411" s="28">
        <f>IF(Table_246[[#This Row],[Data]]="","",MONTH(Table_246[[#This Row],[Data]]))</f>
        <v>6</v>
      </c>
      <c r="B411" s="32">
        <v>46178</v>
      </c>
      <c r="C411" s="109" t="s">
        <v>1047</v>
      </c>
      <c r="D411" s="43">
        <v>1</v>
      </c>
      <c r="E411" s="48" t="s">
        <v>2312</v>
      </c>
      <c r="F411" s="48" t="s">
        <v>22</v>
      </c>
      <c r="G411" s="49">
        <f>IFERROR(VLOOKUP(C411,PROD!$A$2:$E$1204,5,0),"0")</f>
        <v>0.7</v>
      </c>
      <c r="H411" s="10">
        <f>Table_246[[#This Row],[QT]]*Table_246[[#This Row],[Custo 
Un]]</f>
        <v>0.7</v>
      </c>
      <c r="I411" s="52">
        <v>8.3699999999999992</v>
      </c>
      <c r="J411" s="263">
        <f t="shared" si="22"/>
        <v>8.3699999999999992</v>
      </c>
      <c r="K411" s="10">
        <f t="shared" si="21"/>
        <v>8.3699999999999992</v>
      </c>
      <c r="L411" s="50">
        <f>Table_246[[#This Row],[Valor da 
venda]]-Table_246[[#This Row],[Valor gasto]]</f>
        <v>7.669999999999999</v>
      </c>
      <c r="M411" s="111">
        <f t="shared" si="23"/>
        <v>0.91636798088410987</v>
      </c>
      <c r="N411" s="52" t="s">
        <v>993</v>
      </c>
      <c r="O411" s="114" t="str">
        <f>IF([1]!Table_246[[#This Row],[Coluna2]]&gt;0.5, "🔥 Excelente", IF([1]!Table_246[[#This Row],[Coluna2]]&gt;0.4, "👍 Bom", "⚠️ Baixo"))</f>
        <v>⚠️ Baixo</v>
      </c>
    </row>
    <row r="412" spans="1:15" ht="15" customHeight="1">
      <c r="A412" s="28">
        <f>IF(Table_246[[#This Row],[Data]]="","",MONTH(Table_246[[#This Row],[Data]]))</f>
        <v>6</v>
      </c>
      <c r="B412" s="32">
        <v>46178</v>
      </c>
      <c r="C412" s="36" t="s">
        <v>2313</v>
      </c>
      <c r="D412" s="43">
        <v>3</v>
      </c>
      <c r="E412" s="48" t="s">
        <v>2311</v>
      </c>
      <c r="F412" s="48" t="s">
        <v>22</v>
      </c>
      <c r="G412" s="49">
        <v>300</v>
      </c>
      <c r="H412" s="10">
        <f>Table_246[[#This Row],[QT]]*Table_246[[#This Row],[Custo 
Un]]</f>
        <v>900</v>
      </c>
      <c r="I412" s="52">
        <f>1185.6/3</f>
        <v>395.2</v>
      </c>
      <c r="J412" s="263">
        <f t="shared" si="22"/>
        <v>1185.5999999999999</v>
      </c>
      <c r="K412" s="10">
        <f t="shared" si="21"/>
        <v>1185.5999999999999</v>
      </c>
      <c r="L412" s="50">
        <f>Table_246[[#This Row],[Valor da 
venda]]-Table_246[[#This Row],[Valor gasto]]</f>
        <v>285.59999999999991</v>
      </c>
      <c r="M412" s="111">
        <f t="shared" si="23"/>
        <v>0.24089068825910925</v>
      </c>
      <c r="N412" s="52" t="s">
        <v>993</v>
      </c>
      <c r="O412" s="114" t="str">
        <f>IF([1]!Table_246[[#This Row],[Coluna2]]&gt;0.5, "🔥 Excelente", IF([1]!Table_246[[#This Row],[Coluna2]]&gt;0.4, "👍 Bom", "⚠️ Baixo"))</f>
        <v>⚠️ Baixo</v>
      </c>
    </row>
    <row r="413" spans="1:15" ht="15" customHeight="1">
      <c r="A413" s="28">
        <f>IF(Table_246[[#This Row],[Data]]="","",MONTH(Table_246[[#This Row],[Data]]))</f>
        <v>6</v>
      </c>
      <c r="B413" s="32">
        <v>46178</v>
      </c>
      <c r="C413" s="36" t="s">
        <v>2305</v>
      </c>
      <c r="D413" s="43">
        <v>3</v>
      </c>
      <c r="E413" s="48" t="s">
        <v>2314</v>
      </c>
      <c r="F413" s="48" t="s">
        <v>22</v>
      </c>
      <c r="G413" s="49">
        <v>350</v>
      </c>
      <c r="H413" s="10">
        <f>Table_246[[#This Row],[QT]]*Table_246[[#This Row],[Custo 
Un]]</f>
        <v>1050</v>
      </c>
      <c r="I413" s="52">
        <f>1185.6/3</f>
        <v>395.2</v>
      </c>
      <c r="J413" s="263">
        <f t="shared" si="22"/>
        <v>1185.5999999999999</v>
      </c>
      <c r="K413" s="10">
        <f t="shared" si="21"/>
        <v>1185.5999999999999</v>
      </c>
      <c r="L413" s="50">
        <f>Table_246[[#This Row],[Valor da 
venda]]-Table_246[[#This Row],[Valor gasto]]</f>
        <v>135.59999999999991</v>
      </c>
      <c r="M413" s="111">
        <f t="shared" si="23"/>
        <v>0.11437246963562746</v>
      </c>
      <c r="N413" s="52" t="s">
        <v>993</v>
      </c>
      <c r="O413" s="114" t="str">
        <f>IF([1]!Table_246[[#This Row],[Coluna2]]&gt;0.5, "🔥 Excelente", IF([1]!Table_246[[#This Row],[Coluna2]]&gt;0.4, "👍 Bom", "⚠️ Baixo"))</f>
        <v>⚠️ Baixo</v>
      </c>
    </row>
    <row r="414" spans="1:15" ht="15" customHeight="1">
      <c r="A414" s="28">
        <f>IF(Table_246[[#This Row],[Data]]="","",MONTH(Table_246[[#This Row],[Data]]))</f>
        <v>6</v>
      </c>
      <c r="B414" s="32">
        <v>46178</v>
      </c>
      <c r="C414" s="36" t="s">
        <v>2315</v>
      </c>
      <c r="D414" s="43">
        <v>1</v>
      </c>
      <c r="E414" s="48" t="s">
        <v>2316</v>
      </c>
      <c r="F414" s="48" t="s">
        <v>22</v>
      </c>
      <c r="G414" s="49">
        <v>650</v>
      </c>
      <c r="H414" s="10">
        <f>Table_246[[#This Row],[QT]]*Table_246[[#This Row],[Custo 
Un]]</f>
        <v>650</v>
      </c>
      <c r="I414" s="52">
        <v>751.6</v>
      </c>
      <c r="J414" s="263">
        <f t="shared" si="22"/>
        <v>751.6</v>
      </c>
      <c r="K414" s="10">
        <f t="shared" si="21"/>
        <v>751.6</v>
      </c>
      <c r="L414" s="50">
        <f>Table_246[[#This Row],[Valor da 
venda]]-Table_246[[#This Row],[Valor gasto]]</f>
        <v>101.60000000000002</v>
      </c>
      <c r="M414" s="111">
        <f t="shared" si="23"/>
        <v>0.135178286322512</v>
      </c>
      <c r="N414" s="52" t="s">
        <v>993</v>
      </c>
      <c r="O414" s="114" t="str">
        <f>IF([1]!Table_246[[#This Row],[Coluna2]]&gt;0.5, "🔥 Excelente", IF([1]!Table_246[[#This Row],[Coluna2]]&gt;0.4, "👍 Bom", "⚠️ Baixo"))</f>
        <v>⚠️ Baixo</v>
      </c>
    </row>
    <row r="415" spans="1:15" ht="15" customHeight="1">
      <c r="A415" s="28">
        <f>IF(Table_246[[#This Row],[Data]]="","",MONTH(Table_246[[#This Row],[Data]]))</f>
        <v>6</v>
      </c>
      <c r="B415" s="32">
        <v>46178</v>
      </c>
      <c r="C415" s="36" t="s">
        <v>2286</v>
      </c>
      <c r="D415" s="43">
        <v>1</v>
      </c>
      <c r="E415" s="48" t="s">
        <v>2317</v>
      </c>
      <c r="F415" s="48" t="s">
        <v>22</v>
      </c>
      <c r="G415" s="49">
        <f>IFERROR(VLOOKUP(C415,PROD!$A$2:$E$1204,5,0),"0")</f>
        <v>1</v>
      </c>
      <c r="H415" s="10">
        <f>Table_246[[#This Row],[QT]]*Table_246[[#This Row],[Custo 
Un]]</f>
        <v>1</v>
      </c>
      <c r="I415" s="52">
        <v>24.75</v>
      </c>
      <c r="J415" s="263">
        <f t="shared" si="22"/>
        <v>24.75</v>
      </c>
      <c r="K415" s="10">
        <f t="shared" si="21"/>
        <v>24.75</v>
      </c>
      <c r="L415" s="50">
        <f>Table_246[[#This Row],[Valor da 
venda]]-Table_246[[#This Row],[Valor gasto]]</f>
        <v>23.75</v>
      </c>
      <c r="M415" s="111">
        <f t="shared" si="23"/>
        <v>0.95959595959595956</v>
      </c>
      <c r="N415" s="52" t="s">
        <v>993</v>
      </c>
      <c r="O415" s="114" t="str">
        <f>IF([1]!Table_246[[#This Row],[Coluna2]]&gt;0.5, "🔥 Excelente", IF([1]!Table_246[[#This Row],[Coluna2]]&gt;0.4, "👍 Bom", "⚠️ Baixo"))</f>
        <v>⚠️ Baixo</v>
      </c>
    </row>
    <row r="416" spans="1:15" ht="15" customHeight="1">
      <c r="A416" s="28">
        <f>IF(Table_246[[#This Row],[Data]]="","",MONTH(Table_246[[#This Row],[Data]]))</f>
        <v>6</v>
      </c>
      <c r="B416" s="32">
        <v>46178</v>
      </c>
      <c r="C416" s="36" t="s">
        <v>2286</v>
      </c>
      <c r="D416" s="43">
        <v>1</v>
      </c>
      <c r="E416" s="48" t="s">
        <v>2318</v>
      </c>
      <c r="F416" s="48" t="s">
        <v>22</v>
      </c>
      <c r="G416" s="49">
        <f>IFERROR(VLOOKUP(C416,PROD!$A$2:$E$1204,5,0),"0")</f>
        <v>1</v>
      </c>
      <c r="H416" s="10">
        <f>Table_246[[#This Row],[QT]]*Table_246[[#This Row],[Custo 
Un]]</f>
        <v>1</v>
      </c>
      <c r="I416" s="52">
        <v>24.75</v>
      </c>
      <c r="J416" s="263">
        <f t="shared" si="22"/>
        <v>24.75</v>
      </c>
      <c r="K416" s="10">
        <f t="shared" si="21"/>
        <v>24.75</v>
      </c>
      <c r="L416" s="50">
        <f>Table_246[[#This Row],[Valor da 
venda]]-Table_246[[#This Row],[Valor gasto]]</f>
        <v>23.75</v>
      </c>
      <c r="M416" s="111">
        <f t="shared" si="23"/>
        <v>0.95959595959595956</v>
      </c>
      <c r="N416" s="52" t="s">
        <v>993</v>
      </c>
      <c r="O416" s="114" t="str">
        <f>IF([1]!Table_246[[#This Row],[Coluna2]]&gt;0.5, "🔥 Excelente", IF([1]!Table_246[[#This Row],[Coluna2]]&gt;0.4, "👍 Bom", "⚠️ Baixo"))</f>
        <v>⚠️ Baixo</v>
      </c>
    </row>
    <row r="417" spans="1:15" ht="15" customHeight="1">
      <c r="A417" s="28">
        <f>IF(Table_246[[#This Row],[Data]]="","",MONTH(Table_246[[#This Row],[Data]]))</f>
        <v>6</v>
      </c>
      <c r="B417" s="32">
        <v>46178</v>
      </c>
      <c r="C417" s="36" t="s">
        <v>2286</v>
      </c>
      <c r="D417" s="43">
        <v>1</v>
      </c>
      <c r="E417" s="48" t="s">
        <v>2319</v>
      </c>
      <c r="F417" s="48" t="s">
        <v>22</v>
      </c>
      <c r="G417" s="49">
        <f>IFERROR(VLOOKUP(C417,PROD!$A$2:$E$1204,5,0),"0")</f>
        <v>1</v>
      </c>
      <c r="H417" s="10">
        <f>Table_246[[#This Row],[QT]]*Table_246[[#This Row],[Custo 
Un]]</f>
        <v>1</v>
      </c>
      <c r="I417" s="52">
        <v>24.75</v>
      </c>
      <c r="J417" s="263">
        <f t="shared" si="22"/>
        <v>24.75</v>
      </c>
      <c r="K417" s="10">
        <f t="shared" si="21"/>
        <v>24.75</v>
      </c>
      <c r="L417" s="50">
        <f>Table_246[[#This Row],[Valor da 
venda]]-Table_246[[#This Row],[Valor gasto]]</f>
        <v>23.75</v>
      </c>
      <c r="M417" s="111">
        <f t="shared" si="23"/>
        <v>0.95959595959595956</v>
      </c>
      <c r="N417" s="52" t="s">
        <v>993</v>
      </c>
      <c r="O417" s="114" t="str">
        <f>IF([1]!Table_246[[#This Row],[Coluna2]]&gt;0.5, "🔥 Excelente", IF([1]!Table_246[[#This Row],[Coluna2]]&gt;0.4, "👍 Bom", "⚠️ Baixo"))</f>
        <v>⚠️ Baixo</v>
      </c>
    </row>
    <row r="418" spans="1:15" ht="15" customHeight="1">
      <c r="A418" s="28">
        <f>IF(Table_246[[#This Row],[Data]]="","",MONTH(Table_246[[#This Row],[Data]]))</f>
        <v>6</v>
      </c>
      <c r="B418" s="32">
        <v>46178</v>
      </c>
      <c r="C418" s="36" t="s">
        <v>2286</v>
      </c>
      <c r="D418" s="43">
        <v>1</v>
      </c>
      <c r="E418" s="48" t="s">
        <v>2320</v>
      </c>
      <c r="F418" s="48" t="s">
        <v>22</v>
      </c>
      <c r="G418" s="49">
        <f>IFERROR(VLOOKUP(C418,PROD!$A$2:$E$1204,5,0),"0")</f>
        <v>1</v>
      </c>
      <c r="H418" s="10">
        <f>Table_246[[#This Row],[QT]]*Table_246[[#This Row],[Custo 
Un]]</f>
        <v>1</v>
      </c>
      <c r="I418" s="52">
        <v>24.75</v>
      </c>
      <c r="J418" s="263">
        <f t="shared" si="22"/>
        <v>24.75</v>
      </c>
      <c r="K418" s="10">
        <f t="shared" si="21"/>
        <v>24.75</v>
      </c>
      <c r="L418" s="50">
        <f>Table_246[[#This Row],[Valor da 
venda]]-Table_246[[#This Row],[Valor gasto]]</f>
        <v>23.75</v>
      </c>
      <c r="M418" s="111">
        <f t="shared" si="23"/>
        <v>0.95959595959595956</v>
      </c>
      <c r="N418" s="52" t="s">
        <v>993</v>
      </c>
      <c r="O418" s="114" t="str">
        <f>IF([1]!Table_246[[#This Row],[Coluna2]]&gt;0.5, "🔥 Excelente", IF([1]!Table_246[[#This Row],[Coluna2]]&gt;0.4, "👍 Bom", "⚠️ Baixo"))</f>
        <v>⚠️ Baixo</v>
      </c>
    </row>
    <row r="419" spans="1:15" ht="15" customHeight="1">
      <c r="A419" s="28">
        <f>IF(Table_246[[#This Row],[Data]]="","",MONTH(Table_246[[#This Row],[Data]]))</f>
        <v>6</v>
      </c>
      <c r="B419" s="32">
        <v>46178</v>
      </c>
      <c r="C419" s="36" t="s">
        <v>2286</v>
      </c>
      <c r="D419" s="43">
        <v>1</v>
      </c>
      <c r="E419" s="48" t="s">
        <v>2321</v>
      </c>
      <c r="F419" s="48" t="s">
        <v>22</v>
      </c>
      <c r="G419" s="49">
        <f>IFERROR(VLOOKUP(C419,PROD!$A$2:$E$1204,5,0),"0")</f>
        <v>1</v>
      </c>
      <c r="H419" s="10">
        <f>Table_246[[#This Row],[QT]]*Table_246[[#This Row],[Custo 
Un]]</f>
        <v>1</v>
      </c>
      <c r="I419" s="52">
        <v>24.75</v>
      </c>
      <c r="J419" s="263">
        <f t="shared" si="22"/>
        <v>24.75</v>
      </c>
      <c r="K419" s="10">
        <f t="shared" si="21"/>
        <v>24.75</v>
      </c>
      <c r="L419" s="50">
        <f>Table_246[[#This Row],[Valor da 
venda]]-Table_246[[#This Row],[Valor gasto]]</f>
        <v>23.75</v>
      </c>
      <c r="M419" s="111">
        <f t="shared" si="23"/>
        <v>0.95959595959595956</v>
      </c>
      <c r="N419" s="52" t="s">
        <v>993</v>
      </c>
      <c r="O419" s="114" t="str">
        <f>IF([1]!Table_246[[#This Row],[Coluna2]]&gt;0.5, "🔥 Excelente", IF([1]!Table_246[[#This Row],[Coluna2]]&gt;0.4, "👍 Bom", "⚠️ Baixo"))</f>
        <v>⚠️ Baixo</v>
      </c>
    </row>
    <row r="420" spans="1:15" ht="15" customHeight="1">
      <c r="A420" s="28">
        <f>IF(Table_246[[#This Row],[Data]]="","",MONTH(Table_246[[#This Row],[Data]]))</f>
        <v>6</v>
      </c>
      <c r="B420" s="32">
        <v>46178</v>
      </c>
      <c r="C420" s="36" t="s">
        <v>2286</v>
      </c>
      <c r="D420" s="43">
        <v>1</v>
      </c>
      <c r="E420" s="48" t="s">
        <v>2322</v>
      </c>
      <c r="F420" s="48" t="s">
        <v>22</v>
      </c>
      <c r="G420" s="49">
        <f>IFERROR(VLOOKUP(C420,PROD!$A$2:$E$1204,5,0),"0")</f>
        <v>1</v>
      </c>
      <c r="H420" s="10">
        <f>Table_246[[#This Row],[QT]]*Table_246[[#This Row],[Custo 
Un]]</f>
        <v>1</v>
      </c>
      <c r="I420" s="52">
        <v>24.75</v>
      </c>
      <c r="J420" s="263">
        <f t="shared" si="22"/>
        <v>24.75</v>
      </c>
      <c r="K420" s="10">
        <f t="shared" si="21"/>
        <v>24.75</v>
      </c>
      <c r="L420" s="50">
        <f>Table_246[[#This Row],[Valor da 
venda]]-Table_246[[#This Row],[Valor gasto]]</f>
        <v>23.75</v>
      </c>
      <c r="M420" s="111">
        <f t="shared" si="23"/>
        <v>0.95959595959595956</v>
      </c>
      <c r="N420" s="52" t="s">
        <v>993</v>
      </c>
      <c r="O420" s="114" t="str">
        <f>IF([1]!Table_246[[#This Row],[Coluna2]]&gt;0.5, "🔥 Excelente", IF([1]!Table_246[[#This Row],[Coluna2]]&gt;0.4, "👍 Bom", "⚠️ Baixo"))</f>
        <v>⚠️ Baixo</v>
      </c>
    </row>
    <row r="421" spans="1:15" ht="15" customHeight="1">
      <c r="A421" s="28">
        <f>IF(Table_246[[#This Row],[Data]]="","",MONTH(Table_246[[#This Row],[Data]]))</f>
        <v>6</v>
      </c>
      <c r="B421" s="32">
        <v>46178</v>
      </c>
      <c r="C421" s="36" t="s">
        <v>2286</v>
      </c>
      <c r="D421" s="43">
        <v>1</v>
      </c>
      <c r="E421" s="48" t="s">
        <v>2323</v>
      </c>
      <c r="F421" s="48" t="s">
        <v>22</v>
      </c>
      <c r="G421" s="49">
        <f>IFERROR(VLOOKUP(C421,PROD!$A$2:$E$1204,5,0),"0")</f>
        <v>1</v>
      </c>
      <c r="H421" s="10">
        <f>Table_246[[#This Row],[QT]]*Table_246[[#This Row],[Custo 
Un]]</f>
        <v>1</v>
      </c>
      <c r="I421" s="52">
        <v>24.75</v>
      </c>
      <c r="J421" s="263">
        <f t="shared" si="22"/>
        <v>24.75</v>
      </c>
      <c r="K421" s="10">
        <f t="shared" si="21"/>
        <v>24.75</v>
      </c>
      <c r="L421" s="50">
        <f>Table_246[[#This Row],[Valor da 
venda]]-Table_246[[#This Row],[Valor gasto]]</f>
        <v>23.75</v>
      </c>
      <c r="M421" s="111">
        <f t="shared" si="23"/>
        <v>0.95959595959595956</v>
      </c>
      <c r="N421" s="52" t="s">
        <v>993</v>
      </c>
      <c r="O421" s="114" t="str">
        <f>IF([1]!Table_246[[#This Row],[Coluna2]]&gt;0.5, "🔥 Excelente", IF([1]!Table_246[[#This Row],[Coluna2]]&gt;0.4, "👍 Bom", "⚠️ Baixo"))</f>
        <v>⚠️ Baixo</v>
      </c>
    </row>
    <row r="422" spans="1:15" ht="15" customHeight="1">
      <c r="A422" s="28">
        <f>IF(Table_246[[#This Row],[Data]]="","",MONTH(Table_246[[#This Row],[Data]]))</f>
        <v>6</v>
      </c>
      <c r="B422" s="32">
        <v>46178</v>
      </c>
      <c r="C422" s="36" t="s">
        <v>2286</v>
      </c>
      <c r="D422" s="43">
        <v>1</v>
      </c>
      <c r="E422" s="48" t="s">
        <v>2324</v>
      </c>
      <c r="F422" s="48" t="s">
        <v>22</v>
      </c>
      <c r="G422" s="49">
        <f>IFERROR(VLOOKUP(C422,PROD!$A$2:$E$1204,5,0),"0")</f>
        <v>1</v>
      </c>
      <c r="H422" s="10">
        <f>Table_246[[#This Row],[QT]]*Table_246[[#This Row],[Custo 
Un]]</f>
        <v>1</v>
      </c>
      <c r="I422" s="52">
        <v>24.75</v>
      </c>
      <c r="J422" s="263">
        <f t="shared" si="22"/>
        <v>24.75</v>
      </c>
      <c r="K422" s="10">
        <f t="shared" si="21"/>
        <v>24.75</v>
      </c>
      <c r="L422" s="50">
        <f>Table_246[[#This Row],[Valor da 
venda]]-Table_246[[#This Row],[Valor gasto]]</f>
        <v>23.75</v>
      </c>
      <c r="M422" s="111">
        <f t="shared" si="23"/>
        <v>0.95959595959595956</v>
      </c>
      <c r="N422" s="52" t="s">
        <v>993</v>
      </c>
      <c r="O422" s="114" t="str">
        <f>IF([1]!Table_246[[#This Row],[Coluna2]]&gt;0.5, "🔥 Excelente", IF([1]!Table_246[[#This Row],[Coluna2]]&gt;0.4, "👍 Bom", "⚠️ Baixo"))</f>
        <v>⚠️ Baixo</v>
      </c>
    </row>
    <row r="423" spans="1:15" ht="15" customHeight="1">
      <c r="A423" s="28">
        <f>IF(Table_246[[#This Row],[Data]]="","",MONTH(Table_246[[#This Row],[Data]]))</f>
        <v>6</v>
      </c>
      <c r="B423" s="32">
        <v>46178</v>
      </c>
      <c r="C423" s="109" t="s">
        <v>1047</v>
      </c>
      <c r="D423" s="43">
        <v>1</v>
      </c>
      <c r="E423" s="48" t="s">
        <v>2325</v>
      </c>
      <c r="F423" s="48" t="s">
        <v>22</v>
      </c>
      <c r="G423" s="49">
        <f>IFERROR(VLOOKUP(C423,PROD!$A$2:$E$1204,5,0),"0")</f>
        <v>0.7</v>
      </c>
      <c r="H423" s="10">
        <f>Table_246[[#This Row],[QT]]*Table_246[[#This Row],[Custo 
Un]]</f>
        <v>0.7</v>
      </c>
      <c r="I423" s="52">
        <v>8.3699999999999992</v>
      </c>
      <c r="J423" s="263">
        <f t="shared" si="22"/>
        <v>8.3699999999999992</v>
      </c>
      <c r="K423" s="10">
        <f t="shared" si="21"/>
        <v>8.3699999999999992</v>
      </c>
      <c r="L423" s="50">
        <f>Table_246[[#This Row],[Valor da 
venda]]-Table_246[[#This Row],[Valor gasto]]</f>
        <v>7.669999999999999</v>
      </c>
      <c r="M423" s="111">
        <f t="shared" si="23"/>
        <v>0.91636798088410987</v>
      </c>
      <c r="N423" s="52" t="s">
        <v>993</v>
      </c>
      <c r="O423" s="114" t="str">
        <f>IF([1]!Table_246[[#This Row],[Coluna2]]&gt;0.5, "🔥 Excelente", IF([1]!Table_246[[#This Row],[Coluna2]]&gt;0.4, "👍 Bom", "⚠️ Baixo"))</f>
        <v>⚠️ Baixo</v>
      </c>
    </row>
    <row r="424" spans="1:15" ht="15" customHeight="1">
      <c r="A424" s="28">
        <f>IF(Table_246[[#This Row],[Data]]="","",MONTH(Table_246[[#This Row],[Data]]))</f>
        <v>6</v>
      </c>
      <c r="B424" s="32">
        <v>46178</v>
      </c>
      <c r="C424" s="36" t="s">
        <v>1012</v>
      </c>
      <c r="D424" s="43">
        <v>1</v>
      </c>
      <c r="E424" s="48" t="s">
        <v>2326</v>
      </c>
      <c r="F424" s="48" t="s">
        <v>22</v>
      </c>
      <c r="G424" s="49">
        <v>7</v>
      </c>
      <c r="H424" s="10">
        <f>Table_246[[#This Row],[QT]]*Table_246[[#This Row],[Custo 
Un]]</f>
        <v>7</v>
      </c>
      <c r="I424" s="52">
        <v>11</v>
      </c>
      <c r="J424" s="263">
        <f t="shared" si="22"/>
        <v>11</v>
      </c>
      <c r="K424" s="10">
        <f t="shared" si="21"/>
        <v>11</v>
      </c>
      <c r="L424" s="50">
        <f>Table_246[[#This Row],[Valor da 
venda]]-Table_246[[#This Row],[Valor gasto]]</f>
        <v>4</v>
      </c>
      <c r="M424" s="111">
        <f t="shared" si="23"/>
        <v>0.36363636363636365</v>
      </c>
      <c r="N424" s="52" t="s">
        <v>993</v>
      </c>
      <c r="O424" s="114" t="str">
        <f>IF([1]!Table_246[[#This Row],[Coluna2]]&gt;0.5, "🔥 Excelente", IF([1]!Table_246[[#This Row],[Coluna2]]&gt;0.4, "👍 Bom", "⚠️ Baixo"))</f>
        <v>⚠️ Baixo</v>
      </c>
    </row>
    <row r="425" spans="1:15" ht="15" customHeight="1">
      <c r="A425" s="28">
        <f>IF(Table_246[[#This Row],[Data]]="","",MONTH(Table_246[[#This Row],[Data]]))</f>
        <v>6</v>
      </c>
      <c r="B425" s="32">
        <v>46178</v>
      </c>
      <c r="C425" s="36" t="s">
        <v>1012</v>
      </c>
      <c r="D425" s="43">
        <v>1</v>
      </c>
      <c r="E425" s="48" t="s">
        <v>2327</v>
      </c>
      <c r="F425" s="48" t="s">
        <v>22</v>
      </c>
      <c r="G425" s="49">
        <f>IFERROR(VLOOKUP(C425,PROD!$A$2:$E$1204,5,0),"0")</f>
        <v>7.5</v>
      </c>
      <c r="H425" s="10">
        <f>Table_246[[#This Row],[QT]]*Table_246[[#This Row],[Custo 
Un]]</f>
        <v>7.5</v>
      </c>
      <c r="I425" s="52">
        <v>11</v>
      </c>
      <c r="J425" s="263">
        <f t="shared" si="22"/>
        <v>11</v>
      </c>
      <c r="K425" s="10">
        <f t="shared" si="21"/>
        <v>11</v>
      </c>
      <c r="L425" s="50">
        <f>Table_246[[#This Row],[Valor da 
venda]]-Table_246[[#This Row],[Valor gasto]]</f>
        <v>3.5</v>
      </c>
      <c r="M425" s="111">
        <f t="shared" si="23"/>
        <v>0.31818181818181818</v>
      </c>
      <c r="N425" s="52" t="s">
        <v>993</v>
      </c>
      <c r="O425" s="114" t="str">
        <f>IF([1]!Table_246[[#This Row],[Coluna2]]&gt;0.5, "🔥 Excelente", IF([1]!Table_246[[#This Row],[Coluna2]]&gt;0.4, "👍 Bom", "⚠️ Baixo"))</f>
        <v>⚠️ Baixo</v>
      </c>
    </row>
    <row r="426" spans="1:15" ht="15" customHeight="1">
      <c r="A426" s="28">
        <f>IF(Table_246[[#This Row],[Data]]="","",MONTH(Table_246[[#This Row],[Data]]))</f>
        <v>6</v>
      </c>
      <c r="B426" s="32">
        <v>46178</v>
      </c>
      <c r="C426" s="36" t="s">
        <v>2305</v>
      </c>
      <c r="D426" s="43">
        <v>1</v>
      </c>
      <c r="E426" s="48" t="s">
        <v>2328</v>
      </c>
      <c r="F426" s="48" t="s">
        <v>22</v>
      </c>
      <c r="G426" s="49">
        <f>IFERROR(VLOOKUP(C426,PROD!$A$2:$E$1204,5,0),"0")</f>
        <v>350</v>
      </c>
      <c r="H426" s="10">
        <f>Table_246[[#This Row],[QT]]*Table_246[[#This Row],[Custo 
Un]]</f>
        <v>350</v>
      </c>
      <c r="I426" s="52">
        <v>395.2</v>
      </c>
      <c r="J426" s="263">
        <f t="shared" si="22"/>
        <v>395.2</v>
      </c>
      <c r="K426" s="10">
        <f t="shared" si="21"/>
        <v>395.2</v>
      </c>
      <c r="L426" s="50">
        <f>Table_246[[#This Row],[Valor da 
venda]]-Table_246[[#This Row],[Valor gasto]]</f>
        <v>45.199999999999989</v>
      </c>
      <c r="M426" s="111">
        <f t="shared" si="23"/>
        <v>0.1143724696356275</v>
      </c>
      <c r="N426" s="52" t="s">
        <v>993</v>
      </c>
      <c r="O426" s="114" t="str">
        <f>IF([1]!Table_246[[#This Row],[Coluna2]]&gt;0.5, "🔥 Excelente", IF([1]!Table_246[[#This Row],[Coluna2]]&gt;0.4, "👍 Bom", "⚠️ Baixo"))</f>
        <v>⚠️ Baixo</v>
      </c>
    </row>
    <row r="427" spans="1:15" ht="15" customHeight="1">
      <c r="A427" s="28">
        <f>IF(Table_246[[#This Row],[Data]]="","",MONTH(Table_246[[#This Row],[Data]]))</f>
        <v>6</v>
      </c>
      <c r="B427" s="32">
        <v>46180</v>
      </c>
      <c r="C427" s="36" t="s">
        <v>2330</v>
      </c>
      <c r="D427" s="43">
        <v>1</v>
      </c>
      <c r="E427" s="48" t="s">
        <v>1008</v>
      </c>
      <c r="F427" s="48" t="s">
        <v>555</v>
      </c>
      <c r="G427" s="49">
        <v>15</v>
      </c>
      <c r="H427" s="10">
        <f>Table_246[[#This Row],[QT]]*Table_246[[#This Row],[Custo 
Un]]</f>
        <v>15</v>
      </c>
      <c r="I427" s="52">
        <v>40</v>
      </c>
      <c r="J427" s="263">
        <f t="shared" si="22"/>
        <v>40</v>
      </c>
      <c r="K427" s="10">
        <f t="shared" si="21"/>
        <v>40</v>
      </c>
      <c r="L427" s="50">
        <f>Table_246[[#This Row],[Valor da 
venda]]-Table_246[[#This Row],[Valor gasto]]</f>
        <v>25</v>
      </c>
      <c r="M427" s="111">
        <f t="shared" si="23"/>
        <v>0.625</v>
      </c>
      <c r="N427" s="52" t="s">
        <v>20</v>
      </c>
      <c r="O427" s="114" t="str">
        <f>IF([1]!Table_246[[#This Row],[Coluna2]]&gt;0.5, "🔥 Excelente", IF([1]!Table_246[[#This Row],[Coluna2]]&gt;0.4, "👍 Bom", "⚠️ Baixo"))</f>
        <v>⚠️ Baixo</v>
      </c>
    </row>
    <row r="428" spans="1:15" ht="15" customHeight="1">
      <c r="A428" s="28">
        <f>IF(Table_246[[#This Row],[Data]]="","",MONTH(Table_246[[#This Row],[Data]]))</f>
        <v>6</v>
      </c>
      <c r="B428" s="32">
        <v>46180</v>
      </c>
      <c r="C428" s="36" t="s">
        <v>912</v>
      </c>
      <c r="D428" s="43">
        <v>1</v>
      </c>
      <c r="E428" s="48" t="s">
        <v>1008</v>
      </c>
      <c r="F428" s="48" t="s">
        <v>555</v>
      </c>
      <c r="G428" s="49">
        <v>4</v>
      </c>
      <c r="H428" s="10">
        <f>Table_246[[#This Row],[QT]]*Table_246[[#This Row],[Custo 
Un]]</f>
        <v>4</v>
      </c>
      <c r="I428" s="52">
        <v>10</v>
      </c>
      <c r="J428" s="263">
        <f t="shared" si="22"/>
        <v>10</v>
      </c>
      <c r="K428" s="10">
        <f t="shared" si="21"/>
        <v>10</v>
      </c>
      <c r="L428" s="50">
        <f>Table_246[[#This Row],[Valor da 
venda]]-Table_246[[#This Row],[Valor gasto]]</f>
        <v>6</v>
      </c>
      <c r="M428" s="111">
        <f t="shared" si="23"/>
        <v>0.6</v>
      </c>
      <c r="N428" s="52" t="s">
        <v>20</v>
      </c>
      <c r="O428" s="114" t="str">
        <f>IF([1]!Table_246[[#This Row],[Coluna2]]&gt;0.5, "🔥 Excelente", IF([1]!Table_246[[#This Row],[Coluna2]]&gt;0.4, "👍 Bom", "⚠️ Baixo"))</f>
        <v>⚠️ Baixo</v>
      </c>
    </row>
    <row r="429" spans="1:15" ht="15" customHeight="1">
      <c r="A429" s="28">
        <f>IF(Table_246[[#This Row],[Data]]="","",MONTH(Table_246[[#This Row],[Data]]))</f>
        <v>6</v>
      </c>
      <c r="B429" s="32">
        <v>46180</v>
      </c>
      <c r="C429" s="36" t="s">
        <v>2331</v>
      </c>
      <c r="D429" s="43">
        <v>8</v>
      </c>
      <c r="E429" s="48" t="s">
        <v>821</v>
      </c>
      <c r="F429" s="48" t="s">
        <v>555</v>
      </c>
      <c r="G429" s="49">
        <f>IFERROR(VLOOKUP(C429,PROD!$A$2:$E$1204,5,0),"0")</f>
        <v>0.1875</v>
      </c>
      <c r="H429" s="10">
        <f>Table_246[[#This Row],[QT]]*Table_246[[#This Row],[Custo 
Un]]</f>
        <v>1.5</v>
      </c>
      <c r="I429" s="52">
        <f>10/8</f>
        <v>1.25</v>
      </c>
      <c r="J429" s="263">
        <f t="shared" si="22"/>
        <v>10</v>
      </c>
      <c r="K429" s="10">
        <f t="shared" si="21"/>
        <v>10</v>
      </c>
      <c r="L429" s="50">
        <f>Table_246[[#This Row],[Valor da 
venda]]-Table_246[[#This Row],[Valor gasto]]</f>
        <v>8.5</v>
      </c>
      <c r="M429" s="111">
        <f t="shared" si="23"/>
        <v>0.85</v>
      </c>
      <c r="N429" s="52" t="s">
        <v>20</v>
      </c>
      <c r="O429" s="114" t="str">
        <f>IF([1]!Table_246[[#This Row],[Coluna2]]&gt;0.5, "🔥 Excelente", IF([1]!Table_246[[#This Row],[Coluna2]]&gt;0.4, "👍 Bom", "⚠️ Baixo"))</f>
        <v>⚠️ Baixo</v>
      </c>
    </row>
    <row r="430" spans="1:15" ht="15" customHeight="1">
      <c r="A430" s="28">
        <f>IF(Table_246[[#This Row],[Data]]="","",MONTH(Table_246[[#This Row],[Data]]))</f>
        <v>6</v>
      </c>
      <c r="B430" s="32">
        <v>46182</v>
      </c>
      <c r="C430" s="36" t="s">
        <v>2331</v>
      </c>
      <c r="D430" s="43">
        <v>2</v>
      </c>
      <c r="E430" s="48" t="s">
        <v>821</v>
      </c>
      <c r="F430" s="48" t="s">
        <v>555</v>
      </c>
      <c r="G430" s="49">
        <f>IFERROR(VLOOKUP(C430,PROD!$A$2:$E$1204,5,0),"0")</f>
        <v>0.1875</v>
      </c>
      <c r="H430" s="10">
        <f>Table_246[[#This Row],[QT]]*Table_246[[#This Row],[Custo 
Un]]</f>
        <v>0.375</v>
      </c>
      <c r="I430" s="52">
        <v>2</v>
      </c>
      <c r="J430" s="263">
        <f t="shared" si="22"/>
        <v>4</v>
      </c>
      <c r="K430" s="10">
        <f t="shared" si="21"/>
        <v>4</v>
      </c>
      <c r="L430" s="50">
        <f>Table_246[[#This Row],[Valor da 
venda]]-Table_246[[#This Row],[Valor gasto]]</f>
        <v>3.625</v>
      </c>
      <c r="M430" s="111">
        <f t="shared" si="23"/>
        <v>0.90625</v>
      </c>
      <c r="N430" s="52" t="s">
        <v>20</v>
      </c>
      <c r="O430" s="114" t="str">
        <f>IF([1]!Table_246[[#This Row],[Coluna2]]&gt;0.5, "🔥 Excelente", IF([1]!Table_246[[#This Row],[Coluna2]]&gt;0.4, "👍 Bom", "⚠️ Baixo"))</f>
        <v>⚠️ Baixo</v>
      </c>
    </row>
    <row r="431" spans="1:15" ht="15" customHeight="1">
      <c r="A431" s="28">
        <f>IF(Table_246[[#This Row],[Data]]="","",MONTH(Table_246[[#This Row],[Data]]))</f>
        <v>6</v>
      </c>
      <c r="B431" s="32">
        <v>46182</v>
      </c>
      <c r="C431" s="36" t="s">
        <v>2338</v>
      </c>
      <c r="D431" s="43">
        <v>1</v>
      </c>
      <c r="E431" s="48" t="s">
        <v>821</v>
      </c>
      <c r="F431" s="48" t="s">
        <v>555</v>
      </c>
      <c r="G431" s="49">
        <v>10</v>
      </c>
      <c r="H431" s="10">
        <f>Table_246[[#This Row],[QT]]*Table_246[[#This Row],[Custo 
Un]]</f>
        <v>10</v>
      </c>
      <c r="I431" s="52">
        <v>20</v>
      </c>
      <c r="J431" s="263">
        <f t="shared" si="22"/>
        <v>20</v>
      </c>
      <c r="K431" s="10">
        <f t="shared" si="21"/>
        <v>20</v>
      </c>
      <c r="L431" s="50">
        <f>Table_246[[#This Row],[Valor da 
venda]]-Table_246[[#This Row],[Valor gasto]]</f>
        <v>10</v>
      </c>
      <c r="M431" s="111">
        <f t="shared" si="23"/>
        <v>0.5</v>
      </c>
      <c r="N431" s="52" t="s">
        <v>993</v>
      </c>
      <c r="O431" s="114" t="str">
        <f>IF([1]!Table_246[[#This Row],[Coluna2]]&gt;0.5, "🔥 Excelente", IF([1]!Table_246[[#This Row],[Coluna2]]&gt;0.4, "👍 Bom", "⚠️ Baixo"))</f>
        <v>⚠️ Baixo</v>
      </c>
    </row>
    <row r="432" spans="1:15" ht="15" customHeight="1">
      <c r="A432" s="28">
        <f>IF(Table_246[[#This Row],[Data]]="","",MONTH(Table_246[[#This Row],[Data]]))</f>
        <v>6</v>
      </c>
      <c r="B432" s="32">
        <v>46183</v>
      </c>
      <c r="C432" s="273" t="s">
        <v>2340</v>
      </c>
      <c r="D432" s="274">
        <v>1</v>
      </c>
      <c r="E432" s="275" t="s">
        <v>1008</v>
      </c>
      <c r="F432" s="275" t="s">
        <v>555</v>
      </c>
      <c r="G432" s="276">
        <v>20</v>
      </c>
      <c r="H432" s="277">
        <v>20</v>
      </c>
      <c r="I432" s="278">
        <v>25</v>
      </c>
      <c r="J432" s="277">
        <v>25</v>
      </c>
      <c r="K432" s="279">
        <v>5</v>
      </c>
      <c r="L432" s="280">
        <f t="shared" ref="L432:M452" si="24">IFERROR(K432/J432, 0)</f>
        <v>0.2</v>
      </c>
      <c r="M432" s="280">
        <f t="shared" si="23"/>
        <v>0.04</v>
      </c>
      <c r="N432" s="278" t="s">
        <v>20</v>
      </c>
      <c r="O432" s="272" t="str">
        <f>IF([1]!Table_246[[#This Row],[Coluna2]]&gt;0.5, "🔥 Excelente", IF([1]!Table_246[[#This Row],[Coluna2]]&gt;0.4, "👍 Bom", "⚠️ Baixo"))</f>
        <v>⚠️ Baixo</v>
      </c>
    </row>
    <row r="433" spans="1:15" ht="15" customHeight="1">
      <c r="A433" s="28">
        <f>IF(Table_246[[#This Row],[Data]]="","",MONTH(Table_246[[#This Row],[Data]]))</f>
        <v>6</v>
      </c>
      <c r="B433" s="32">
        <v>46184</v>
      </c>
      <c r="C433" s="273" t="s">
        <v>2341</v>
      </c>
      <c r="D433" s="274">
        <v>6</v>
      </c>
      <c r="E433" s="275" t="s">
        <v>1008</v>
      </c>
      <c r="F433" s="275" t="s">
        <v>555</v>
      </c>
      <c r="G433" s="276">
        <v>6</v>
      </c>
      <c r="H433" s="277">
        <v>36</v>
      </c>
      <c r="I433" s="278">
        <v>7</v>
      </c>
      <c r="J433" s="277">
        <v>42</v>
      </c>
      <c r="K433" s="279">
        <v>6</v>
      </c>
      <c r="L433" s="280">
        <f t="shared" si="24"/>
        <v>0.14285714285714285</v>
      </c>
      <c r="M433" s="280">
        <f t="shared" si="23"/>
        <v>2.3809523809523808E-2</v>
      </c>
      <c r="N433" s="278" t="s">
        <v>20</v>
      </c>
      <c r="O433" s="272" t="str">
        <f>IF([1]!Table_246[[#This Row],[Coluna2]]&gt;0.5, "🔥 Excelente", IF([1]!Table_246[[#This Row],[Coluna2]]&gt;0.4, "👍 Bom", "⚠️ Baixo"))</f>
        <v>⚠️ Baixo</v>
      </c>
    </row>
    <row r="434" spans="1:15" ht="15" customHeight="1">
      <c r="A434" s="28">
        <f>IF(Table_246[[#This Row],[Data]]="","",MONTH(Table_246[[#This Row],[Data]]))</f>
        <v>6</v>
      </c>
      <c r="B434" s="32">
        <v>46185</v>
      </c>
      <c r="C434" s="273" t="s">
        <v>2342</v>
      </c>
      <c r="D434" s="274">
        <v>1</v>
      </c>
      <c r="E434" s="275" t="s">
        <v>1008</v>
      </c>
      <c r="F434" s="275" t="s">
        <v>555</v>
      </c>
      <c r="G434" s="276">
        <v>45</v>
      </c>
      <c r="H434" s="277">
        <v>45</v>
      </c>
      <c r="I434" s="278">
        <v>80</v>
      </c>
      <c r="J434" s="277">
        <v>80</v>
      </c>
      <c r="K434" s="279">
        <v>35</v>
      </c>
      <c r="L434" s="280">
        <f t="shared" si="24"/>
        <v>0.4375</v>
      </c>
      <c r="M434" s="280">
        <f t="shared" si="23"/>
        <v>1.2500000000000001E-2</v>
      </c>
      <c r="N434" s="278" t="s">
        <v>20</v>
      </c>
      <c r="O434" s="272" t="str">
        <f>IF([1]!Table_246[[#This Row],[Coluna2]]&gt;0.5, "🔥 Excelente", IF([1]!Table_246[[#This Row],[Coluna2]]&gt;0.4, "👍 Bom", "⚠️ Baixo"))</f>
        <v>⚠️ Baixo</v>
      </c>
    </row>
    <row r="435" spans="1:15" ht="15" customHeight="1">
      <c r="A435" s="28">
        <f>IF(Table_246[[#This Row],[Data]]="","",MONTH(Table_246[[#This Row],[Data]]))</f>
        <v>6</v>
      </c>
      <c r="B435" s="32">
        <v>46186</v>
      </c>
      <c r="C435" s="273" t="s">
        <v>2343</v>
      </c>
      <c r="D435" s="274">
        <v>1</v>
      </c>
      <c r="E435" s="275" t="s">
        <v>1008</v>
      </c>
      <c r="F435" s="275" t="s">
        <v>555</v>
      </c>
      <c r="G435" s="276" t="str">
        <f>IFERROR(VLOOKUP(C435,[1]PROD!$A$2:$F$1204,5,0),"0")</f>
        <v>0</v>
      </c>
      <c r="H435" s="277">
        <v>0</v>
      </c>
      <c r="I435" s="278">
        <v>15</v>
      </c>
      <c r="J435" s="277">
        <v>15</v>
      </c>
      <c r="K435" s="279">
        <v>15</v>
      </c>
      <c r="L435" s="280">
        <f t="shared" si="24"/>
        <v>1</v>
      </c>
      <c r="M435" s="280">
        <f t="shared" si="23"/>
        <v>6.6666666666666666E-2</v>
      </c>
      <c r="N435" s="278" t="s">
        <v>20</v>
      </c>
      <c r="O435" s="272" t="str">
        <f>IF([1]!Table_246[[#This Row],[Coluna2]]&gt;0.5, "🔥 Excelente", IF([1]!Table_246[[#This Row],[Coluna2]]&gt;0.4, "👍 Bom", "⚠️ Baixo"))</f>
        <v>⚠️ Baixo</v>
      </c>
    </row>
    <row r="436" spans="1:15" ht="15" customHeight="1">
      <c r="A436" s="28">
        <f>IF(Table_246[[#This Row],[Data]]="","",MONTH(Table_246[[#This Row],[Data]]))</f>
        <v>6</v>
      </c>
      <c r="B436" s="32">
        <v>46187</v>
      </c>
      <c r="C436" s="273" t="s">
        <v>2344</v>
      </c>
      <c r="D436" s="274">
        <v>3</v>
      </c>
      <c r="E436" s="275" t="s">
        <v>1008</v>
      </c>
      <c r="F436" s="275" t="s">
        <v>555</v>
      </c>
      <c r="G436" s="276">
        <v>5</v>
      </c>
      <c r="H436" s="277">
        <v>15</v>
      </c>
      <c r="I436" s="278">
        <v>7</v>
      </c>
      <c r="J436" s="277">
        <v>21</v>
      </c>
      <c r="K436" s="279">
        <v>6</v>
      </c>
      <c r="L436" s="280">
        <f t="shared" si="24"/>
        <v>0.2857142857142857</v>
      </c>
      <c r="M436" s="280">
        <f t="shared" si="23"/>
        <v>4.7619047619047616E-2</v>
      </c>
      <c r="N436" s="278" t="s">
        <v>20</v>
      </c>
      <c r="O436" s="272" t="str">
        <f>IF([1]!Table_246[[#This Row],[Coluna2]]&gt;0.5, "🔥 Excelente", IF([1]!Table_246[[#This Row],[Coluna2]]&gt;0.4, "👍 Bom", "⚠️ Baixo"))</f>
        <v>⚠️ Baixo</v>
      </c>
    </row>
    <row r="437" spans="1:15" ht="15" customHeight="1">
      <c r="A437" s="28">
        <f>IF(Table_246[[#This Row],[Data]]="","",MONTH(Table_246[[#This Row],[Data]]))</f>
        <v>6</v>
      </c>
      <c r="B437" s="32">
        <v>46188</v>
      </c>
      <c r="C437" s="273" t="s">
        <v>2345</v>
      </c>
      <c r="D437" s="274">
        <v>1</v>
      </c>
      <c r="E437" s="275" t="s">
        <v>1008</v>
      </c>
      <c r="F437" s="275" t="s">
        <v>555</v>
      </c>
      <c r="G437" s="276">
        <v>4.5</v>
      </c>
      <c r="H437" s="277">
        <v>4.5</v>
      </c>
      <c r="I437" s="278">
        <v>10</v>
      </c>
      <c r="J437" s="277">
        <v>10</v>
      </c>
      <c r="K437" s="279">
        <v>5.5</v>
      </c>
      <c r="L437" s="280">
        <f t="shared" si="24"/>
        <v>0.55000000000000004</v>
      </c>
      <c r="M437" s="280">
        <f t="shared" si="23"/>
        <v>0.1</v>
      </c>
      <c r="N437" s="278" t="s">
        <v>20</v>
      </c>
      <c r="O437" s="272" t="str">
        <f>IF([1]!Table_246[[#This Row],[Coluna2]]&gt;0.5, "🔥 Excelente", IF([1]!Table_246[[#This Row],[Coluna2]]&gt;0.4, "👍 Bom", "⚠️ Baixo"))</f>
        <v>⚠️ Baixo</v>
      </c>
    </row>
    <row r="438" spans="1:15" ht="15" customHeight="1">
      <c r="A438" s="28">
        <f>IF(Table_246[[#This Row],[Data]]="","",MONTH(Table_246[[#This Row],[Data]]))</f>
        <v>6</v>
      </c>
      <c r="B438" s="32">
        <v>46189</v>
      </c>
      <c r="C438" s="273" t="s">
        <v>2345</v>
      </c>
      <c r="D438" s="274">
        <v>2</v>
      </c>
      <c r="E438" s="275" t="s">
        <v>1008</v>
      </c>
      <c r="F438" s="275" t="s">
        <v>555</v>
      </c>
      <c r="G438" s="276">
        <v>4.5</v>
      </c>
      <c r="H438" s="277">
        <v>9</v>
      </c>
      <c r="I438" s="278">
        <v>7</v>
      </c>
      <c r="J438" s="277">
        <v>14</v>
      </c>
      <c r="K438" s="279">
        <v>5</v>
      </c>
      <c r="L438" s="280">
        <f t="shared" si="24"/>
        <v>0.35714285714285715</v>
      </c>
      <c r="M438" s="280">
        <f t="shared" si="23"/>
        <v>7.1428571428571425E-2</v>
      </c>
      <c r="N438" s="278" t="s">
        <v>20</v>
      </c>
      <c r="O438" s="272" t="str">
        <f>IF([1]!Table_246[[#This Row],[Coluna2]]&gt;0.5, "🔥 Excelente", IF([1]!Table_246[[#This Row],[Coluna2]]&gt;0.4, "👍 Bom", "⚠️ Baixo"))</f>
        <v>⚠️ Baixo</v>
      </c>
    </row>
    <row r="439" spans="1:15" ht="15" customHeight="1">
      <c r="A439" s="28">
        <f>IF(Table_246[[#This Row],[Data]]="","",MONTH(Table_246[[#This Row],[Data]]))</f>
        <v>6</v>
      </c>
      <c r="B439" s="32">
        <v>46190</v>
      </c>
      <c r="C439" s="273" t="s">
        <v>223</v>
      </c>
      <c r="D439" s="274">
        <v>1</v>
      </c>
      <c r="E439" s="275" t="s">
        <v>630</v>
      </c>
      <c r="F439" s="275" t="s">
        <v>555</v>
      </c>
      <c r="G439" s="276">
        <f>IFERROR(VLOOKUP(C439,[1]PROD!$A$2:$F$1204,5,0),"0")</f>
        <v>0</v>
      </c>
      <c r="H439" s="277">
        <v>0</v>
      </c>
      <c r="I439" s="278">
        <v>20</v>
      </c>
      <c r="J439" s="277">
        <v>20</v>
      </c>
      <c r="K439" s="279">
        <v>20</v>
      </c>
      <c r="L439" s="280">
        <f t="shared" si="24"/>
        <v>1</v>
      </c>
      <c r="M439" s="280">
        <f t="shared" si="23"/>
        <v>0.05</v>
      </c>
      <c r="N439" s="278" t="s">
        <v>20</v>
      </c>
      <c r="O439" s="272" t="str">
        <f>IF([1]!Table_246[[#This Row],[Coluna2]]&gt;0.5, "🔥 Excelente", IF([1]!Table_246[[#This Row],[Coluna2]]&gt;0.4, "👍 Bom", "⚠️ Baixo"))</f>
        <v>⚠️ Baixo</v>
      </c>
    </row>
    <row r="440" spans="1:15" ht="15" customHeight="1">
      <c r="A440" s="28">
        <f>IF(Table_246[[#This Row],[Data]]="","",MONTH(Table_246[[#This Row],[Data]]))</f>
        <v>6</v>
      </c>
      <c r="B440" s="32">
        <v>46191</v>
      </c>
      <c r="C440" s="273" t="s">
        <v>2342</v>
      </c>
      <c r="D440" s="274">
        <v>1</v>
      </c>
      <c r="E440" s="275" t="s">
        <v>1008</v>
      </c>
      <c r="F440" s="275" t="s">
        <v>555</v>
      </c>
      <c r="G440" s="276">
        <v>45</v>
      </c>
      <c r="H440" s="277">
        <v>45</v>
      </c>
      <c r="I440" s="278">
        <v>65</v>
      </c>
      <c r="J440" s="277">
        <v>65</v>
      </c>
      <c r="K440" s="279">
        <v>20</v>
      </c>
      <c r="L440" s="280">
        <f t="shared" si="24"/>
        <v>0.30769230769230771</v>
      </c>
      <c r="M440" s="280">
        <f t="shared" si="23"/>
        <v>1.5384615384615385E-2</v>
      </c>
      <c r="N440" s="278" t="s">
        <v>20</v>
      </c>
      <c r="O440" s="272" t="str">
        <f>IF([1]!Table_246[[#This Row],[Coluna2]]&gt;0.5, "🔥 Excelente", IF([1]!Table_246[[#This Row],[Coluna2]]&gt;0.4, "👍 Bom", "⚠️ Baixo"))</f>
        <v>⚠️ Baixo</v>
      </c>
    </row>
    <row r="441" spans="1:15" ht="15" customHeight="1">
      <c r="A441" s="28">
        <f>IF(Table_246[[#This Row],[Data]]="","",MONTH(Table_246[[#This Row],[Data]]))</f>
        <v>6</v>
      </c>
      <c r="B441" s="32">
        <v>46192</v>
      </c>
      <c r="C441" s="281" t="s">
        <v>2344</v>
      </c>
      <c r="D441" s="274">
        <v>1</v>
      </c>
      <c r="E441" s="275" t="s">
        <v>239</v>
      </c>
      <c r="F441" s="275" t="s">
        <v>555</v>
      </c>
      <c r="G441" s="276">
        <v>5</v>
      </c>
      <c r="H441" s="277">
        <v>5</v>
      </c>
      <c r="I441" s="278">
        <v>10</v>
      </c>
      <c r="J441" s="277">
        <v>10</v>
      </c>
      <c r="K441" s="279">
        <v>5</v>
      </c>
      <c r="L441" s="280">
        <f t="shared" si="24"/>
        <v>0.5</v>
      </c>
      <c r="M441" s="280">
        <f t="shared" si="23"/>
        <v>0.1</v>
      </c>
      <c r="N441" s="278" t="s">
        <v>20</v>
      </c>
      <c r="O441" s="272" t="str">
        <f>IF([1]!Table_246[[#This Row],[Coluna2]]&gt;0.5, "🔥 Excelente", IF([1]!Table_246[[#This Row],[Coluna2]]&gt;0.4, "👍 Bom", "⚠️ Baixo"))</f>
        <v>⚠️ Baixo</v>
      </c>
    </row>
    <row r="442" spans="1:15" ht="15" customHeight="1">
      <c r="A442" s="28">
        <f>IF(Table_246[[#This Row],[Data]]="","",MONTH(Table_246[[#This Row],[Data]]))</f>
        <v>6</v>
      </c>
      <c r="B442" s="32">
        <v>46193</v>
      </c>
      <c r="C442" s="273" t="s">
        <v>2346</v>
      </c>
      <c r="D442" s="274">
        <v>2</v>
      </c>
      <c r="E442" s="275" t="s">
        <v>773</v>
      </c>
      <c r="F442" s="275" t="s">
        <v>555</v>
      </c>
      <c r="G442" s="276">
        <v>2.5</v>
      </c>
      <c r="H442" s="277">
        <v>5</v>
      </c>
      <c r="I442" s="278">
        <v>5</v>
      </c>
      <c r="J442" s="277">
        <v>10</v>
      </c>
      <c r="K442" s="279">
        <v>5</v>
      </c>
      <c r="L442" s="280">
        <f t="shared" si="24"/>
        <v>0.5</v>
      </c>
      <c r="M442" s="280">
        <f t="shared" si="23"/>
        <v>0.1</v>
      </c>
      <c r="N442" s="278" t="s">
        <v>20</v>
      </c>
      <c r="O442" s="272" t="str">
        <f>IF([1]!Table_246[[#This Row],[Coluna2]]&gt;0.5, "🔥 Excelente", IF([1]!Table_246[[#This Row],[Coluna2]]&gt;0.4, "👍 Bom", "⚠️ Baixo"))</f>
        <v>⚠️ Baixo</v>
      </c>
    </row>
    <row r="443" spans="1:15" ht="15" customHeight="1">
      <c r="A443" s="28">
        <f>IF(Table_246[[#This Row],[Data]]="","",MONTH(Table_246[[#This Row],[Data]]))</f>
        <v>6</v>
      </c>
      <c r="B443" s="32">
        <v>46194</v>
      </c>
      <c r="C443" s="273" t="s">
        <v>1065</v>
      </c>
      <c r="D443" s="274">
        <v>1</v>
      </c>
      <c r="E443" s="275" t="s">
        <v>1008</v>
      </c>
      <c r="F443" s="275" t="s">
        <v>555</v>
      </c>
      <c r="G443" s="276">
        <v>10</v>
      </c>
      <c r="H443" s="277">
        <v>10</v>
      </c>
      <c r="I443" s="278">
        <v>25</v>
      </c>
      <c r="J443" s="277">
        <v>25</v>
      </c>
      <c r="K443" s="279">
        <v>15</v>
      </c>
      <c r="L443" s="280">
        <f t="shared" si="24"/>
        <v>0.6</v>
      </c>
      <c r="M443" s="280">
        <f t="shared" si="23"/>
        <v>0.04</v>
      </c>
      <c r="N443" s="278" t="s">
        <v>20</v>
      </c>
      <c r="O443" s="272" t="str">
        <f>IF([1]!Table_246[[#This Row],[Coluna2]]&gt;0.5, "🔥 Excelente", IF([1]!Table_246[[#This Row],[Coluna2]]&gt;0.4, "👍 Bom", "⚠️ Baixo"))</f>
        <v>⚠️ Baixo</v>
      </c>
    </row>
    <row r="444" spans="1:15" ht="15" customHeight="1">
      <c r="A444" s="28">
        <f>IF(Table_246[[#This Row],[Data]]="","",MONTH(Table_246[[#This Row],[Data]]))</f>
        <v>6</v>
      </c>
      <c r="B444" s="32">
        <v>46195</v>
      </c>
      <c r="C444" s="273" t="s">
        <v>2347</v>
      </c>
      <c r="D444" s="274">
        <v>1</v>
      </c>
      <c r="E444" s="275" t="s">
        <v>1008</v>
      </c>
      <c r="F444" s="275" t="s">
        <v>555</v>
      </c>
      <c r="G444" s="276">
        <v>10</v>
      </c>
      <c r="H444" s="277">
        <v>10</v>
      </c>
      <c r="I444" s="278">
        <v>20</v>
      </c>
      <c r="J444" s="277">
        <v>20</v>
      </c>
      <c r="K444" s="279">
        <v>10</v>
      </c>
      <c r="L444" s="280">
        <f t="shared" si="24"/>
        <v>0.5</v>
      </c>
      <c r="M444" s="280">
        <f t="shared" si="23"/>
        <v>0.05</v>
      </c>
      <c r="N444" s="278" t="s">
        <v>20</v>
      </c>
      <c r="O444" s="272" t="str">
        <f>IF([1]!Table_246[[#This Row],[Coluna2]]&gt;0.5, "🔥 Excelente", IF([1]!Table_246[[#This Row],[Coluna2]]&gt;0.4, "👍 Bom", "⚠️ Baixo"))</f>
        <v>⚠️ Baixo</v>
      </c>
    </row>
    <row r="445" spans="1:15" ht="15" customHeight="1">
      <c r="A445" s="28">
        <f>IF(Table_246[[#This Row],[Data]]="","",MONTH(Table_246[[#This Row],[Data]]))</f>
        <v>6</v>
      </c>
      <c r="B445" s="32">
        <v>46196</v>
      </c>
      <c r="C445" s="273" t="s">
        <v>2341</v>
      </c>
      <c r="D445" s="274">
        <v>2</v>
      </c>
      <c r="E445" s="275" t="s">
        <v>2348</v>
      </c>
      <c r="F445" s="275" t="s">
        <v>555</v>
      </c>
      <c r="G445" s="276">
        <f>51/12</f>
        <v>4.25</v>
      </c>
      <c r="H445" s="277">
        <v>8.5</v>
      </c>
      <c r="I445" s="278">
        <v>7</v>
      </c>
      <c r="J445" s="277">
        <v>14</v>
      </c>
      <c r="K445" s="279">
        <v>5.5</v>
      </c>
      <c r="L445" s="280">
        <f t="shared" si="24"/>
        <v>0.39285714285714285</v>
      </c>
      <c r="M445" s="280">
        <f t="shared" si="23"/>
        <v>7.1428571428571425E-2</v>
      </c>
      <c r="N445" s="278" t="s">
        <v>993</v>
      </c>
      <c r="O445" s="272" t="str">
        <f>IF([1]!Table_246[[#This Row],[Coluna2]]&gt;0.5, "🔥 Excelente", IF([1]!Table_246[[#This Row],[Coluna2]]&gt;0.4, "👍 Bom", "⚠️ Baixo"))</f>
        <v>⚠️ Baixo</v>
      </c>
    </row>
    <row r="446" spans="1:15" ht="15" customHeight="1">
      <c r="A446" s="28">
        <f>IF(Table_246[[#This Row],[Data]]="","",MONTH(Table_246[[#This Row],[Data]]))</f>
        <v>6</v>
      </c>
      <c r="B446" s="32">
        <v>46197</v>
      </c>
      <c r="C446" s="273" t="s">
        <v>2341</v>
      </c>
      <c r="D446" s="274">
        <v>2</v>
      </c>
      <c r="E446" s="275" t="s">
        <v>773</v>
      </c>
      <c r="F446" s="275" t="s">
        <v>555</v>
      </c>
      <c r="G446" s="276">
        <f t="shared" ref="G446:G447" si="25">51/12</f>
        <v>4.25</v>
      </c>
      <c r="H446" s="277">
        <v>8.5</v>
      </c>
      <c r="I446" s="278">
        <v>7</v>
      </c>
      <c r="J446" s="277">
        <v>14</v>
      </c>
      <c r="K446" s="279">
        <v>5.5</v>
      </c>
      <c r="L446" s="280">
        <f t="shared" si="24"/>
        <v>0.39285714285714285</v>
      </c>
      <c r="M446" s="280">
        <f t="shared" si="23"/>
        <v>7.1428571428571425E-2</v>
      </c>
      <c r="N446" s="278" t="s">
        <v>993</v>
      </c>
      <c r="O446" s="272" t="str">
        <f>IF([1]!Table_246[[#This Row],[Coluna2]]&gt;0.5, "🔥 Excelente", IF([1]!Table_246[[#This Row],[Coluna2]]&gt;0.4, "👍 Bom", "⚠️ Baixo"))</f>
        <v>⚠️ Baixo</v>
      </c>
    </row>
    <row r="447" spans="1:15" ht="15" customHeight="1">
      <c r="A447" s="28">
        <f>IF(Table_246[[#This Row],[Data]]="","",MONTH(Table_246[[#This Row],[Data]]))</f>
        <v>6</v>
      </c>
      <c r="B447" s="32">
        <v>46198</v>
      </c>
      <c r="C447" s="273" t="s">
        <v>2341</v>
      </c>
      <c r="D447" s="274">
        <v>2</v>
      </c>
      <c r="E447" s="275" t="s">
        <v>821</v>
      </c>
      <c r="F447" s="275" t="s">
        <v>555</v>
      </c>
      <c r="G447" s="276">
        <f t="shared" si="25"/>
        <v>4.25</v>
      </c>
      <c r="H447" s="277">
        <v>8.5</v>
      </c>
      <c r="I447" s="278">
        <v>7</v>
      </c>
      <c r="J447" s="277">
        <v>14</v>
      </c>
      <c r="K447" s="279">
        <v>5.5</v>
      </c>
      <c r="L447" s="280">
        <f t="shared" si="24"/>
        <v>0.39285714285714285</v>
      </c>
      <c r="M447" s="280">
        <f t="shared" si="23"/>
        <v>7.1428571428571425E-2</v>
      </c>
      <c r="N447" s="278" t="s">
        <v>20</v>
      </c>
      <c r="O447" s="272" t="str">
        <f>IF([1]!Table_246[[#This Row],[Coluna2]]&gt;0.5, "🔥 Excelente", IF([1]!Table_246[[#This Row],[Coluna2]]&gt;0.4, "👍 Bom", "⚠️ Baixo"))</f>
        <v>⚠️ Baixo</v>
      </c>
    </row>
    <row r="448" spans="1:15" ht="15" customHeight="1">
      <c r="A448" s="28">
        <f>IF(Table_246[[#This Row],[Data]]="","",MONTH(Table_246[[#This Row],[Data]]))</f>
        <v>6</v>
      </c>
      <c r="B448" s="32">
        <v>46199</v>
      </c>
      <c r="C448" s="273" t="s">
        <v>2349</v>
      </c>
      <c r="D448" s="274">
        <v>1</v>
      </c>
      <c r="E448" s="275" t="s">
        <v>1008</v>
      </c>
      <c r="F448" s="275" t="s">
        <v>555</v>
      </c>
      <c r="G448" s="276" t="str">
        <f>IFERROR(VLOOKUP(C448,[1]PROD!$A$2:$F$1204,5,0),"0")</f>
        <v>0</v>
      </c>
      <c r="H448" s="277">
        <v>0</v>
      </c>
      <c r="I448" s="278">
        <v>20</v>
      </c>
      <c r="J448" s="277">
        <v>20</v>
      </c>
      <c r="K448" s="279">
        <v>20</v>
      </c>
      <c r="L448" s="280">
        <f t="shared" si="24"/>
        <v>1</v>
      </c>
      <c r="M448" s="280">
        <f t="shared" si="23"/>
        <v>0.05</v>
      </c>
      <c r="N448" s="278" t="s">
        <v>20</v>
      </c>
      <c r="O448" s="272" t="str">
        <f>IF([1]!Table_246[[#This Row],[Coluna2]]&gt;0.5, "🔥 Excelente", IF([1]!Table_246[[#This Row],[Coluna2]]&gt;0.4, "👍 Bom", "⚠️ Baixo"))</f>
        <v>⚠️ Baixo</v>
      </c>
    </row>
    <row r="449" spans="1:15" ht="15" customHeight="1">
      <c r="A449" s="28">
        <f>IF(Table_246[[#This Row],[Data]]="","",MONTH(Table_246[[#This Row],[Data]]))</f>
        <v>6</v>
      </c>
      <c r="B449" s="32">
        <v>46200</v>
      </c>
      <c r="C449" s="273" t="s">
        <v>2350</v>
      </c>
      <c r="D449" s="274">
        <v>2</v>
      </c>
      <c r="E449" s="275" t="s">
        <v>1008</v>
      </c>
      <c r="F449" s="275" t="s">
        <v>555</v>
      </c>
      <c r="G449" s="276" t="str">
        <f>IFERROR(VLOOKUP(C449,[1]PROD!$A$2:$F$1204,5,0),"0")</f>
        <v>0</v>
      </c>
      <c r="H449" s="277">
        <v>0</v>
      </c>
      <c r="I449" s="278">
        <v>5</v>
      </c>
      <c r="J449" s="277">
        <v>10</v>
      </c>
      <c r="K449" s="279">
        <v>10</v>
      </c>
      <c r="L449" s="280">
        <f t="shared" si="24"/>
        <v>1</v>
      </c>
      <c r="M449" s="280">
        <f t="shared" si="23"/>
        <v>0.1</v>
      </c>
      <c r="N449" s="278" t="s">
        <v>20</v>
      </c>
      <c r="O449" s="272" t="str">
        <f>IF([1]!Table_246[[#This Row],[Coluna2]]&gt;0.5, "🔥 Excelente", IF([1]!Table_246[[#This Row],[Coluna2]]&gt;0.4, "👍 Bom", "⚠️ Baixo"))</f>
        <v>⚠️ Baixo</v>
      </c>
    </row>
    <row r="450" spans="1:15" ht="15" customHeight="1">
      <c r="A450" s="28">
        <f>IF(Table_246[[#This Row],[Data]]="","",MONTH(Table_246[[#This Row],[Data]]))</f>
        <v>6</v>
      </c>
      <c r="B450" s="32">
        <v>46201</v>
      </c>
      <c r="C450" s="273" t="s">
        <v>2351</v>
      </c>
      <c r="D450" s="274">
        <v>4</v>
      </c>
      <c r="E450" s="275" t="s">
        <v>1008</v>
      </c>
      <c r="F450" s="275" t="s">
        <v>555</v>
      </c>
      <c r="G450" s="276">
        <v>1.5</v>
      </c>
      <c r="H450" s="277">
        <v>6</v>
      </c>
      <c r="I450" s="278">
        <v>10</v>
      </c>
      <c r="J450" s="277">
        <v>40</v>
      </c>
      <c r="K450" s="279">
        <v>34</v>
      </c>
      <c r="L450" s="280">
        <f t="shared" si="24"/>
        <v>0.85</v>
      </c>
      <c r="M450" s="280">
        <f t="shared" si="24"/>
        <v>2.4999999999999998E-2</v>
      </c>
      <c r="N450" s="278" t="s">
        <v>20</v>
      </c>
      <c r="O450" s="272" t="str">
        <f>IF([1]!Table_246[[#This Row],[Coluna2]]&gt;0.5, "🔥 Excelente", IF([1]!Table_246[[#This Row],[Coluna2]]&gt;0.4, "👍 Bom", "⚠️ Baixo"))</f>
        <v>⚠️ Baixo</v>
      </c>
    </row>
    <row r="451" spans="1:15" ht="15" customHeight="1">
      <c r="A451" s="28">
        <f>IF(Table_246[[#This Row],[Data]]="","",MONTH(Table_246[[#This Row],[Data]]))</f>
        <v>6</v>
      </c>
      <c r="B451" s="32">
        <v>46202</v>
      </c>
      <c r="C451" s="273" t="s">
        <v>2352</v>
      </c>
      <c r="D451" s="274">
        <v>1</v>
      </c>
      <c r="E451" s="275" t="s">
        <v>1008</v>
      </c>
      <c r="F451" s="275" t="s">
        <v>555</v>
      </c>
      <c r="G451" s="276">
        <v>280</v>
      </c>
      <c r="H451" s="277">
        <v>280</v>
      </c>
      <c r="I451" s="278">
        <v>350</v>
      </c>
      <c r="J451" s="277">
        <v>350</v>
      </c>
      <c r="K451" s="279">
        <v>70</v>
      </c>
      <c r="L451" s="280">
        <f t="shared" si="24"/>
        <v>0.2</v>
      </c>
      <c r="M451" s="280">
        <f t="shared" si="24"/>
        <v>2.8571428571428571E-3</v>
      </c>
      <c r="N451" s="278" t="s">
        <v>20</v>
      </c>
      <c r="O451" s="272" t="str">
        <f>IF([1]!Table_246[[#This Row],[Coluna2]]&gt;0.5, "🔥 Excelente", IF([1]!Table_246[[#This Row],[Coluna2]]&gt;0.4, "👍 Bom", "⚠️ Baixo"))</f>
        <v>⚠️ Baixo</v>
      </c>
    </row>
    <row r="452" spans="1:15" ht="15" customHeight="1">
      <c r="A452" s="28">
        <f>IF(Table_246[[#This Row],[Data]]="","",MONTH(Table_246[[#This Row],[Data]]))</f>
        <v>6</v>
      </c>
      <c r="B452" s="32">
        <v>46203</v>
      </c>
      <c r="C452" s="273" t="s">
        <v>146</v>
      </c>
      <c r="D452" s="274">
        <v>2</v>
      </c>
      <c r="E452" s="275" t="s">
        <v>239</v>
      </c>
      <c r="F452" s="275" t="s">
        <v>555</v>
      </c>
      <c r="G452" s="276">
        <f>IFERROR(VLOOKUP(C452,[1]PROD!$A$2:$F$1204,5,0),"0")</f>
        <v>7.0000000000000007E-2</v>
      </c>
      <c r="H452" s="277">
        <v>0.14000000000000001</v>
      </c>
      <c r="I452" s="278">
        <v>1</v>
      </c>
      <c r="J452" s="277">
        <v>2</v>
      </c>
      <c r="K452" s="279">
        <v>1.8599999999999999</v>
      </c>
      <c r="L452" s="280">
        <f t="shared" si="24"/>
        <v>0.92999999999999994</v>
      </c>
      <c r="M452" s="280">
        <f t="shared" si="24"/>
        <v>0.5</v>
      </c>
      <c r="N452" s="278" t="s">
        <v>20</v>
      </c>
      <c r="O452" s="272" t="str">
        <f>IF([1]!Table_246[[#This Row],[Coluna2]]&gt;0.5, "🔥 Excelente", IF([1]!Table_246[[#This Row],[Coluna2]]&gt;0.4, "👍 Bom", "⚠️ Baixo"))</f>
        <v>⚠️ Baixo</v>
      </c>
    </row>
    <row r="453" spans="1:15" ht="15" customHeight="1">
      <c r="A453" s="28" t="str">
        <f>IF(Table_246[[#This Row],[Data]]="","",MONTH(Table_246[[#This Row],[Data]]))</f>
        <v/>
      </c>
      <c r="B453" s="32"/>
      <c r="C453" s="36"/>
      <c r="D453" s="43"/>
      <c r="E453" s="48"/>
      <c r="F453" s="48"/>
      <c r="G453" s="49" t="str">
        <f>IFERROR(VLOOKUP(C453,PROD!$A$2:$E$1204,5,0),"0")</f>
        <v>0</v>
      </c>
      <c r="H453" s="10">
        <f>Table_246[[#This Row],[QT]]*Table_246[[#This Row],[Custo 
Un]]</f>
        <v>0</v>
      </c>
      <c r="I453" s="52"/>
      <c r="J453" s="263">
        <f t="shared" ref="J453:J513" si="26">I453*D453</f>
        <v>0</v>
      </c>
      <c r="K453" s="10">
        <f t="shared" ref="K453:K499" si="27">I453*D453</f>
        <v>0</v>
      </c>
      <c r="L453" s="50">
        <f>Table_246[[#This Row],[Valor da 
venda]]-Table_246[[#This Row],[Valor gasto]]</f>
        <v>0</v>
      </c>
      <c r="M453" s="111">
        <f t="shared" ref="M453:M516" si="28">IFERROR(L453/K453, 0)</f>
        <v>0</v>
      </c>
      <c r="N453" s="52"/>
      <c r="O453" s="114" t="str">
        <f>IF([1]!Table_246[[#This Row],[Coluna2]]&gt;0.5, "🔥 Excelente", IF([1]!Table_246[[#This Row],[Coluna2]]&gt;0.4, "👍 Bom", "⚠️ Baixo"))</f>
        <v>⚠️ Baixo</v>
      </c>
    </row>
    <row r="454" spans="1:15" ht="15" customHeight="1">
      <c r="A454" s="28" t="str">
        <f>IF(Table_246[[#This Row],[Data]]="","",MONTH(Table_246[[#This Row],[Data]]))</f>
        <v/>
      </c>
      <c r="B454" s="32"/>
      <c r="C454" s="36"/>
      <c r="D454" s="43"/>
      <c r="E454" s="48"/>
      <c r="F454" s="48"/>
      <c r="G454" s="49" t="str">
        <f>IFERROR(VLOOKUP(C454,PROD!$A$2:$E$1204,5,0),"0")</f>
        <v>0</v>
      </c>
      <c r="H454" s="10">
        <f>Table_246[[#This Row],[QT]]*Table_246[[#This Row],[Custo 
Un]]</f>
        <v>0</v>
      </c>
      <c r="I454" s="52"/>
      <c r="J454" s="263">
        <f t="shared" si="26"/>
        <v>0</v>
      </c>
      <c r="K454" s="10">
        <f t="shared" si="27"/>
        <v>0</v>
      </c>
      <c r="L454" s="50">
        <f>Table_246[[#This Row],[Valor da 
venda]]-Table_246[[#This Row],[Valor gasto]]</f>
        <v>0</v>
      </c>
      <c r="M454" s="111">
        <f t="shared" si="28"/>
        <v>0</v>
      </c>
      <c r="N454" s="52"/>
      <c r="O454" s="114" t="str">
        <f>IF([1]!Table_246[[#This Row],[Coluna2]]&gt;0.5, "🔥 Excelente", IF([1]!Table_246[[#This Row],[Coluna2]]&gt;0.4, "👍 Bom", "⚠️ Baixo"))</f>
        <v>⚠️ Baixo</v>
      </c>
    </row>
    <row r="455" spans="1:15" ht="15" customHeight="1">
      <c r="A455" s="28" t="str">
        <f>IF(Table_246[[#This Row],[Data]]="","",MONTH(Table_246[[#This Row],[Data]]))</f>
        <v/>
      </c>
      <c r="B455" s="32"/>
      <c r="C455" s="36"/>
      <c r="D455" s="43"/>
      <c r="E455" s="48"/>
      <c r="F455" s="48"/>
      <c r="G455" s="49" t="str">
        <f>IFERROR(VLOOKUP(C455,PROD!$A$2:$E$1204,5,0),"0")</f>
        <v>0</v>
      </c>
      <c r="H455" s="10">
        <f>Table_246[[#This Row],[QT]]*Table_246[[#This Row],[Custo 
Un]]</f>
        <v>0</v>
      </c>
      <c r="I455" s="52"/>
      <c r="J455" s="263">
        <f t="shared" si="26"/>
        <v>0</v>
      </c>
      <c r="K455" s="10">
        <f t="shared" si="27"/>
        <v>0</v>
      </c>
      <c r="L455" s="50">
        <f>Table_246[[#This Row],[Valor da 
venda]]-Table_246[[#This Row],[Valor gasto]]</f>
        <v>0</v>
      </c>
      <c r="M455" s="111">
        <f t="shared" si="28"/>
        <v>0</v>
      </c>
      <c r="N455" s="52"/>
      <c r="O455" s="114" t="str">
        <f>IF([1]!Table_246[[#This Row],[Coluna2]]&gt;0.5, "🔥 Excelente", IF([1]!Table_246[[#This Row],[Coluna2]]&gt;0.4, "👍 Bom", "⚠️ Baixo"))</f>
        <v>⚠️ Baixo</v>
      </c>
    </row>
    <row r="456" spans="1:15" ht="15" customHeight="1">
      <c r="A456" s="28" t="str">
        <f>IF(Table_246[[#This Row],[Data]]="","",MONTH(Table_246[[#This Row],[Data]]))</f>
        <v/>
      </c>
      <c r="B456" s="32"/>
      <c r="C456" s="36"/>
      <c r="D456" s="43"/>
      <c r="E456" s="48"/>
      <c r="F456" s="48"/>
      <c r="G456" s="49" t="str">
        <f>IFERROR(VLOOKUP(C456,PROD!$A$2:$E$1204,5,0),"0")</f>
        <v>0</v>
      </c>
      <c r="H456" s="10">
        <f>Table_246[[#This Row],[QT]]*Table_246[[#This Row],[Custo 
Un]]</f>
        <v>0</v>
      </c>
      <c r="I456" s="52"/>
      <c r="J456" s="263">
        <f t="shared" si="26"/>
        <v>0</v>
      </c>
      <c r="K456" s="10">
        <f t="shared" si="27"/>
        <v>0</v>
      </c>
      <c r="L456" s="50">
        <f>Table_246[[#This Row],[Valor da 
venda]]-Table_246[[#This Row],[Valor gasto]]</f>
        <v>0</v>
      </c>
      <c r="M456" s="111">
        <f t="shared" si="28"/>
        <v>0</v>
      </c>
      <c r="N456" s="52"/>
      <c r="O456" s="114" t="str">
        <f>IF([1]!Table_246[[#This Row],[Coluna2]]&gt;0.5, "🔥 Excelente", IF([1]!Table_246[[#This Row],[Coluna2]]&gt;0.4, "👍 Bom", "⚠️ Baixo"))</f>
        <v>⚠️ Baixo</v>
      </c>
    </row>
    <row r="457" spans="1:15" ht="15" customHeight="1">
      <c r="A457" s="28" t="str">
        <f>IF(Table_246[[#This Row],[Data]]="","",MONTH(Table_246[[#This Row],[Data]]))</f>
        <v/>
      </c>
      <c r="B457" s="32"/>
      <c r="C457" s="36"/>
      <c r="D457" s="43"/>
      <c r="E457" s="48"/>
      <c r="F457" s="48"/>
      <c r="G457" s="49" t="str">
        <f>IFERROR(VLOOKUP(C457,PROD!$A$2:$E$1204,5,0),"0")</f>
        <v>0</v>
      </c>
      <c r="H457" s="10">
        <f>Table_246[[#This Row],[QT]]*Table_246[[#This Row],[Custo 
Un]]</f>
        <v>0</v>
      </c>
      <c r="I457" s="52"/>
      <c r="J457" s="263">
        <f t="shared" si="26"/>
        <v>0</v>
      </c>
      <c r="K457" s="10">
        <f t="shared" si="27"/>
        <v>0</v>
      </c>
      <c r="L457" s="50">
        <f>Table_246[[#This Row],[Valor da 
venda]]-Table_246[[#This Row],[Valor gasto]]</f>
        <v>0</v>
      </c>
      <c r="M457" s="111">
        <f t="shared" si="28"/>
        <v>0</v>
      </c>
      <c r="N457" s="52"/>
      <c r="O457" s="114" t="str">
        <f>IF([1]!Table_246[[#This Row],[Coluna2]]&gt;0.5, "🔥 Excelente", IF([1]!Table_246[[#This Row],[Coluna2]]&gt;0.4, "👍 Bom", "⚠️ Baixo"))</f>
        <v>⚠️ Baixo</v>
      </c>
    </row>
    <row r="458" spans="1:15" ht="15" customHeight="1">
      <c r="A458" s="28" t="str">
        <f>IF(Table_246[[#This Row],[Data]]="","",MONTH(Table_246[[#This Row],[Data]]))</f>
        <v/>
      </c>
      <c r="B458" s="32"/>
      <c r="C458" s="36"/>
      <c r="D458" s="43"/>
      <c r="E458" s="48"/>
      <c r="F458" s="48"/>
      <c r="G458" s="49" t="str">
        <f>IFERROR(VLOOKUP(C458,PROD!$A$2:$E$1204,5,0),"0")</f>
        <v>0</v>
      </c>
      <c r="H458" s="10">
        <f>Table_246[[#This Row],[QT]]*Table_246[[#This Row],[Custo 
Un]]</f>
        <v>0</v>
      </c>
      <c r="I458" s="52"/>
      <c r="J458" s="263">
        <f t="shared" si="26"/>
        <v>0</v>
      </c>
      <c r="K458" s="10">
        <f t="shared" si="27"/>
        <v>0</v>
      </c>
      <c r="L458" s="50">
        <f>Table_246[[#This Row],[Valor da 
venda]]-Table_246[[#This Row],[Valor gasto]]</f>
        <v>0</v>
      </c>
      <c r="M458" s="111">
        <f t="shared" si="28"/>
        <v>0</v>
      </c>
      <c r="N458" s="52"/>
      <c r="O458" s="114" t="str">
        <f>IF([1]!Table_246[[#This Row],[Coluna2]]&gt;0.5, "🔥 Excelente", IF([1]!Table_246[[#This Row],[Coluna2]]&gt;0.4, "👍 Bom", "⚠️ Baixo"))</f>
        <v>⚠️ Baixo</v>
      </c>
    </row>
    <row r="459" spans="1:15" ht="15" customHeight="1">
      <c r="A459" s="28" t="str">
        <f>IF(Table_246[[#This Row],[Data]]="","",MONTH(Table_246[[#This Row],[Data]]))</f>
        <v/>
      </c>
      <c r="B459" s="32"/>
      <c r="C459" s="36"/>
      <c r="D459" s="43"/>
      <c r="E459" s="48"/>
      <c r="F459" s="48"/>
      <c r="G459" s="49" t="str">
        <f>IFERROR(VLOOKUP(C459,PROD!$A$2:$E$1204,5,0),"0")</f>
        <v>0</v>
      </c>
      <c r="H459" s="10">
        <f>Table_246[[#This Row],[QT]]*Table_246[[#This Row],[Custo 
Un]]</f>
        <v>0</v>
      </c>
      <c r="I459" s="52"/>
      <c r="J459" s="263">
        <f t="shared" si="26"/>
        <v>0</v>
      </c>
      <c r="K459" s="10">
        <f t="shared" si="27"/>
        <v>0</v>
      </c>
      <c r="L459" s="50">
        <f>Table_246[[#This Row],[Valor da 
venda]]-Table_246[[#This Row],[Valor gasto]]</f>
        <v>0</v>
      </c>
      <c r="M459" s="111">
        <f t="shared" si="28"/>
        <v>0</v>
      </c>
      <c r="N459" s="52"/>
      <c r="O459" s="114" t="str">
        <f>IF([1]!Table_246[[#This Row],[Coluna2]]&gt;0.5, "🔥 Excelente", IF([1]!Table_246[[#This Row],[Coluna2]]&gt;0.4, "👍 Bom", "⚠️ Baixo"))</f>
        <v>⚠️ Baixo</v>
      </c>
    </row>
    <row r="460" spans="1:15" ht="15" customHeight="1">
      <c r="A460" s="28" t="str">
        <f>IF(Table_246[[#This Row],[Data]]="","",MONTH(Table_246[[#This Row],[Data]]))</f>
        <v/>
      </c>
      <c r="B460" s="32"/>
      <c r="C460" s="36"/>
      <c r="D460" s="43"/>
      <c r="E460" s="48"/>
      <c r="F460" s="48"/>
      <c r="G460" s="49" t="str">
        <f>IFERROR(VLOOKUP(C460,PROD!$A$2:$E$1204,5,0),"0")</f>
        <v>0</v>
      </c>
      <c r="H460" s="10">
        <f>Table_246[[#This Row],[QT]]*Table_246[[#This Row],[Custo 
Un]]</f>
        <v>0</v>
      </c>
      <c r="I460" s="52"/>
      <c r="J460" s="263">
        <f t="shared" si="26"/>
        <v>0</v>
      </c>
      <c r="K460" s="10">
        <f t="shared" si="27"/>
        <v>0</v>
      </c>
      <c r="L460" s="50">
        <f>Table_246[[#This Row],[Valor da 
venda]]-Table_246[[#This Row],[Valor gasto]]</f>
        <v>0</v>
      </c>
      <c r="M460" s="111">
        <f t="shared" si="28"/>
        <v>0</v>
      </c>
      <c r="N460" s="52"/>
      <c r="O460" s="114" t="str">
        <f>IF([1]!Table_246[[#This Row],[Coluna2]]&gt;0.5, "🔥 Excelente", IF([1]!Table_246[[#This Row],[Coluna2]]&gt;0.4, "👍 Bom", "⚠️ Baixo"))</f>
        <v>⚠️ Baixo</v>
      </c>
    </row>
    <row r="461" spans="1:15" ht="15" customHeight="1">
      <c r="A461" s="28" t="str">
        <f>IF(Table_246[[#This Row],[Data]]="","",MONTH(Table_246[[#This Row],[Data]]))</f>
        <v/>
      </c>
      <c r="B461" s="32"/>
      <c r="C461" s="36"/>
      <c r="D461" s="43"/>
      <c r="E461" s="48"/>
      <c r="F461" s="48"/>
      <c r="G461" s="49" t="str">
        <f>IFERROR(VLOOKUP(C461,PROD!$A$2:$E$1204,5,0),"0")</f>
        <v>0</v>
      </c>
      <c r="H461" s="10">
        <f>Table_246[[#This Row],[QT]]*Table_246[[#This Row],[Custo 
Un]]</f>
        <v>0</v>
      </c>
      <c r="I461" s="52"/>
      <c r="J461" s="263">
        <f t="shared" si="26"/>
        <v>0</v>
      </c>
      <c r="K461" s="10">
        <f t="shared" si="27"/>
        <v>0</v>
      </c>
      <c r="L461" s="50">
        <f>Table_246[[#This Row],[Valor da 
venda]]-Table_246[[#This Row],[Valor gasto]]</f>
        <v>0</v>
      </c>
      <c r="M461" s="111">
        <f t="shared" si="28"/>
        <v>0</v>
      </c>
      <c r="N461" s="52"/>
      <c r="O461" s="114" t="str">
        <f>IF([1]!Table_246[[#This Row],[Coluna2]]&gt;0.5, "🔥 Excelente", IF([1]!Table_246[[#This Row],[Coluna2]]&gt;0.4, "👍 Bom", "⚠️ Baixo"))</f>
        <v>⚠️ Baixo</v>
      </c>
    </row>
    <row r="462" spans="1:15" ht="15" customHeight="1">
      <c r="A462" s="28" t="str">
        <f>IF(Table_246[[#This Row],[Data]]="","",MONTH(Table_246[[#This Row],[Data]]))</f>
        <v/>
      </c>
      <c r="B462" s="32"/>
      <c r="C462" s="36"/>
      <c r="D462" s="43"/>
      <c r="E462" s="48"/>
      <c r="F462" s="48"/>
      <c r="G462" s="49" t="str">
        <f>IFERROR(VLOOKUP(C462,PROD!$A$2:$E$1204,5,0),"0")</f>
        <v>0</v>
      </c>
      <c r="H462" s="10">
        <f>Table_246[[#This Row],[QT]]*Table_246[[#This Row],[Custo 
Un]]</f>
        <v>0</v>
      </c>
      <c r="I462" s="52"/>
      <c r="J462" s="263">
        <f t="shared" si="26"/>
        <v>0</v>
      </c>
      <c r="K462" s="10">
        <f t="shared" si="27"/>
        <v>0</v>
      </c>
      <c r="L462" s="50">
        <f>Table_246[[#This Row],[Valor da 
venda]]-Table_246[[#This Row],[Valor gasto]]</f>
        <v>0</v>
      </c>
      <c r="M462" s="111">
        <f t="shared" si="28"/>
        <v>0</v>
      </c>
      <c r="N462" s="52"/>
      <c r="O462" s="114" t="str">
        <f>IF([1]!Table_246[[#This Row],[Coluna2]]&gt;0.5, "🔥 Excelente", IF([1]!Table_246[[#This Row],[Coluna2]]&gt;0.4, "👍 Bom", "⚠️ Baixo"))</f>
        <v>⚠️ Baixo</v>
      </c>
    </row>
    <row r="463" spans="1:15" ht="15" customHeight="1">
      <c r="A463" s="28" t="str">
        <f>IF(Table_246[[#This Row],[Data]]="","",MONTH(Table_246[[#This Row],[Data]]))</f>
        <v/>
      </c>
      <c r="B463" s="32"/>
      <c r="C463" s="36"/>
      <c r="D463" s="43"/>
      <c r="E463" s="48"/>
      <c r="F463" s="48"/>
      <c r="G463" s="49" t="str">
        <f>IFERROR(VLOOKUP(C463,PROD!$A$2:$E$1204,5,0),"0")</f>
        <v>0</v>
      </c>
      <c r="H463" s="10">
        <f>Table_246[[#This Row],[QT]]*Table_246[[#This Row],[Custo 
Un]]</f>
        <v>0</v>
      </c>
      <c r="I463" s="52"/>
      <c r="J463" s="263">
        <f t="shared" si="26"/>
        <v>0</v>
      </c>
      <c r="K463" s="10">
        <f t="shared" si="27"/>
        <v>0</v>
      </c>
      <c r="L463" s="50">
        <f>Table_246[[#This Row],[Valor da 
venda]]-Table_246[[#This Row],[Valor gasto]]</f>
        <v>0</v>
      </c>
      <c r="M463" s="111">
        <f t="shared" si="28"/>
        <v>0</v>
      </c>
      <c r="N463" s="52"/>
      <c r="O463" s="114" t="str">
        <f>IF([1]!Table_246[[#This Row],[Coluna2]]&gt;0.5, "🔥 Excelente", IF([1]!Table_246[[#This Row],[Coluna2]]&gt;0.4, "👍 Bom", "⚠️ Baixo"))</f>
        <v>⚠️ Baixo</v>
      </c>
    </row>
    <row r="464" spans="1:15" ht="15" customHeight="1">
      <c r="A464" s="28" t="str">
        <f>IF(Table_246[[#This Row],[Data]]="","",MONTH(Table_246[[#This Row],[Data]]))</f>
        <v/>
      </c>
      <c r="B464" s="32"/>
      <c r="C464" s="36"/>
      <c r="D464" s="43"/>
      <c r="E464" s="48"/>
      <c r="F464" s="48"/>
      <c r="G464" s="49" t="str">
        <f>IFERROR(VLOOKUP(C464,PROD!$A$2:$E$1204,5,0),"0")</f>
        <v>0</v>
      </c>
      <c r="H464" s="10">
        <f>Table_246[[#This Row],[QT]]*Table_246[[#This Row],[Custo 
Un]]</f>
        <v>0</v>
      </c>
      <c r="I464" s="52"/>
      <c r="J464" s="263">
        <f t="shared" si="26"/>
        <v>0</v>
      </c>
      <c r="K464" s="10">
        <f t="shared" si="27"/>
        <v>0</v>
      </c>
      <c r="L464" s="50">
        <f>Table_246[[#This Row],[Valor da 
venda]]-Table_246[[#This Row],[Valor gasto]]</f>
        <v>0</v>
      </c>
      <c r="M464" s="111">
        <f t="shared" si="28"/>
        <v>0</v>
      </c>
      <c r="N464" s="52"/>
      <c r="O464" s="114" t="str">
        <f>IF([1]!Table_246[[#This Row],[Coluna2]]&gt;0.5, "🔥 Excelente", IF([1]!Table_246[[#This Row],[Coluna2]]&gt;0.4, "👍 Bom", "⚠️ Baixo"))</f>
        <v>⚠️ Baixo</v>
      </c>
    </row>
    <row r="465" spans="1:15" ht="15" customHeight="1">
      <c r="A465" s="28" t="str">
        <f>IF(Table_246[[#This Row],[Data]]="","",MONTH(Table_246[[#This Row],[Data]]))</f>
        <v/>
      </c>
      <c r="B465" s="32"/>
      <c r="C465" s="36"/>
      <c r="D465" s="43"/>
      <c r="E465" s="48"/>
      <c r="F465" s="48"/>
      <c r="G465" s="49" t="str">
        <f>IFERROR(VLOOKUP(C465,PROD!$A$2:$E$1204,5,0),"0")</f>
        <v>0</v>
      </c>
      <c r="H465" s="10">
        <f>Table_246[[#This Row],[QT]]*Table_246[[#This Row],[Custo 
Un]]</f>
        <v>0</v>
      </c>
      <c r="I465" s="52"/>
      <c r="J465" s="263">
        <f t="shared" si="26"/>
        <v>0</v>
      </c>
      <c r="K465" s="10">
        <f t="shared" si="27"/>
        <v>0</v>
      </c>
      <c r="L465" s="50">
        <f>Table_246[[#This Row],[Valor da 
venda]]-Table_246[[#This Row],[Valor gasto]]</f>
        <v>0</v>
      </c>
      <c r="M465" s="111">
        <f t="shared" si="28"/>
        <v>0</v>
      </c>
      <c r="N465" s="52"/>
      <c r="O465" s="114" t="str">
        <f>IF([1]!Table_246[[#This Row],[Coluna2]]&gt;0.5, "🔥 Excelente", IF([1]!Table_246[[#This Row],[Coluna2]]&gt;0.4, "👍 Bom", "⚠️ Baixo"))</f>
        <v>⚠️ Baixo</v>
      </c>
    </row>
    <row r="466" spans="1:15" ht="15" customHeight="1">
      <c r="A466" s="28" t="str">
        <f>IF(Table_246[[#This Row],[Data]]="","",MONTH(Table_246[[#This Row],[Data]]))</f>
        <v/>
      </c>
      <c r="B466" s="32"/>
      <c r="C466" s="36"/>
      <c r="D466" s="43"/>
      <c r="E466" s="48"/>
      <c r="F466" s="48"/>
      <c r="G466" s="49" t="str">
        <f>IFERROR(VLOOKUP(C466,PROD!$A$2:$E$1204,5,0),"0")</f>
        <v>0</v>
      </c>
      <c r="H466" s="10">
        <f>Table_246[[#This Row],[QT]]*Table_246[[#This Row],[Custo 
Un]]</f>
        <v>0</v>
      </c>
      <c r="I466" s="52"/>
      <c r="J466" s="263">
        <f t="shared" si="26"/>
        <v>0</v>
      </c>
      <c r="K466" s="10">
        <f t="shared" si="27"/>
        <v>0</v>
      </c>
      <c r="L466" s="50">
        <f>Table_246[[#This Row],[Valor da 
venda]]-Table_246[[#This Row],[Valor gasto]]</f>
        <v>0</v>
      </c>
      <c r="M466" s="111">
        <f t="shared" si="28"/>
        <v>0</v>
      </c>
      <c r="N466" s="52"/>
      <c r="O466" s="114" t="str">
        <f>IF([1]!Table_246[[#This Row],[Coluna2]]&gt;0.5, "🔥 Excelente", IF([1]!Table_246[[#This Row],[Coluna2]]&gt;0.4, "👍 Bom", "⚠️ Baixo"))</f>
        <v>⚠️ Baixo</v>
      </c>
    </row>
    <row r="467" spans="1:15" ht="15" customHeight="1">
      <c r="A467" s="28" t="str">
        <f>IF(Table_246[[#This Row],[Data]]="","",MONTH(Table_246[[#This Row],[Data]]))</f>
        <v/>
      </c>
      <c r="B467" s="32"/>
      <c r="C467" s="36"/>
      <c r="D467" s="43"/>
      <c r="E467" s="48"/>
      <c r="F467" s="48"/>
      <c r="G467" s="49" t="str">
        <f>IFERROR(VLOOKUP(C467,PROD!$A$2:$E$1204,5,0),"0")</f>
        <v>0</v>
      </c>
      <c r="H467" s="10">
        <f>Table_246[[#This Row],[QT]]*Table_246[[#This Row],[Custo 
Un]]</f>
        <v>0</v>
      </c>
      <c r="I467" s="52"/>
      <c r="J467" s="263">
        <f t="shared" si="26"/>
        <v>0</v>
      </c>
      <c r="K467" s="10">
        <f t="shared" si="27"/>
        <v>0</v>
      </c>
      <c r="L467" s="50">
        <f>Table_246[[#This Row],[Valor da 
venda]]-Table_246[[#This Row],[Valor gasto]]</f>
        <v>0</v>
      </c>
      <c r="M467" s="111">
        <f t="shared" si="28"/>
        <v>0</v>
      </c>
      <c r="N467" s="52"/>
      <c r="O467" s="114" t="str">
        <f>IF([1]!Table_246[[#This Row],[Coluna2]]&gt;0.5, "🔥 Excelente", IF([1]!Table_246[[#This Row],[Coluna2]]&gt;0.4, "👍 Bom", "⚠️ Baixo"))</f>
        <v>⚠️ Baixo</v>
      </c>
    </row>
    <row r="468" spans="1:15" ht="15" customHeight="1">
      <c r="A468" s="28" t="str">
        <f>IF(Table_246[[#This Row],[Data]]="","",MONTH(Table_246[[#This Row],[Data]]))</f>
        <v/>
      </c>
      <c r="B468" s="32"/>
      <c r="C468" s="36"/>
      <c r="D468" s="43"/>
      <c r="E468" s="48"/>
      <c r="F468" s="48"/>
      <c r="G468" s="49" t="str">
        <f>IFERROR(VLOOKUP(C468,PROD!$A$2:$E$1204,5,0),"0")</f>
        <v>0</v>
      </c>
      <c r="H468" s="10">
        <f>Table_246[[#This Row],[QT]]*Table_246[[#This Row],[Custo 
Un]]</f>
        <v>0</v>
      </c>
      <c r="I468" s="52"/>
      <c r="J468" s="263">
        <f t="shared" si="26"/>
        <v>0</v>
      </c>
      <c r="K468" s="10">
        <f t="shared" si="27"/>
        <v>0</v>
      </c>
      <c r="L468" s="50">
        <f>Table_246[[#This Row],[Valor da 
venda]]-Table_246[[#This Row],[Valor gasto]]</f>
        <v>0</v>
      </c>
      <c r="M468" s="111">
        <f t="shared" si="28"/>
        <v>0</v>
      </c>
      <c r="N468" s="52"/>
      <c r="O468" s="114" t="str">
        <f>IF([1]!Table_246[[#This Row],[Coluna2]]&gt;0.5, "🔥 Excelente", IF([1]!Table_246[[#This Row],[Coluna2]]&gt;0.4, "👍 Bom", "⚠️ Baixo"))</f>
        <v>⚠️ Baixo</v>
      </c>
    </row>
    <row r="469" spans="1:15" ht="15" customHeight="1">
      <c r="A469" s="28" t="str">
        <f>IF(Table_246[[#This Row],[Data]]="","",MONTH(Table_246[[#This Row],[Data]]))</f>
        <v/>
      </c>
      <c r="B469" s="32"/>
      <c r="C469" s="36"/>
      <c r="D469" s="43"/>
      <c r="E469" s="48"/>
      <c r="F469" s="48"/>
      <c r="G469" s="49" t="str">
        <f>IFERROR(VLOOKUP(C469,PROD!$A$2:$E$1204,5,0),"0")</f>
        <v>0</v>
      </c>
      <c r="H469" s="10">
        <f>Table_246[[#This Row],[QT]]*Table_246[[#This Row],[Custo 
Un]]</f>
        <v>0</v>
      </c>
      <c r="I469" s="52"/>
      <c r="J469" s="263">
        <f t="shared" si="26"/>
        <v>0</v>
      </c>
      <c r="K469" s="10">
        <f t="shared" si="27"/>
        <v>0</v>
      </c>
      <c r="L469" s="50">
        <f>Table_246[[#This Row],[Valor da 
venda]]-Table_246[[#This Row],[Valor gasto]]</f>
        <v>0</v>
      </c>
      <c r="M469" s="111">
        <f t="shared" si="28"/>
        <v>0</v>
      </c>
      <c r="N469" s="52"/>
      <c r="O469" s="114" t="str">
        <f>IF([1]!Table_246[[#This Row],[Coluna2]]&gt;0.5, "🔥 Excelente", IF([1]!Table_246[[#This Row],[Coluna2]]&gt;0.4, "👍 Bom", "⚠️ Baixo"))</f>
        <v>⚠️ Baixo</v>
      </c>
    </row>
    <row r="470" spans="1:15" ht="15" customHeight="1">
      <c r="A470" s="28" t="str">
        <f>IF(Table_246[[#This Row],[Data]]="","",MONTH(Table_246[[#This Row],[Data]]))</f>
        <v/>
      </c>
      <c r="B470" s="32"/>
      <c r="C470" s="36"/>
      <c r="D470" s="43"/>
      <c r="E470" s="48"/>
      <c r="F470" s="48"/>
      <c r="G470" s="49" t="str">
        <f>IFERROR(VLOOKUP(C470,PROD!$A$2:$E$1204,5,0),"0")</f>
        <v>0</v>
      </c>
      <c r="H470" s="10">
        <f>Table_246[[#This Row],[QT]]*Table_246[[#This Row],[Custo 
Un]]</f>
        <v>0</v>
      </c>
      <c r="I470" s="52"/>
      <c r="J470" s="263">
        <f t="shared" si="26"/>
        <v>0</v>
      </c>
      <c r="K470" s="10">
        <f t="shared" si="27"/>
        <v>0</v>
      </c>
      <c r="L470" s="50">
        <f>Table_246[[#This Row],[Valor da 
venda]]-Table_246[[#This Row],[Valor gasto]]</f>
        <v>0</v>
      </c>
      <c r="M470" s="111">
        <f t="shared" si="28"/>
        <v>0</v>
      </c>
      <c r="N470" s="52"/>
      <c r="O470" s="114" t="str">
        <f>IF([1]!Table_246[[#This Row],[Coluna2]]&gt;0.5, "🔥 Excelente", IF([1]!Table_246[[#This Row],[Coluna2]]&gt;0.4, "👍 Bom", "⚠️ Baixo"))</f>
        <v>⚠️ Baixo</v>
      </c>
    </row>
    <row r="471" spans="1:15" ht="15" customHeight="1">
      <c r="A471" s="28" t="str">
        <f>IF(Table_246[[#This Row],[Data]]="","",MONTH(Table_246[[#This Row],[Data]]))</f>
        <v/>
      </c>
      <c r="B471" s="32"/>
      <c r="C471" s="36"/>
      <c r="D471" s="43"/>
      <c r="E471" s="48"/>
      <c r="F471" s="48"/>
      <c r="G471" s="49" t="str">
        <f>IFERROR(VLOOKUP(C471,PROD!$A$2:$E$1204,5,0),"0")</f>
        <v>0</v>
      </c>
      <c r="H471" s="10">
        <f>Table_246[[#This Row],[QT]]*Table_246[[#This Row],[Custo 
Un]]</f>
        <v>0</v>
      </c>
      <c r="I471" s="52"/>
      <c r="J471" s="263">
        <f t="shared" si="26"/>
        <v>0</v>
      </c>
      <c r="K471" s="10">
        <f t="shared" si="27"/>
        <v>0</v>
      </c>
      <c r="L471" s="50">
        <f>Table_246[[#This Row],[Valor da 
venda]]-Table_246[[#This Row],[Valor gasto]]</f>
        <v>0</v>
      </c>
      <c r="M471" s="111">
        <f t="shared" si="28"/>
        <v>0</v>
      </c>
      <c r="N471" s="52"/>
      <c r="O471" s="114" t="str">
        <f>IF([1]!Table_246[[#This Row],[Coluna2]]&gt;0.5, "🔥 Excelente", IF([1]!Table_246[[#This Row],[Coluna2]]&gt;0.4, "👍 Bom", "⚠️ Baixo"))</f>
        <v>⚠️ Baixo</v>
      </c>
    </row>
    <row r="472" spans="1:15" ht="15" customHeight="1">
      <c r="A472" s="28" t="str">
        <f>IF(Table_246[[#This Row],[Data]]="","",MONTH(Table_246[[#This Row],[Data]]))</f>
        <v/>
      </c>
      <c r="B472" s="32"/>
      <c r="C472" s="36"/>
      <c r="D472" s="43"/>
      <c r="E472" s="48"/>
      <c r="F472" s="48"/>
      <c r="G472" s="49" t="str">
        <f>IFERROR(VLOOKUP(C472,PROD!$A$2:$E$1204,5,0),"0")</f>
        <v>0</v>
      </c>
      <c r="H472" s="10">
        <f>Table_246[[#This Row],[QT]]*Table_246[[#This Row],[Custo 
Un]]</f>
        <v>0</v>
      </c>
      <c r="I472" s="52"/>
      <c r="J472" s="263">
        <f t="shared" si="26"/>
        <v>0</v>
      </c>
      <c r="K472" s="10">
        <f t="shared" si="27"/>
        <v>0</v>
      </c>
      <c r="L472" s="50">
        <f>Table_246[[#This Row],[Valor da 
venda]]-Table_246[[#This Row],[Valor gasto]]</f>
        <v>0</v>
      </c>
      <c r="M472" s="111">
        <f t="shared" si="28"/>
        <v>0</v>
      </c>
      <c r="N472" s="52"/>
      <c r="O472" s="114" t="str">
        <f>IF([1]!Table_246[[#This Row],[Coluna2]]&gt;0.5, "🔥 Excelente", IF([1]!Table_246[[#This Row],[Coluna2]]&gt;0.4, "👍 Bom", "⚠️ Baixo"))</f>
        <v>⚠️ Baixo</v>
      </c>
    </row>
    <row r="473" spans="1:15" ht="15" customHeight="1">
      <c r="A473" s="28" t="str">
        <f>IF(Table_246[[#This Row],[Data]]="","",MONTH(Table_246[[#This Row],[Data]]))</f>
        <v/>
      </c>
      <c r="B473" s="32"/>
      <c r="C473" s="36"/>
      <c r="D473" s="43"/>
      <c r="E473" s="48"/>
      <c r="F473" s="48"/>
      <c r="G473" s="49" t="str">
        <f>IFERROR(VLOOKUP(C473,PROD!$A$2:$E$1204,5,0),"0")</f>
        <v>0</v>
      </c>
      <c r="H473" s="10">
        <f>Table_246[[#This Row],[QT]]*Table_246[[#This Row],[Custo 
Un]]</f>
        <v>0</v>
      </c>
      <c r="I473" s="52"/>
      <c r="J473" s="263">
        <f t="shared" si="26"/>
        <v>0</v>
      </c>
      <c r="K473" s="10">
        <f t="shared" si="27"/>
        <v>0</v>
      </c>
      <c r="L473" s="50">
        <f>Table_246[[#This Row],[Valor da 
venda]]-Table_246[[#This Row],[Valor gasto]]</f>
        <v>0</v>
      </c>
      <c r="M473" s="111">
        <f t="shared" si="28"/>
        <v>0</v>
      </c>
      <c r="N473" s="52"/>
      <c r="O473" s="114" t="str">
        <f>IF([1]!Table_246[[#This Row],[Coluna2]]&gt;0.5, "🔥 Excelente", IF([1]!Table_246[[#This Row],[Coluna2]]&gt;0.4, "👍 Bom", "⚠️ Baixo"))</f>
        <v>⚠️ Baixo</v>
      </c>
    </row>
    <row r="474" spans="1:15" ht="15" customHeight="1">
      <c r="A474" s="28" t="str">
        <f>IF(Table_246[[#This Row],[Data]]="","",MONTH(Table_246[[#This Row],[Data]]))</f>
        <v/>
      </c>
      <c r="B474" s="32"/>
      <c r="C474" s="36"/>
      <c r="D474" s="43"/>
      <c r="E474" s="48"/>
      <c r="F474" s="48"/>
      <c r="G474" s="49" t="str">
        <f>IFERROR(VLOOKUP(C474,PROD!$A$2:$E$1204,5,0),"0")</f>
        <v>0</v>
      </c>
      <c r="H474" s="10">
        <f>Table_246[[#This Row],[QT]]*Table_246[[#This Row],[Custo 
Un]]</f>
        <v>0</v>
      </c>
      <c r="I474" s="52"/>
      <c r="J474" s="263">
        <f t="shared" si="26"/>
        <v>0</v>
      </c>
      <c r="K474" s="10">
        <f t="shared" si="27"/>
        <v>0</v>
      </c>
      <c r="L474" s="50">
        <f>Table_246[[#This Row],[Valor da 
venda]]-Table_246[[#This Row],[Valor gasto]]</f>
        <v>0</v>
      </c>
      <c r="M474" s="111">
        <f t="shared" si="28"/>
        <v>0</v>
      </c>
      <c r="N474" s="52"/>
      <c r="O474" s="114" t="str">
        <f>IF([1]!Table_246[[#This Row],[Coluna2]]&gt;0.5, "🔥 Excelente", IF([1]!Table_246[[#This Row],[Coluna2]]&gt;0.4, "👍 Bom", "⚠️ Baixo"))</f>
        <v>⚠️ Baixo</v>
      </c>
    </row>
    <row r="475" spans="1:15" ht="15" customHeight="1">
      <c r="A475" s="28" t="str">
        <f>IF(Table_246[[#This Row],[Data]]="","",MONTH(Table_246[[#This Row],[Data]]))</f>
        <v/>
      </c>
      <c r="B475" s="32"/>
      <c r="C475" s="36"/>
      <c r="D475" s="43"/>
      <c r="E475" s="48"/>
      <c r="F475" s="48"/>
      <c r="G475" s="49" t="str">
        <f>IFERROR(VLOOKUP(C475,PROD!$A$2:$E$1204,5,0),"0")</f>
        <v>0</v>
      </c>
      <c r="H475" s="10">
        <f>Table_246[[#This Row],[QT]]*Table_246[[#This Row],[Custo 
Un]]</f>
        <v>0</v>
      </c>
      <c r="I475" s="52"/>
      <c r="J475" s="263">
        <f t="shared" si="26"/>
        <v>0</v>
      </c>
      <c r="K475" s="10">
        <f t="shared" si="27"/>
        <v>0</v>
      </c>
      <c r="L475" s="50">
        <f>Table_246[[#This Row],[Valor da 
venda]]-Table_246[[#This Row],[Valor gasto]]</f>
        <v>0</v>
      </c>
      <c r="M475" s="111">
        <f t="shared" si="28"/>
        <v>0</v>
      </c>
      <c r="N475" s="52"/>
      <c r="O475" s="114" t="str">
        <f>IF([1]!Table_246[[#This Row],[Coluna2]]&gt;0.5, "🔥 Excelente", IF([1]!Table_246[[#This Row],[Coluna2]]&gt;0.4, "👍 Bom", "⚠️ Baixo"))</f>
        <v>⚠️ Baixo</v>
      </c>
    </row>
    <row r="476" spans="1:15" ht="15" customHeight="1">
      <c r="A476" s="28" t="str">
        <f>IF(Table_246[[#This Row],[Data]]="","",MONTH(Table_246[[#This Row],[Data]]))</f>
        <v/>
      </c>
      <c r="B476" s="32"/>
      <c r="C476" s="36"/>
      <c r="D476" s="43"/>
      <c r="E476" s="48"/>
      <c r="F476" s="48"/>
      <c r="G476" s="49" t="str">
        <f>IFERROR(VLOOKUP(C476,PROD!$A$2:$E$1204,5,0),"0")</f>
        <v>0</v>
      </c>
      <c r="H476" s="10">
        <f>Table_246[[#This Row],[QT]]*Table_246[[#This Row],[Custo 
Un]]</f>
        <v>0</v>
      </c>
      <c r="I476" s="52"/>
      <c r="J476" s="263">
        <f t="shared" si="26"/>
        <v>0</v>
      </c>
      <c r="K476" s="10">
        <f t="shared" si="27"/>
        <v>0</v>
      </c>
      <c r="L476" s="50">
        <f>Table_246[[#This Row],[Valor da 
venda]]-Table_246[[#This Row],[Valor gasto]]</f>
        <v>0</v>
      </c>
      <c r="M476" s="111">
        <f t="shared" si="28"/>
        <v>0</v>
      </c>
      <c r="N476" s="52"/>
      <c r="O476" s="114" t="str">
        <f>IF([1]!Table_246[[#This Row],[Coluna2]]&gt;0.5, "🔥 Excelente", IF([1]!Table_246[[#This Row],[Coluna2]]&gt;0.4, "👍 Bom", "⚠️ Baixo"))</f>
        <v>⚠️ Baixo</v>
      </c>
    </row>
    <row r="477" spans="1:15" ht="15" customHeight="1">
      <c r="A477" s="28" t="str">
        <f>IF(Table_246[[#This Row],[Data]]="","",MONTH(Table_246[[#This Row],[Data]]))</f>
        <v/>
      </c>
      <c r="B477" s="75"/>
      <c r="C477" s="78"/>
      <c r="D477" s="43"/>
      <c r="E477" s="86"/>
      <c r="F477" s="86"/>
      <c r="G477" s="49" t="str">
        <f>IFERROR(VLOOKUP(C477,PROD!$A$2:$E$1204,5,0),"0")</f>
        <v>0</v>
      </c>
      <c r="H477" s="10">
        <f>Table_246[[#This Row],[QT]]*Table_246[[#This Row],[Custo 
Un]]</f>
        <v>0</v>
      </c>
      <c r="I477" s="91"/>
      <c r="J477" s="91">
        <f t="shared" si="26"/>
        <v>0</v>
      </c>
      <c r="K477" s="10">
        <f t="shared" si="27"/>
        <v>0</v>
      </c>
      <c r="L477" s="50">
        <f>Table_246[[#This Row],[Valor da 
venda]]-Table_246[[#This Row],[Valor gasto]]</f>
        <v>0</v>
      </c>
      <c r="M477" s="111">
        <f t="shared" si="28"/>
        <v>0</v>
      </c>
      <c r="N477" s="91"/>
      <c r="O477" t="str">
        <f>IF([1]!Table_246[[#This Row],[Coluna2]]&gt;0.5, "🔥 Excelente", IF([1]!Table_246[[#This Row],[Coluna2]]&gt;0.4, "👍 Bom", "⚠️ Baixo"))</f>
        <v>⚠️ Baixo</v>
      </c>
    </row>
    <row r="478" spans="1:15" ht="15" customHeight="1">
      <c r="A478" s="28" t="str">
        <f>IF(Table_246[[#This Row],[Data]]="","",MONTH(Table_246[[#This Row],[Data]]))</f>
        <v/>
      </c>
      <c r="B478" s="32"/>
      <c r="C478" s="79"/>
      <c r="D478" s="43"/>
      <c r="E478" s="87"/>
      <c r="F478" s="87"/>
      <c r="G478" s="49" t="str">
        <f>IFERROR(VLOOKUP(C478,PROD!$A$2:$E$1204,5,0),"0")</f>
        <v>0</v>
      </c>
      <c r="H478" s="10">
        <f>Table_246[[#This Row],[QT]]*Table_246[[#This Row],[Custo 
Un]]</f>
        <v>0</v>
      </c>
      <c r="I478" s="92"/>
      <c r="J478" s="92">
        <f t="shared" si="26"/>
        <v>0</v>
      </c>
      <c r="K478" s="10">
        <f t="shared" si="27"/>
        <v>0</v>
      </c>
      <c r="L478" s="50">
        <f>Table_246[[#This Row],[Valor da 
venda]]-Table_246[[#This Row],[Valor gasto]]</f>
        <v>0</v>
      </c>
      <c r="M478" s="111">
        <f t="shared" si="28"/>
        <v>0</v>
      </c>
      <c r="N478" s="92"/>
      <c r="O478" t="str">
        <f>IF([1]!Table_246[[#This Row],[Coluna2]]&gt;0.5, "🔥 Excelente", IF([1]!Table_246[[#This Row],[Coluna2]]&gt;0.4, "👍 Bom", "⚠️ Baixo"))</f>
        <v>⚠️ Baixo</v>
      </c>
    </row>
    <row r="479" spans="1:15" ht="15" customHeight="1">
      <c r="A479" s="28" t="str">
        <f>IF(Table_246[[#This Row],[Data]]="","",MONTH(Table_246[[#This Row],[Data]]))</f>
        <v/>
      </c>
      <c r="B479" s="32"/>
      <c r="C479" s="36"/>
      <c r="D479" s="43"/>
      <c r="E479" s="48"/>
      <c r="F479" s="48"/>
      <c r="G479" s="49" t="str">
        <f>IFERROR(VLOOKUP(C479,PROD!$A$2:$E$1204,5,0),"0")</f>
        <v>0</v>
      </c>
      <c r="H479" s="10">
        <f>Table_246[[#This Row],[QT]]*Table_246[[#This Row],[Custo 
Un]]</f>
        <v>0</v>
      </c>
      <c r="I479" s="52"/>
      <c r="J479" s="263">
        <f t="shared" si="26"/>
        <v>0</v>
      </c>
      <c r="K479" s="10">
        <f t="shared" si="27"/>
        <v>0</v>
      </c>
      <c r="L479" s="50">
        <f>Table_246[[#This Row],[Valor da 
venda]]-Table_246[[#This Row],[Valor gasto]]</f>
        <v>0</v>
      </c>
      <c r="M479" s="111">
        <f t="shared" si="28"/>
        <v>0</v>
      </c>
      <c r="N479" s="52"/>
      <c r="O479" t="str">
        <f>IF([1]!Table_246[[#This Row],[Coluna2]]&gt;0.5, "🔥 Excelente", IF([1]!Table_246[[#This Row],[Coluna2]]&gt;0.4, "👍 Bom", "⚠️ Baixo"))</f>
        <v>⚠️ Baixo</v>
      </c>
    </row>
    <row r="480" spans="1:15" ht="15" customHeight="1">
      <c r="A480" s="28" t="str">
        <f>IF(Table_246[[#This Row],[Data]]="","",MONTH(Table_246[[#This Row],[Data]]))</f>
        <v/>
      </c>
      <c r="B480" s="32"/>
      <c r="C480" s="36"/>
      <c r="D480" s="43"/>
      <c r="E480" s="48"/>
      <c r="F480" s="48"/>
      <c r="G480" s="49" t="str">
        <f>IFERROR(VLOOKUP(C480,PROD!$A$2:$E$1204,5,0),"0")</f>
        <v>0</v>
      </c>
      <c r="H480" s="10">
        <f>Table_246[[#This Row],[QT]]*Table_246[[#This Row],[Custo 
Un]]</f>
        <v>0</v>
      </c>
      <c r="I480" s="52"/>
      <c r="J480" s="263">
        <f t="shared" si="26"/>
        <v>0</v>
      </c>
      <c r="K480" s="10">
        <f t="shared" si="27"/>
        <v>0</v>
      </c>
      <c r="L480" s="50">
        <f>Table_246[[#This Row],[Valor da 
venda]]-Table_246[[#This Row],[Valor gasto]]</f>
        <v>0</v>
      </c>
      <c r="M480" s="111">
        <f t="shared" si="28"/>
        <v>0</v>
      </c>
      <c r="N480" s="52"/>
      <c r="O480" t="str">
        <f>IF([1]!Table_246[[#This Row],[Coluna2]]&gt;0.5, "🔥 Excelente", IF([1]!Table_246[[#This Row],[Coluna2]]&gt;0.4, "👍 Bom", "⚠️ Baixo"))</f>
        <v>⚠️ Baixo</v>
      </c>
    </row>
    <row r="481" spans="1:15" ht="15" customHeight="1">
      <c r="A481" s="28" t="str">
        <f>IF(Table_246[[#This Row],[Data]]="","",MONTH(Table_246[[#This Row],[Data]]))</f>
        <v/>
      </c>
      <c r="B481" s="32"/>
      <c r="C481" s="36"/>
      <c r="D481" s="43"/>
      <c r="E481" s="48"/>
      <c r="F481" s="48"/>
      <c r="G481" s="49" t="str">
        <f>IFERROR(VLOOKUP(C481,PROD!$A$2:$E$1204,5,0),"0")</f>
        <v>0</v>
      </c>
      <c r="H481" s="10">
        <f>Table_246[[#This Row],[QT]]*Table_246[[#This Row],[Custo 
Un]]</f>
        <v>0</v>
      </c>
      <c r="I481" s="52"/>
      <c r="J481" s="263">
        <f t="shared" si="26"/>
        <v>0</v>
      </c>
      <c r="K481" s="10">
        <f t="shared" si="27"/>
        <v>0</v>
      </c>
      <c r="L481" s="50">
        <f>Table_246[[#This Row],[Valor da 
venda]]-Table_246[[#This Row],[Valor gasto]]</f>
        <v>0</v>
      </c>
      <c r="M481" s="111">
        <f t="shared" si="28"/>
        <v>0</v>
      </c>
      <c r="N481" s="52"/>
      <c r="O481" t="str">
        <f>IF([1]!Table_246[[#This Row],[Coluna2]]&gt;0.5, "🔥 Excelente", IF([1]!Table_246[[#This Row],[Coluna2]]&gt;0.4, "👍 Bom", "⚠️ Baixo"))</f>
        <v>⚠️ Baixo</v>
      </c>
    </row>
    <row r="482" spans="1:15" ht="15" customHeight="1">
      <c r="A482" s="28" t="str">
        <f>IF(Table_246[[#This Row],[Data]]="","",MONTH(Table_246[[#This Row],[Data]]))</f>
        <v/>
      </c>
      <c r="B482" s="32"/>
      <c r="C482" s="36"/>
      <c r="D482" s="43"/>
      <c r="E482" s="48"/>
      <c r="F482" s="48"/>
      <c r="G482" s="49" t="str">
        <f>IFERROR(VLOOKUP(C482,PROD!$A$2:$E$1204,5,0),"0")</f>
        <v>0</v>
      </c>
      <c r="H482" s="10">
        <f>Table_246[[#This Row],[QT]]*Table_246[[#This Row],[Custo 
Un]]</f>
        <v>0</v>
      </c>
      <c r="I482" s="52"/>
      <c r="J482" s="263">
        <f t="shared" si="26"/>
        <v>0</v>
      </c>
      <c r="K482" s="10">
        <f t="shared" si="27"/>
        <v>0</v>
      </c>
      <c r="L482" s="50">
        <f>Table_246[[#This Row],[Valor da 
venda]]-Table_246[[#This Row],[Valor gasto]]</f>
        <v>0</v>
      </c>
      <c r="M482" s="111">
        <f t="shared" si="28"/>
        <v>0</v>
      </c>
      <c r="N482" s="52"/>
      <c r="O482" t="str">
        <f>IF([1]!Table_246[[#This Row],[Coluna2]]&gt;0.5, "🔥 Excelente", IF([1]!Table_246[[#This Row],[Coluna2]]&gt;0.4, "👍 Bom", "⚠️ Baixo"))</f>
        <v>⚠️ Baixo</v>
      </c>
    </row>
    <row r="483" spans="1:15" ht="15" customHeight="1">
      <c r="A483" s="28" t="str">
        <f>IF(Table_246[[#This Row],[Data]]="","",MONTH(Table_246[[#This Row],[Data]]))</f>
        <v/>
      </c>
      <c r="B483" s="32"/>
      <c r="C483" s="36"/>
      <c r="D483" s="43"/>
      <c r="E483" s="48"/>
      <c r="F483" s="48"/>
      <c r="G483" s="49" t="str">
        <f>IFERROR(VLOOKUP(C483,PROD!$A$2:$E$1204,5,0),"0")</f>
        <v>0</v>
      </c>
      <c r="H483" s="10">
        <f>Table_246[[#This Row],[QT]]*Table_246[[#This Row],[Custo 
Un]]</f>
        <v>0</v>
      </c>
      <c r="I483" s="52"/>
      <c r="J483" s="263">
        <f t="shared" si="26"/>
        <v>0</v>
      </c>
      <c r="K483" s="10">
        <f t="shared" si="27"/>
        <v>0</v>
      </c>
      <c r="L483" s="50">
        <f>Table_246[[#This Row],[Valor da 
venda]]-Table_246[[#This Row],[Valor gasto]]</f>
        <v>0</v>
      </c>
      <c r="M483" s="111">
        <f t="shared" si="28"/>
        <v>0</v>
      </c>
      <c r="N483" s="52"/>
      <c r="O483" t="str">
        <f>IF([1]!Table_246[[#This Row],[Coluna2]]&gt;0.5, "🔥 Excelente", IF([1]!Table_246[[#This Row],[Coluna2]]&gt;0.4, "👍 Bom", "⚠️ Baixo"))</f>
        <v>⚠️ Baixo</v>
      </c>
    </row>
    <row r="484" spans="1:15" ht="15" customHeight="1">
      <c r="A484" s="28" t="str">
        <f>IF(Table_246[[#This Row],[Data]]="","",MONTH(Table_246[[#This Row],[Data]]))</f>
        <v/>
      </c>
      <c r="B484" s="32"/>
      <c r="C484" s="36"/>
      <c r="D484" s="43"/>
      <c r="E484" s="48"/>
      <c r="F484" s="48"/>
      <c r="G484" s="49" t="str">
        <f>IFERROR(VLOOKUP(C484,PROD!$A$2:$E$1204,5,0),"0")</f>
        <v>0</v>
      </c>
      <c r="H484" s="10">
        <f>Table_246[[#This Row],[QT]]*Table_246[[#This Row],[Custo 
Un]]</f>
        <v>0</v>
      </c>
      <c r="I484" s="52"/>
      <c r="J484" s="263">
        <f t="shared" si="26"/>
        <v>0</v>
      </c>
      <c r="K484" s="10">
        <f t="shared" si="27"/>
        <v>0</v>
      </c>
      <c r="L484" s="50">
        <f>Table_246[[#This Row],[Valor da 
venda]]-Table_246[[#This Row],[Valor gasto]]</f>
        <v>0</v>
      </c>
      <c r="M484" s="111">
        <f t="shared" si="28"/>
        <v>0</v>
      </c>
      <c r="N484" s="52"/>
      <c r="O484" t="str">
        <f>IF([1]!Table_246[[#This Row],[Coluna2]]&gt;0.5, "🔥 Excelente", IF([1]!Table_246[[#This Row],[Coluna2]]&gt;0.4, "👍 Bom", "⚠️ Baixo"))</f>
        <v>⚠️ Baixo</v>
      </c>
    </row>
    <row r="485" spans="1:15" ht="15" customHeight="1">
      <c r="A485" s="28" t="str">
        <f>IF(Table_246[[#This Row],[Data]]="","",MONTH(Table_246[[#This Row],[Data]]))</f>
        <v/>
      </c>
      <c r="B485" s="76"/>
      <c r="C485" s="79"/>
      <c r="D485" s="43"/>
      <c r="E485" s="87"/>
      <c r="F485" s="87"/>
      <c r="G485" s="49" t="str">
        <f>IFERROR(VLOOKUP(C485,PROD!$A$2:$E$1204,5,0),"0")</f>
        <v>0</v>
      </c>
      <c r="H485" s="10">
        <f>Table_246[[#This Row],[QT]]*Table_246[[#This Row],[Custo 
Un]]</f>
        <v>0</v>
      </c>
      <c r="I485" s="92"/>
      <c r="J485" s="92">
        <f t="shared" si="26"/>
        <v>0</v>
      </c>
      <c r="K485" s="10">
        <f t="shared" si="27"/>
        <v>0</v>
      </c>
      <c r="L485" s="50">
        <f>Table_246[[#This Row],[Valor da 
venda]]-Table_246[[#This Row],[Valor gasto]]</f>
        <v>0</v>
      </c>
      <c r="M485" s="111">
        <f t="shared" si="28"/>
        <v>0</v>
      </c>
      <c r="N485" s="92"/>
      <c r="O485" t="str">
        <f>IF([1]!Table_246[[#This Row],[Coluna2]]&gt;0.5, "🔥 Excelente", IF([1]!Table_246[[#This Row],[Coluna2]]&gt;0.4, "👍 Bom", "⚠️ Baixo"))</f>
        <v>⚠️ Baixo</v>
      </c>
    </row>
    <row r="486" spans="1:15" ht="15" customHeight="1">
      <c r="A486" s="28" t="str">
        <f>IF(Table_246[[#This Row],[Data]]="","",MONTH(Table_246[[#This Row],[Data]]))</f>
        <v/>
      </c>
      <c r="B486" s="32"/>
      <c r="C486" s="36"/>
      <c r="D486" s="43"/>
      <c r="E486" s="48"/>
      <c r="F486" s="48"/>
      <c r="G486" s="49" t="str">
        <f>IFERROR(VLOOKUP(C486,PROD!$A$2:$E$1204,5,0),"0")</f>
        <v>0</v>
      </c>
      <c r="H486" s="10">
        <f>Table_246[[#This Row],[QT]]*Table_246[[#This Row],[Custo 
Un]]</f>
        <v>0</v>
      </c>
      <c r="I486" s="52"/>
      <c r="J486" s="263">
        <f t="shared" si="26"/>
        <v>0</v>
      </c>
      <c r="K486" s="10">
        <f t="shared" si="27"/>
        <v>0</v>
      </c>
      <c r="L486" s="50">
        <f>Table_246[[#This Row],[Valor da 
venda]]-Table_246[[#This Row],[Valor gasto]]</f>
        <v>0</v>
      </c>
      <c r="M486" s="111">
        <f t="shared" si="28"/>
        <v>0</v>
      </c>
      <c r="N486" s="52"/>
      <c r="O486" t="str">
        <f>IF([1]!Table_246[[#This Row],[Coluna2]]&gt;0.5, "🔥 Excelente", IF([1]!Table_246[[#This Row],[Coluna2]]&gt;0.4, "👍 Bom", "⚠️ Baixo"))</f>
        <v>⚠️ Baixo</v>
      </c>
    </row>
    <row r="487" spans="1:15" ht="15" customHeight="1">
      <c r="A487" s="28" t="str">
        <f>IF(Table_246[[#This Row],[Data]]="","",MONTH(Table_246[[#This Row],[Data]]))</f>
        <v/>
      </c>
      <c r="B487" s="32"/>
      <c r="C487" s="36"/>
      <c r="D487" s="43"/>
      <c r="E487" s="48"/>
      <c r="F487" s="48"/>
      <c r="G487" s="49" t="str">
        <f>IFERROR(VLOOKUP(C487,PROD!$A$2:$E$1204,5,0),"0")</f>
        <v>0</v>
      </c>
      <c r="H487" s="10">
        <f>Table_246[[#This Row],[QT]]*Table_246[[#This Row],[Custo 
Un]]</f>
        <v>0</v>
      </c>
      <c r="I487" s="52"/>
      <c r="J487" s="263">
        <f t="shared" si="26"/>
        <v>0</v>
      </c>
      <c r="K487" s="10">
        <f t="shared" si="27"/>
        <v>0</v>
      </c>
      <c r="L487" s="50">
        <f>Table_246[[#This Row],[Valor da 
venda]]-Table_246[[#This Row],[Valor gasto]]</f>
        <v>0</v>
      </c>
      <c r="M487" s="111">
        <f t="shared" si="28"/>
        <v>0</v>
      </c>
      <c r="N487" s="52"/>
      <c r="O487" t="str">
        <f>IF([1]!Table_246[[#This Row],[Coluna2]]&gt;0.5, "🔥 Excelente", IF([1]!Table_246[[#This Row],[Coluna2]]&gt;0.4, "👍 Bom", "⚠️ Baixo"))</f>
        <v>⚠️ Baixo</v>
      </c>
    </row>
    <row r="488" spans="1:15" ht="15" customHeight="1">
      <c r="A488" s="28" t="str">
        <f>IF(Table_246[[#This Row],[Data]]="","",MONTH(Table_246[[#This Row],[Data]]))</f>
        <v/>
      </c>
      <c r="B488" s="32"/>
      <c r="C488" s="36"/>
      <c r="D488" s="43"/>
      <c r="E488" s="48"/>
      <c r="F488" s="48"/>
      <c r="G488" s="49" t="str">
        <f>IFERROR(VLOOKUP(C488,PROD!$A$2:$E$1204,5,0),"0")</f>
        <v>0</v>
      </c>
      <c r="H488" s="10">
        <f>Table_246[[#This Row],[QT]]*Table_246[[#This Row],[Custo 
Un]]</f>
        <v>0</v>
      </c>
      <c r="I488" s="52"/>
      <c r="J488" s="263">
        <f t="shared" si="26"/>
        <v>0</v>
      </c>
      <c r="K488" s="10">
        <f t="shared" si="27"/>
        <v>0</v>
      </c>
      <c r="L488" s="50">
        <f>Table_246[[#This Row],[Valor da 
venda]]-Table_246[[#This Row],[Valor gasto]]</f>
        <v>0</v>
      </c>
      <c r="M488" s="111">
        <f t="shared" si="28"/>
        <v>0</v>
      </c>
      <c r="N488" s="52"/>
      <c r="O488" t="str">
        <f>IF([1]!Table_246[[#This Row],[Coluna2]]&gt;0.5, "🔥 Excelente", IF([1]!Table_246[[#This Row],[Coluna2]]&gt;0.4, "👍 Bom", "⚠️ Baixo"))</f>
        <v>⚠️ Baixo</v>
      </c>
    </row>
    <row r="489" spans="1:15" ht="15" customHeight="1">
      <c r="A489" s="28" t="str">
        <f>IF(Table_246[[#This Row],[Data]]="","",MONTH(Table_246[[#This Row],[Data]]))</f>
        <v/>
      </c>
      <c r="B489" s="32"/>
      <c r="C489" s="36"/>
      <c r="D489" s="43"/>
      <c r="E489" s="48"/>
      <c r="F489" s="48"/>
      <c r="G489" s="49" t="str">
        <f>IFERROR(VLOOKUP(C489,PROD!$A$2:$E$1204,5,0),"0")</f>
        <v>0</v>
      </c>
      <c r="H489" s="10">
        <f>Table_246[[#This Row],[QT]]*Table_246[[#This Row],[Custo 
Un]]</f>
        <v>0</v>
      </c>
      <c r="I489" s="52"/>
      <c r="J489" s="263">
        <f t="shared" si="26"/>
        <v>0</v>
      </c>
      <c r="K489" s="10">
        <f t="shared" si="27"/>
        <v>0</v>
      </c>
      <c r="L489" s="50">
        <f>Table_246[[#This Row],[Valor da 
venda]]-Table_246[[#This Row],[Valor gasto]]</f>
        <v>0</v>
      </c>
      <c r="M489" s="111">
        <f t="shared" si="28"/>
        <v>0</v>
      </c>
      <c r="N489" s="52"/>
      <c r="O489" t="str">
        <f>IF([1]!Table_246[[#This Row],[Coluna2]]&gt;0.5, "🔥 Excelente", IF([1]!Table_246[[#This Row],[Coluna2]]&gt;0.4, "👍 Bom", "⚠️ Baixo"))</f>
        <v>⚠️ Baixo</v>
      </c>
    </row>
    <row r="490" spans="1:15" ht="15" customHeight="1">
      <c r="A490" s="28" t="str">
        <f>IF(Table_246[[#This Row],[Data]]="","",MONTH(Table_246[[#This Row],[Data]]))</f>
        <v/>
      </c>
      <c r="B490" s="32"/>
      <c r="C490" s="36"/>
      <c r="D490" s="43"/>
      <c r="E490" s="48"/>
      <c r="F490" s="48"/>
      <c r="G490" s="49" t="str">
        <f>IFERROR(VLOOKUP(C490,PROD!$A$2:$E$1204,5,0),"0")</f>
        <v>0</v>
      </c>
      <c r="H490" s="10">
        <f>Table_246[[#This Row],[QT]]*Table_246[[#This Row],[Custo 
Un]]</f>
        <v>0</v>
      </c>
      <c r="I490" s="52"/>
      <c r="J490" s="263">
        <f t="shared" si="26"/>
        <v>0</v>
      </c>
      <c r="K490" s="10">
        <f t="shared" si="27"/>
        <v>0</v>
      </c>
      <c r="L490" s="50">
        <f>Table_246[[#This Row],[Valor da 
venda]]-Table_246[[#This Row],[Valor gasto]]</f>
        <v>0</v>
      </c>
      <c r="M490" s="111">
        <f t="shared" si="28"/>
        <v>0</v>
      </c>
      <c r="N490" s="52"/>
      <c r="O490" t="str">
        <f>IF([1]!Table_246[[#This Row],[Coluna2]]&gt;0.5, "🔥 Excelente", IF([1]!Table_246[[#This Row],[Coluna2]]&gt;0.4, "👍 Bom", "⚠️ Baixo"))</f>
        <v>⚠️ Baixo</v>
      </c>
    </row>
    <row r="491" spans="1:15" ht="15" customHeight="1">
      <c r="A491" s="28" t="str">
        <f>IF(Table_246[[#This Row],[Data]]="","",MONTH(Table_246[[#This Row],[Data]]))</f>
        <v/>
      </c>
      <c r="B491" s="32"/>
      <c r="C491" s="36"/>
      <c r="D491" s="43"/>
      <c r="E491" s="48"/>
      <c r="F491" s="48"/>
      <c r="G491" s="49" t="str">
        <f>IFERROR(VLOOKUP(C491,PROD!$A$2:$E$1204,5,0),"0")</f>
        <v>0</v>
      </c>
      <c r="H491" s="10">
        <f>Table_246[[#This Row],[QT]]*Table_246[[#This Row],[Custo 
Un]]</f>
        <v>0</v>
      </c>
      <c r="I491" s="52"/>
      <c r="J491" s="263">
        <f t="shared" si="26"/>
        <v>0</v>
      </c>
      <c r="K491" s="10">
        <f t="shared" si="27"/>
        <v>0</v>
      </c>
      <c r="L491" s="50">
        <f>Table_246[[#This Row],[Valor da 
venda]]-Table_246[[#This Row],[Valor gasto]]</f>
        <v>0</v>
      </c>
      <c r="M491" s="111">
        <f t="shared" si="28"/>
        <v>0</v>
      </c>
      <c r="N491" s="52"/>
      <c r="O491" t="str">
        <f>IF([1]!Table_246[[#This Row],[Coluna2]]&gt;0.5, "🔥 Excelente", IF([1]!Table_246[[#This Row],[Coluna2]]&gt;0.4, "👍 Bom", "⚠️ Baixo"))</f>
        <v>⚠️ Baixo</v>
      </c>
    </row>
    <row r="492" spans="1:15" ht="15" customHeight="1">
      <c r="A492" s="28" t="str">
        <f>IF(Table_246[[#This Row],[Data]]="","",MONTH(Table_246[[#This Row],[Data]]))</f>
        <v/>
      </c>
      <c r="B492" s="76"/>
      <c r="C492" s="79"/>
      <c r="D492" s="43"/>
      <c r="E492" s="87"/>
      <c r="F492" s="87"/>
      <c r="G492" s="49" t="str">
        <f>IFERROR(VLOOKUP(C492,PROD!$A$2:$E$1204,5,0),"0")</f>
        <v>0</v>
      </c>
      <c r="H492" s="10">
        <f>Table_246[[#This Row],[QT]]*Table_246[[#This Row],[Custo 
Un]]</f>
        <v>0</v>
      </c>
      <c r="I492" s="92"/>
      <c r="J492" s="92">
        <f t="shared" si="26"/>
        <v>0</v>
      </c>
      <c r="K492" s="10">
        <f t="shared" si="27"/>
        <v>0</v>
      </c>
      <c r="L492" s="50">
        <f>Table_246[[#This Row],[Valor da 
venda]]-Table_246[[#This Row],[Valor gasto]]</f>
        <v>0</v>
      </c>
      <c r="M492" s="111">
        <f t="shared" si="28"/>
        <v>0</v>
      </c>
      <c r="N492" s="92"/>
      <c r="O492" t="str">
        <f>IF([1]!Table_246[[#This Row],[Coluna2]]&gt;0.5, "🔥 Excelente", IF([1]!Table_246[[#This Row],[Coluna2]]&gt;0.4, "👍 Bom", "⚠️ Baixo"))</f>
        <v>⚠️ Baixo</v>
      </c>
    </row>
    <row r="493" spans="1:15" ht="15" customHeight="1">
      <c r="A493" s="28" t="str">
        <f>IF(Table_246[[#This Row],[Data]]="","",MONTH(Table_246[[#This Row],[Data]]))</f>
        <v/>
      </c>
      <c r="B493" s="32"/>
      <c r="C493" s="36"/>
      <c r="D493" s="43"/>
      <c r="E493" s="48"/>
      <c r="F493" s="48"/>
      <c r="G493" s="49" t="str">
        <f>IFERROR(VLOOKUP(C493,PROD!$A$2:$E$1204,5,0),"0")</f>
        <v>0</v>
      </c>
      <c r="H493" s="10">
        <f>Table_246[[#This Row],[QT]]*Table_246[[#This Row],[Custo 
Un]]</f>
        <v>0</v>
      </c>
      <c r="I493" s="52"/>
      <c r="J493" s="263">
        <f t="shared" si="26"/>
        <v>0</v>
      </c>
      <c r="K493" s="10">
        <f t="shared" si="27"/>
        <v>0</v>
      </c>
      <c r="L493" s="50">
        <f>Table_246[[#This Row],[Valor da 
venda]]-Table_246[[#This Row],[Valor gasto]]</f>
        <v>0</v>
      </c>
      <c r="M493" s="111">
        <f t="shared" si="28"/>
        <v>0</v>
      </c>
      <c r="N493" s="52"/>
      <c r="O493" t="str">
        <f>IF([1]!Table_246[[#This Row],[Coluna2]]&gt;0.5, "🔥 Excelente", IF([1]!Table_246[[#This Row],[Coluna2]]&gt;0.4, "👍 Bom", "⚠️ Baixo"))</f>
        <v>⚠️ Baixo</v>
      </c>
    </row>
    <row r="494" spans="1:15" ht="15" customHeight="1">
      <c r="A494" s="28" t="str">
        <f>IF(Table_246[[#This Row],[Data]]="","",MONTH(Table_246[[#This Row],[Data]]))</f>
        <v/>
      </c>
      <c r="B494" s="32"/>
      <c r="C494" s="36"/>
      <c r="D494" s="43"/>
      <c r="E494" s="48"/>
      <c r="F494" s="48"/>
      <c r="G494" s="49" t="str">
        <f>IFERROR(VLOOKUP(C494,PROD!$A$2:$E$1204,5,0),"0")</f>
        <v>0</v>
      </c>
      <c r="H494" s="10">
        <f>Table_246[[#This Row],[QT]]*Table_246[[#This Row],[Custo 
Un]]</f>
        <v>0</v>
      </c>
      <c r="I494" s="52"/>
      <c r="J494" s="263">
        <f t="shared" si="26"/>
        <v>0</v>
      </c>
      <c r="K494" s="10">
        <f t="shared" si="27"/>
        <v>0</v>
      </c>
      <c r="L494" s="50">
        <f>Table_246[[#This Row],[Valor da 
venda]]-Table_246[[#This Row],[Valor gasto]]</f>
        <v>0</v>
      </c>
      <c r="M494" s="111">
        <f t="shared" si="28"/>
        <v>0</v>
      </c>
      <c r="N494" s="52"/>
      <c r="O494" t="str">
        <f>IF([1]!Table_246[[#This Row],[Coluna2]]&gt;0.5, "🔥 Excelente", IF([1]!Table_246[[#This Row],[Coluna2]]&gt;0.4, "👍 Bom", "⚠️ Baixo"))</f>
        <v>⚠️ Baixo</v>
      </c>
    </row>
    <row r="495" spans="1:15" ht="15" customHeight="1">
      <c r="A495" s="28" t="str">
        <f>IF(Table_246[[#This Row],[Data]]="","",MONTH(Table_246[[#This Row],[Data]]))</f>
        <v/>
      </c>
      <c r="B495" s="32"/>
      <c r="C495" s="36"/>
      <c r="D495" s="43"/>
      <c r="E495" s="48"/>
      <c r="F495" s="48"/>
      <c r="G495" s="49" t="str">
        <f>IFERROR(VLOOKUP(C495,PROD!$A$2:$E$1204,5,0),"0")</f>
        <v>0</v>
      </c>
      <c r="H495" s="10">
        <f>Table_246[[#This Row],[QT]]*Table_246[[#This Row],[Custo 
Un]]</f>
        <v>0</v>
      </c>
      <c r="I495" s="52"/>
      <c r="J495" s="263">
        <f t="shared" si="26"/>
        <v>0</v>
      </c>
      <c r="K495" s="10">
        <f t="shared" si="27"/>
        <v>0</v>
      </c>
      <c r="L495" s="50">
        <f>Table_246[[#This Row],[Valor da 
venda]]-Table_246[[#This Row],[Valor gasto]]</f>
        <v>0</v>
      </c>
      <c r="M495" s="111">
        <f t="shared" si="28"/>
        <v>0</v>
      </c>
      <c r="N495" s="52"/>
      <c r="O495" t="str">
        <f>IF([1]!Table_246[[#This Row],[Coluna2]]&gt;0.5, "🔥 Excelente", IF([1]!Table_246[[#This Row],[Coluna2]]&gt;0.4, "👍 Bom", "⚠️ Baixo"))</f>
        <v>⚠️ Baixo</v>
      </c>
    </row>
    <row r="496" spans="1:15" ht="15" customHeight="1">
      <c r="A496" s="28" t="str">
        <f>IF(Table_246[[#This Row],[Data]]="","",MONTH(Table_246[[#This Row],[Data]]))</f>
        <v/>
      </c>
      <c r="B496" s="76"/>
      <c r="C496" s="79"/>
      <c r="D496" s="43"/>
      <c r="E496" s="87"/>
      <c r="F496" s="87"/>
      <c r="G496" s="49" t="str">
        <f>IFERROR(VLOOKUP(C496,PROD!$A$2:$E$1204,5,0),"0")</f>
        <v>0</v>
      </c>
      <c r="H496" s="10">
        <f>Table_246[[#This Row],[QT]]*Table_246[[#This Row],[Custo 
Un]]</f>
        <v>0</v>
      </c>
      <c r="I496" s="92"/>
      <c r="J496" s="92">
        <f t="shared" si="26"/>
        <v>0</v>
      </c>
      <c r="K496" s="10">
        <f t="shared" si="27"/>
        <v>0</v>
      </c>
      <c r="L496" s="50">
        <f>Table_246[[#This Row],[Valor da 
venda]]-Table_246[[#This Row],[Valor gasto]]</f>
        <v>0</v>
      </c>
      <c r="M496" s="111">
        <f t="shared" si="28"/>
        <v>0</v>
      </c>
      <c r="N496" s="92"/>
      <c r="O496" t="str">
        <f>IF([1]!Table_246[[#This Row],[Coluna2]]&gt;0.5, "🔥 Excelente", IF([1]!Table_246[[#This Row],[Coluna2]]&gt;0.4, "👍 Bom", "⚠️ Baixo"))</f>
        <v>⚠️ Baixo</v>
      </c>
    </row>
    <row r="497" spans="1:15" ht="15" customHeight="1">
      <c r="A497" s="28" t="str">
        <f>IF(Table_246[[#This Row],[Data]]="","",MONTH(Table_246[[#This Row],[Data]]))</f>
        <v/>
      </c>
      <c r="B497" s="32"/>
      <c r="C497" s="36"/>
      <c r="D497" s="43"/>
      <c r="E497" s="48"/>
      <c r="F497" s="48"/>
      <c r="G497" s="49" t="str">
        <f>IFERROR(VLOOKUP(C497,PROD!$A$2:$E$1204,5,0),"0")</f>
        <v>0</v>
      </c>
      <c r="H497" s="10">
        <f>Table_246[[#This Row],[QT]]*Table_246[[#This Row],[Custo 
Un]]</f>
        <v>0</v>
      </c>
      <c r="I497" s="52"/>
      <c r="J497" s="263">
        <f t="shared" si="26"/>
        <v>0</v>
      </c>
      <c r="K497" s="10">
        <f t="shared" si="27"/>
        <v>0</v>
      </c>
      <c r="L497" s="50">
        <f>Table_246[[#This Row],[Valor da 
venda]]-Table_246[[#This Row],[Valor gasto]]</f>
        <v>0</v>
      </c>
      <c r="M497" s="111">
        <f t="shared" si="28"/>
        <v>0</v>
      </c>
      <c r="N497" s="52"/>
      <c r="O497" t="str">
        <f>IF([1]!Table_246[[#This Row],[Coluna2]]&gt;0.5, "🔥 Excelente", IF([1]!Table_246[[#This Row],[Coluna2]]&gt;0.4, "👍 Bom", "⚠️ Baixo"))</f>
        <v>⚠️ Baixo</v>
      </c>
    </row>
    <row r="498" spans="1:15" ht="15" customHeight="1">
      <c r="A498" s="28" t="str">
        <f>IF(Table_246[[#This Row],[Data]]="","",MONTH(Table_246[[#This Row],[Data]]))</f>
        <v/>
      </c>
      <c r="B498" s="32"/>
      <c r="C498" s="36"/>
      <c r="D498" s="43"/>
      <c r="E498" s="48"/>
      <c r="F498" s="48"/>
      <c r="G498" s="49" t="str">
        <f>IFERROR(VLOOKUP(C498,PROD!$A$2:$E$1204,5,0),"0")</f>
        <v>0</v>
      </c>
      <c r="H498" s="10">
        <f>Table_246[[#This Row],[QT]]*Table_246[[#This Row],[Custo 
Un]]</f>
        <v>0</v>
      </c>
      <c r="I498" s="52"/>
      <c r="J498" s="263">
        <f t="shared" si="26"/>
        <v>0</v>
      </c>
      <c r="K498" s="10">
        <f t="shared" si="27"/>
        <v>0</v>
      </c>
      <c r="L498" s="50">
        <f>Table_246[[#This Row],[Valor da 
venda]]-Table_246[[#This Row],[Valor gasto]]</f>
        <v>0</v>
      </c>
      <c r="M498" s="111">
        <f t="shared" si="28"/>
        <v>0</v>
      </c>
      <c r="N498" s="52"/>
      <c r="O498" t="str">
        <f>IF([1]!Table_246[[#This Row],[Coluna2]]&gt;0.5, "🔥 Excelente", IF([1]!Table_246[[#This Row],[Coluna2]]&gt;0.4, "👍 Bom", "⚠️ Baixo"))</f>
        <v>⚠️ Baixo</v>
      </c>
    </row>
    <row r="499" spans="1:15" ht="15" customHeight="1">
      <c r="A499" s="28" t="str">
        <f>IF(Table_246[[#This Row],[Data]]="","",MONTH(Table_246[[#This Row],[Data]]))</f>
        <v/>
      </c>
      <c r="B499" s="32"/>
      <c r="C499" s="36"/>
      <c r="D499" s="43"/>
      <c r="E499" s="48"/>
      <c r="F499" s="48"/>
      <c r="G499" s="49" t="str">
        <f>IFERROR(VLOOKUP(C499,PROD!$A$2:$E$1204,5,0),"0")</f>
        <v>0</v>
      </c>
      <c r="H499" s="10">
        <f>Table_246[[#This Row],[QT]]*Table_246[[#This Row],[Custo 
Un]]</f>
        <v>0</v>
      </c>
      <c r="I499" s="52"/>
      <c r="J499" s="263">
        <f t="shared" si="26"/>
        <v>0</v>
      </c>
      <c r="K499" s="10">
        <f t="shared" si="27"/>
        <v>0</v>
      </c>
      <c r="L499" s="50">
        <f>Table_246[[#This Row],[Valor da 
venda]]-Table_246[[#This Row],[Valor gasto]]</f>
        <v>0</v>
      </c>
      <c r="M499" s="111">
        <f t="shared" si="28"/>
        <v>0</v>
      </c>
      <c r="N499" s="52"/>
      <c r="O499" t="str">
        <f>IF([1]!Table_246[[#This Row],[Coluna2]]&gt;0.5, "🔥 Excelente", IF([1]!Table_246[[#This Row],[Coluna2]]&gt;0.4, "👍 Bom", "⚠️ Baixo"))</f>
        <v>⚠️ Baixo</v>
      </c>
    </row>
    <row r="500" spans="1:15" ht="15" customHeight="1">
      <c r="A500" s="28" t="str">
        <f>IF(Table_246[[#This Row],[Data]]="","",MONTH(Table_246[[#This Row],[Data]]))</f>
        <v/>
      </c>
      <c r="B500" s="32"/>
      <c r="C500" s="36"/>
      <c r="D500" s="43"/>
      <c r="E500" s="48"/>
      <c r="F500" s="48"/>
      <c r="G500" s="49" t="str">
        <f>IFERROR(VLOOKUP(C500,PROD!$A$2:$E$1204,5,0),"0")</f>
        <v>0</v>
      </c>
      <c r="H500" s="10">
        <f>Table_246[[#This Row],[QT]]*Table_246[[#This Row],[Custo 
Un]]</f>
        <v>0</v>
      </c>
      <c r="I500" s="52"/>
      <c r="J500" s="263">
        <f t="shared" si="26"/>
        <v>0</v>
      </c>
      <c r="K500" s="10">
        <f t="shared" ref="K500:K563" si="29">I500*D500</f>
        <v>0</v>
      </c>
      <c r="L500" s="50">
        <f>Table_246[[#This Row],[Valor da 
venda]]-Table_246[[#This Row],[Valor gasto]]</f>
        <v>0</v>
      </c>
      <c r="M500" s="111">
        <f t="shared" si="28"/>
        <v>0</v>
      </c>
      <c r="N500" s="52"/>
      <c r="O500" t="str">
        <f>IF([1]!Table_246[[#This Row],[Coluna2]]&gt;0.5, "🔥 Excelente", IF([1]!Table_246[[#This Row],[Coluna2]]&gt;0.4, "👍 Bom", "⚠️ Baixo"))</f>
        <v>⚠️ Baixo</v>
      </c>
    </row>
    <row r="501" spans="1:15" ht="15" customHeight="1">
      <c r="A501" s="28" t="str">
        <f>IF(Table_246[[#This Row],[Data]]="","",MONTH(Table_246[[#This Row],[Data]]))</f>
        <v/>
      </c>
      <c r="B501" s="32"/>
      <c r="C501" s="36"/>
      <c r="D501" s="43"/>
      <c r="E501" s="48"/>
      <c r="F501" s="48"/>
      <c r="G501" s="49" t="str">
        <f>IFERROR(VLOOKUP(C501,PROD!$A$2:$E$1204,5,0),"0")</f>
        <v>0</v>
      </c>
      <c r="H501" s="10">
        <f>Table_246[[#This Row],[QT]]*Table_246[[#This Row],[Custo 
Un]]</f>
        <v>0</v>
      </c>
      <c r="I501" s="52"/>
      <c r="J501" s="263">
        <f t="shared" si="26"/>
        <v>0</v>
      </c>
      <c r="K501" s="10">
        <f t="shared" si="29"/>
        <v>0</v>
      </c>
      <c r="L501" s="50">
        <f>Table_246[[#This Row],[Valor da 
venda]]-Table_246[[#This Row],[Valor gasto]]</f>
        <v>0</v>
      </c>
      <c r="M501" s="111">
        <f t="shared" si="28"/>
        <v>0</v>
      </c>
      <c r="N501" s="52"/>
      <c r="O501" t="str">
        <f>IF([1]!Table_246[[#This Row],[Coluna2]]&gt;0.5, "🔥 Excelente", IF([1]!Table_246[[#This Row],[Coluna2]]&gt;0.4, "👍 Bom", "⚠️ Baixo"))</f>
        <v>⚠️ Baixo</v>
      </c>
    </row>
    <row r="502" spans="1:15" ht="15" customHeight="1">
      <c r="A502" s="28" t="str">
        <f>IF(Table_246[[#This Row],[Data]]="","",MONTH(Table_246[[#This Row],[Data]]))</f>
        <v/>
      </c>
      <c r="B502" s="32"/>
      <c r="C502" s="36"/>
      <c r="D502" s="43"/>
      <c r="E502" s="48"/>
      <c r="F502" s="48"/>
      <c r="G502" s="49" t="str">
        <f>IFERROR(VLOOKUP(C502,PROD!$A$2:$E$1204,5,0),"0")</f>
        <v>0</v>
      </c>
      <c r="H502" s="10">
        <f>Table_246[[#This Row],[QT]]*Table_246[[#This Row],[Custo 
Un]]</f>
        <v>0</v>
      </c>
      <c r="I502" s="52"/>
      <c r="J502" s="263">
        <f t="shared" si="26"/>
        <v>0</v>
      </c>
      <c r="K502" s="10">
        <f t="shared" si="29"/>
        <v>0</v>
      </c>
      <c r="L502" s="50">
        <f>Table_246[[#This Row],[Valor da 
venda]]-Table_246[[#This Row],[Valor gasto]]</f>
        <v>0</v>
      </c>
      <c r="M502" s="111">
        <f t="shared" si="28"/>
        <v>0</v>
      </c>
      <c r="N502" s="52"/>
      <c r="O502" t="str">
        <f>IF([1]!Table_246[[#This Row],[Coluna2]]&gt;0.5, "🔥 Excelente", IF([1]!Table_246[[#This Row],[Coluna2]]&gt;0.4, "👍 Bom", "⚠️ Baixo"))</f>
        <v>⚠️ Baixo</v>
      </c>
    </row>
    <row r="503" spans="1:15" ht="15" customHeight="1">
      <c r="A503" s="28" t="str">
        <f>IF(Table_246[[#This Row],[Data]]="","",MONTH(Table_246[[#This Row],[Data]]))</f>
        <v/>
      </c>
      <c r="B503" s="76"/>
      <c r="C503" s="79"/>
      <c r="D503" s="43"/>
      <c r="E503" s="87"/>
      <c r="F503" s="87"/>
      <c r="G503" s="49" t="str">
        <f>IFERROR(VLOOKUP(C503,PROD!$A$2:$E$1204,5,0),"0")</f>
        <v>0</v>
      </c>
      <c r="H503" s="10">
        <f>Table_246[[#This Row],[QT]]*Table_246[[#This Row],[Custo 
Un]]</f>
        <v>0</v>
      </c>
      <c r="I503" s="92"/>
      <c r="J503" s="92">
        <f t="shared" si="26"/>
        <v>0</v>
      </c>
      <c r="K503" s="10">
        <f t="shared" si="29"/>
        <v>0</v>
      </c>
      <c r="L503" s="50">
        <f>Table_246[[#This Row],[Valor da 
venda]]-Table_246[[#This Row],[Valor gasto]]</f>
        <v>0</v>
      </c>
      <c r="M503" s="111">
        <f t="shared" si="28"/>
        <v>0</v>
      </c>
      <c r="N503" s="92"/>
      <c r="O503" t="str">
        <f>IF([1]!Table_246[[#This Row],[Coluna2]]&gt;0.5, "🔥 Excelente", IF([1]!Table_246[[#This Row],[Coluna2]]&gt;0.4, "👍 Bom", "⚠️ Baixo"))</f>
        <v>⚠️ Baixo</v>
      </c>
    </row>
    <row r="504" spans="1:15" ht="15" customHeight="1">
      <c r="A504" s="28" t="str">
        <f>IF(Table_246[[#This Row],[Data]]="","",MONTH(Table_246[[#This Row],[Data]]))</f>
        <v/>
      </c>
      <c r="B504" s="32"/>
      <c r="C504" s="36"/>
      <c r="D504" s="43"/>
      <c r="E504" s="48"/>
      <c r="F504" s="48"/>
      <c r="G504" s="49" t="str">
        <f>IFERROR(VLOOKUP(C504,PROD!$A$2:$E$1204,5,0),"0")</f>
        <v>0</v>
      </c>
      <c r="H504" s="10">
        <f>Table_246[[#This Row],[QT]]*Table_246[[#This Row],[Custo 
Un]]</f>
        <v>0</v>
      </c>
      <c r="I504" s="52"/>
      <c r="J504" s="263">
        <f t="shared" si="26"/>
        <v>0</v>
      </c>
      <c r="K504" s="10">
        <f t="shared" si="29"/>
        <v>0</v>
      </c>
      <c r="L504" s="50">
        <f>Table_246[[#This Row],[Valor da 
venda]]-Table_246[[#This Row],[Valor gasto]]</f>
        <v>0</v>
      </c>
      <c r="M504" s="111">
        <f t="shared" si="28"/>
        <v>0</v>
      </c>
      <c r="N504" s="52"/>
      <c r="O504" t="str">
        <f>IF([1]!Table_246[[#This Row],[Coluna2]]&gt;0.5, "🔥 Excelente", IF([1]!Table_246[[#This Row],[Coluna2]]&gt;0.4, "👍 Bom", "⚠️ Baixo"))</f>
        <v>⚠️ Baixo</v>
      </c>
    </row>
    <row r="505" spans="1:15" ht="15" customHeight="1">
      <c r="A505" s="28" t="str">
        <f>IF(Table_246[[#This Row],[Data]]="","",MONTH(Table_246[[#This Row],[Data]]))</f>
        <v/>
      </c>
      <c r="B505" s="32"/>
      <c r="C505" s="36"/>
      <c r="D505" s="43"/>
      <c r="E505" s="48"/>
      <c r="F505" s="48"/>
      <c r="G505" s="49" t="str">
        <f>IFERROR(VLOOKUP(C505,PROD!$A$2:$E$1204,5,0),"0")</f>
        <v>0</v>
      </c>
      <c r="H505" s="10">
        <f>Table_246[[#This Row],[QT]]*Table_246[[#This Row],[Custo 
Un]]</f>
        <v>0</v>
      </c>
      <c r="I505" s="52"/>
      <c r="J505" s="263">
        <f t="shared" si="26"/>
        <v>0</v>
      </c>
      <c r="K505" s="10">
        <f t="shared" si="29"/>
        <v>0</v>
      </c>
      <c r="L505" s="50">
        <f>Table_246[[#This Row],[Valor da 
venda]]-Table_246[[#This Row],[Valor gasto]]</f>
        <v>0</v>
      </c>
      <c r="M505" s="111">
        <f t="shared" si="28"/>
        <v>0</v>
      </c>
      <c r="N505" s="52"/>
      <c r="O505" t="str">
        <f>IF([1]!Table_246[[#This Row],[Coluna2]]&gt;0.5, "🔥 Excelente", IF([1]!Table_246[[#This Row],[Coluna2]]&gt;0.4, "👍 Bom", "⚠️ Baixo"))</f>
        <v>⚠️ Baixo</v>
      </c>
    </row>
    <row r="506" spans="1:15" ht="15" customHeight="1">
      <c r="A506" s="28" t="str">
        <f>IF(Table_246[[#This Row],[Data]]="","",MONTH(Table_246[[#This Row],[Data]]))</f>
        <v/>
      </c>
      <c r="B506" s="32"/>
      <c r="C506" s="36"/>
      <c r="D506" s="43"/>
      <c r="E506" s="48"/>
      <c r="F506" s="48"/>
      <c r="G506" s="49" t="str">
        <f>IFERROR(VLOOKUP(C506,PROD!$A$2:$E$1204,5,0),"0")</f>
        <v>0</v>
      </c>
      <c r="H506" s="10">
        <f>Table_246[[#This Row],[QT]]*Table_246[[#This Row],[Custo 
Un]]</f>
        <v>0</v>
      </c>
      <c r="I506" s="52"/>
      <c r="J506" s="263">
        <f t="shared" si="26"/>
        <v>0</v>
      </c>
      <c r="K506" s="10">
        <f t="shared" si="29"/>
        <v>0</v>
      </c>
      <c r="L506" s="50">
        <f>Table_246[[#This Row],[Valor da 
venda]]-Table_246[[#This Row],[Valor gasto]]</f>
        <v>0</v>
      </c>
      <c r="M506" s="111">
        <f t="shared" si="28"/>
        <v>0</v>
      </c>
      <c r="N506" s="52"/>
      <c r="O506" t="str">
        <f>IF([1]!Table_246[[#This Row],[Coluna2]]&gt;0.5, "🔥 Excelente", IF([1]!Table_246[[#This Row],[Coluna2]]&gt;0.4, "👍 Bom", "⚠️ Baixo"))</f>
        <v>⚠️ Baixo</v>
      </c>
    </row>
    <row r="507" spans="1:15" ht="15" customHeight="1">
      <c r="A507" s="28" t="str">
        <f>IF(Table_246[[#This Row],[Data]]="","",MONTH(Table_246[[#This Row],[Data]]))</f>
        <v/>
      </c>
      <c r="B507" s="32"/>
      <c r="C507" s="36"/>
      <c r="D507" s="43"/>
      <c r="E507" s="48"/>
      <c r="F507" s="48"/>
      <c r="G507" s="49" t="str">
        <f>IFERROR(VLOOKUP(C507,PROD!$A$2:$E$1204,5,0),"0")</f>
        <v>0</v>
      </c>
      <c r="H507" s="10">
        <f>Table_246[[#This Row],[QT]]*Table_246[[#This Row],[Custo 
Un]]</f>
        <v>0</v>
      </c>
      <c r="I507" s="52"/>
      <c r="J507" s="263">
        <f t="shared" si="26"/>
        <v>0</v>
      </c>
      <c r="K507" s="10">
        <f t="shared" si="29"/>
        <v>0</v>
      </c>
      <c r="L507" s="50">
        <f>Table_246[[#This Row],[Valor da 
venda]]-Table_246[[#This Row],[Valor gasto]]</f>
        <v>0</v>
      </c>
      <c r="M507" s="111">
        <f t="shared" si="28"/>
        <v>0</v>
      </c>
      <c r="N507" s="52"/>
      <c r="O507" t="str">
        <f>IF([1]!Table_246[[#This Row],[Coluna2]]&gt;0.5, "🔥 Excelente", IF([1]!Table_246[[#This Row],[Coluna2]]&gt;0.4, "👍 Bom", "⚠️ Baixo"))</f>
        <v>⚠️ Baixo</v>
      </c>
    </row>
    <row r="508" spans="1:15" ht="15" customHeight="1">
      <c r="A508" s="28" t="str">
        <f>IF(Table_246[[#This Row],[Data]]="","",MONTH(Table_246[[#This Row],[Data]]))</f>
        <v/>
      </c>
      <c r="B508" s="32"/>
      <c r="C508" s="36"/>
      <c r="D508" s="43"/>
      <c r="E508" s="48"/>
      <c r="F508" s="48"/>
      <c r="G508" s="49" t="str">
        <f>IFERROR(VLOOKUP(C508,PROD!$A$2:$E$1204,5,0),"0")</f>
        <v>0</v>
      </c>
      <c r="H508" s="10">
        <f>Table_246[[#This Row],[QT]]*Table_246[[#This Row],[Custo 
Un]]</f>
        <v>0</v>
      </c>
      <c r="I508" s="52"/>
      <c r="J508" s="263">
        <f t="shared" si="26"/>
        <v>0</v>
      </c>
      <c r="K508" s="10">
        <f t="shared" si="29"/>
        <v>0</v>
      </c>
      <c r="L508" s="50">
        <f>Table_246[[#This Row],[Valor da 
venda]]-Table_246[[#This Row],[Valor gasto]]</f>
        <v>0</v>
      </c>
      <c r="M508" s="111">
        <f t="shared" si="28"/>
        <v>0</v>
      </c>
      <c r="N508" s="52"/>
      <c r="O508" t="str">
        <f>IF([1]!Table_246[[#This Row],[Coluna2]]&gt;0.5, "🔥 Excelente", IF([1]!Table_246[[#This Row],[Coluna2]]&gt;0.4, "👍 Bom", "⚠️ Baixo"))</f>
        <v>⚠️ Baixo</v>
      </c>
    </row>
    <row r="509" spans="1:15" ht="15" customHeight="1">
      <c r="A509" s="28" t="str">
        <f>IF(Table_246[[#This Row],[Data]]="","",MONTH(Table_246[[#This Row],[Data]]))</f>
        <v/>
      </c>
      <c r="B509" s="32"/>
      <c r="C509" s="36"/>
      <c r="D509" s="43"/>
      <c r="E509" s="48"/>
      <c r="F509" s="48"/>
      <c r="G509" s="49" t="str">
        <f>IFERROR(VLOOKUP(C509,PROD!$A$2:$E$1204,5,0),"0")</f>
        <v>0</v>
      </c>
      <c r="H509" s="10">
        <f>Table_246[[#This Row],[QT]]*Table_246[[#This Row],[Custo 
Un]]</f>
        <v>0</v>
      </c>
      <c r="I509" s="52"/>
      <c r="J509" s="263">
        <f t="shared" si="26"/>
        <v>0</v>
      </c>
      <c r="K509" s="10">
        <f t="shared" si="29"/>
        <v>0</v>
      </c>
      <c r="L509" s="50">
        <f>Table_246[[#This Row],[Valor da 
venda]]-Table_246[[#This Row],[Valor gasto]]</f>
        <v>0</v>
      </c>
      <c r="M509" s="111">
        <f t="shared" si="28"/>
        <v>0</v>
      </c>
      <c r="N509" s="52"/>
      <c r="O509" t="str">
        <f>IF([1]!Table_246[[#This Row],[Coluna2]]&gt;0.5, "🔥 Excelente", IF([1]!Table_246[[#This Row],[Coluna2]]&gt;0.4, "👍 Bom", "⚠️ Baixo"))</f>
        <v>⚠️ Baixo</v>
      </c>
    </row>
    <row r="510" spans="1:15" ht="15" customHeight="1">
      <c r="A510" s="28" t="str">
        <f>IF(Table_246[[#This Row],[Data]]="","",MONTH(Table_246[[#This Row],[Data]]))</f>
        <v/>
      </c>
      <c r="B510" s="76"/>
      <c r="C510" s="79"/>
      <c r="D510" s="43"/>
      <c r="E510" s="87"/>
      <c r="F510" s="87"/>
      <c r="G510" s="49" t="str">
        <f>IFERROR(VLOOKUP(C510,PROD!$A$2:$E$1204,5,0),"0")</f>
        <v>0</v>
      </c>
      <c r="H510" s="10">
        <f>Table_246[[#This Row],[QT]]*Table_246[[#This Row],[Custo 
Un]]</f>
        <v>0</v>
      </c>
      <c r="I510" s="92"/>
      <c r="J510" s="92">
        <f t="shared" si="26"/>
        <v>0</v>
      </c>
      <c r="K510" s="10">
        <f t="shared" si="29"/>
        <v>0</v>
      </c>
      <c r="L510" s="50">
        <f>Table_246[[#This Row],[Valor da 
venda]]-Table_246[[#This Row],[Valor gasto]]</f>
        <v>0</v>
      </c>
      <c r="M510" s="111">
        <f t="shared" si="28"/>
        <v>0</v>
      </c>
      <c r="N510" s="92"/>
      <c r="O510" t="str">
        <f>IF([1]!Table_246[[#This Row],[Coluna2]]&gt;0.5, "🔥 Excelente", IF([1]!Table_246[[#This Row],[Coluna2]]&gt;0.4, "👍 Bom", "⚠️ Baixo"))</f>
        <v>⚠️ Baixo</v>
      </c>
    </row>
    <row r="511" spans="1:15" ht="15" customHeight="1">
      <c r="A511" s="28" t="str">
        <f>IF(Table_246[[#This Row],[Data]]="","",MONTH(Table_246[[#This Row],[Data]]))</f>
        <v/>
      </c>
      <c r="B511" s="32"/>
      <c r="C511" s="36"/>
      <c r="D511" s="43"/>
      <c r="E511" s="48"/>
      <c r="F511" s="48"/>
      <c r="G511" s="49" t="str">
        <f>IFERROR(VLOOKUP(C511,PROD!$A$2:$E$1204,5,0),"0")</f>
        <v>0</v>
      </c>
      <c r="H511" s="10">
        <f>Table_246[[#This Row],[QT]]*Table_246[[#This Row],[Custo 
Un]]</f>
        <v>0</v>
      </c>
      <c r="I511" s="52"/>
      <c r="J511" s="263">
        <f t="shared" si="26"/>
        <v>0</v>
      </c>
      <c r="K511" s="10">
        <f t="shared" si="29"/>
        <v>0</v>
      </c>
      <c r="L511" s="50">
        <f>Table_246[[#This Row],[Valor da 
venda]]-Table_246[[#This Row],[Valor gasto]]</f>
        <v>0</v>
      </c>
      <c r="M511" s="111">
        <f t="shared" si="28"/>
        <v>0</v>
      </c>
      <c r="N511" s="52"/>
      <c r="O511" t="str">
        <f>IF([1]!Table_246[[#This Row],[Coluna2]]&gt;0.5, "🔥 Excelente", IF([1]!Table_246[[#This Row],[Coluna2]]&gt;0.4, "👍 Bom", "⚠️ Baixo"))</f>
        <v>⚠️ Baixo</v>
      </c>
    </row>
    <row r="512" spans="1:15" ht="15" customHeight="1">
      <c r="A512" s="28" t="str">
        <f>IF(Table_246[[#This Row],[Data]]="","",MONTH(Table_246[[#This Row],[Data]]))</f>
        <v/>
      </c>
      <c r="B512" s="32"/>
      <c r="C512" s="36"/>
      <c r="D512" s="43"/>
      <c r="E512" s="48"/>
      <c r="F512" s="48"/>
      <c r="G512" s="49" t="str">
        <f>IFERROR(VLOOKUP(C512,PROD!$A$2:$E$1204,5,0),"0")</f>
        <v>0</v>
      </c>
      <c r="H512" s="10">
        <f>Table_246[[#This Row],[QT]]*Table_246[[#This Row],[Custo 
Un]]</f>
        <v>0</v>
      </c>
      <c r="I512" s="52"/>
      <c r="J512" s="263">
        <f t="shared" si="26"/>
        <v>0</v>
      </c>
      <c r="K512" s="10">
        <f t="shared" si="29"/>
        <v>0</v>
      </c>
      <c r="L512" s="50">
        <f>Table_246[[#This Row],[Valor da 
venda]]-Table_246[[#This Row],[Valor gasto]]</f>
        <v>0</v>
      </c>
      <c r="M512" s="111">
        <f t="shared" si="28"/>
        <v>0</v>
      </c>
      <c r="N512" s="52"/>
      <c r="O512" t="str">
        <f>IF([1]!Table_246[[#This Row],[Coluna2]]&gt;0.5, "🔥 Excelente", IF([1]!Table_246[[#This Row],[Coluna2]]&gt;0.4, "👍 Bom", "⚠️ Baixo"))</f>
        <v>⚠️ Baixo</v>
      </c>
    </row>
    <row r="513" spans="1:15" ht="15" customHeight="1">
      <c r="A513" s="28" t="str">
        <f>IF(Table_246[[#This Row],[Data]]="","",MONTH(Table_246[[#This Row],[Data]]))</f>
        <v/>
      </c>
      <c r="B513" s="32"/>
      <c r="C513" s="36"/>
      <c r="D513" s="43"/>
      <c r="E513" s="48"/>
      <c r="F513" s="48"/>
      <c r="G513" s="49" t="str">
        <f>IFERROR(VLOOKUP(C513,PROD!$A$2:$E$1204,5,0),"0")</f>
        <v>0</v>
      </c>
      <c r="H513" s="10">
        <f>Table_246[[#This Row],[QT]]*Table_246[[#This Row],[Custo 
Un]]</f>
        <v>0</v>
      </c>
      <c r="I513" s="52"/>
      <c r="J513" s="263">
        <f t="shared" si="26"/>
        <v>0</v>
      </c>
      <c r="K513" s="10">
        <f t="shared" si="29"/>
        <v>0</v>
      </c>
      <c r="L513" s="50">
        <f>Table_246[[#This Row],[Valor da 
venda]]-Table_246[[#This Row],[Valor gasto]]</f>
        <v>0</v>
      </c>
      <c r="M513" s="111">
        <f t="shared" si="28"/>
        <v>0</v>
      </c>
      <c r="N513" s="52"/>
      <c r="O513" t="str">
        <f>IF([1]!Table_246[[#This Row],[Coluna2]]&gt;0.5, "🔥 Excelente", IF([1]!Table_246[[#This Row],[Coluna2]]&gt;0.4, "👍 Bom", "⚠️ Baixo"))</f>
        <v>⚠️ Baixo</v>
      </c>
    </row>
    <row r="514" spans="1:15" ht="15" customHeight="1">
      <c r="A514" s="28" t="str">
        <f>IF(Table_246[[#This Row],[Data]]="","",MONTH(Table_246[[#This Row],[Data]]))</f>
        <v/>
      </c>
      <c r="B514" s="32"/>
      <c r="C514" s="36"/>
      <c r="D514" s="43"/>
      <c r="E514" s="48"/>
      <c r="F514" s="48"/>
      <c r="G514" s="49" t="str">
        <f>IFERROR(VLOOKUP(C514,PROD!$A$2:$E$1204,5,0),"0")</f>
        <v>0</v>
      </c>
      <c r="H514" s="10">
        <f>Table_246[[#This Row],[QT]]*Table_246[[#This Row],[Custo 
Un]]</f>
        <v>0</v>
      </c>
      <c r="I514" s="52"/>
      <c r="J514" s="263">
        <f t="shared" ref="J514:J577" si="30">I514*D514</f>
        <v>0</v>
      </c>
      <c r="K514" s="10">
        <f t="shared" si="29"/>
        <v>0</v>
      </c>
      <c r="L514" s="50">
        <f>Table_246[[#This Row],[Valor da 
venda]]-Table_246[[#This Row],[Valor gasto]]</f>
        <v>0</v>
      </c>
      <c r="M514" s="111">
        <f t="shared" si="28"/>
        <v>0</v>
      </c>
      <c r="N514" s="52"/>
      <c r="O514" t="str">
        <f>IF([1]!Table_246[[#This Row],[Coluna2]]&gt;0.5, "🔥 Excelente", IF([1]!Table_246[[#This Row],[Coluna2]]&gt;0.4, "👍 Bom", "⚠️ Baixo"))</f>
        <v>⚠️ Baixo</v>
      </c>
    </row>
    <row r="515" spans="1:15" ht="15" customHeight="1">
      <c r="A515" s="28" t="str">
        <f>IF(Table_246[[#This Row],[Data]]="","",MONTH(Table_246[[#This Row],[Data]]))</f>
        <v/>
      </c>
      <c r="B515" s="32"/>
      <c r="C515" s="36"/>
      <c r="D515" s="43"/>
      <c r="E515" s="48"/>
      <c r="F515" s="48"/>
      <c r="G515" s="49" t="str">
        <f>IFERROR(VLOOKUP(C515,PROD!$A$2:$E$1204,5,0),"0")</f>
        <v>0</v>
      </c>
      <c r="H515" s="10">
        <f>Table_246[[#This Row],[QT]]*Table_246[[#This Row],[Custo 
Un]]</f>
        <v>0</v>
      </c>
      <c r="I515" s="52"/>
      <c r="J515" s="263">
        <f t="shared" si="30"/>
        <v>0</v>
      </c>
      <c r="K515" s="10">
        <f t="shared" si="29"/>
        <v>0</v>
      </c>
      <c r="L515" s="50">
        <f>Table_246[[#This Row],[Valor da 
venda]]-Table_246[[#This Row],[Valor gasto]]</f>
        <v>0</v>
      </c>
      <c r="M515" s="111">
        <f t="shared" si="28"/>
        <v>0</v>
      </c>
      <c r="N515" s="52"/>
      <c r="O515" t="str">
        <f>IF([1]!Table_246[[#This Row],[Coluna2]]&gt;0.5, "🔥 Excelente", IF([1]!Table_246[[#This Row],[Coluna2]]&gt;0.4, "👍 Bom", "⚠️ Baixo"))</f>
        <v>⚠️ Baixo</v>
      </c>
    </row>
    <row r="516" spans="1:15" ht="15" customHeight="1">
      <c r="A516" s="28" t="str">
        <f>IF(Table_246[[#This Row],[Data]]="","",MONTH(Table_246[[#This Row],[Data]]))</f>
        <v/>
      </c>
      <c r="B516" s="32"/>
      <c r="C516" s="36"/>
      <c r="D516" s="43"/>
      <c r="E516" s="48"/>
      <c r="F516" s="48"/>
      <c r="G516" s="49" t="str">
        <f>IFERROR(VLOOKUP(C516,PROD!$A$2:$E$1204,5,0),"0")</f>
        <v>0</v>
      </c>
      <c r="H516" s="10">
        <f>Table_246[[#This Row],[QT]]*Table_246[[#This Row],[Custo 
Un]]</f>
        <v>0</v>
      </c>
      <c r="I516" s="52"/>
      <c r="J516" s="263">
        <f t="shared" si="30"/>
        <v>0</v>
      </c>
      <c r="K516" s="10">
        <f t="shared" si="29"/>
        <v>0</v>
      </c>
      <c r="L516" s="50">
        <f>Table_246[[#This Row],[Valor da 
venda]]-Table_246[[#This Row],[Valor gasto]]</f>
        <v>0</v>
      </c>
      <c r="M516" s="111">
        <f t="shared" si="28"/>
        <v>0</v>
      </c>
      <c r="N516" s="52"/>
      <c r="O516" t="str">
        <f>IF([1]!Table_246[[#This Row],[Coluna2]]&gt;0.5, "🔥 Excelente", IF([1]!Table_246[[#This Row],[Coluna2]]&gt;0.4, "👍 Bom", "⚠️ Baixo"))</f>
        <v>⚠️ Baixo</v>
      </c>
    </row>
    <row r="517" spans="1:15" ht="15" customHeight="1">
      <c r="A517" s="28" t="str">
        <f>IF(Table_246[[#This Row],[Data]]="","",MONTH(Table_246[[#This Row],[Data]]))</f>
        <v/>
      </c>
      <c r="B517" s="76"/>
      <c r="C517" s="79"/>
      <c r="D517" s="43"/>
      <c r="E517" s="87"/>
      <c r="F517" s="87"/>
      <c r="G517" s="49" t="str">
        <f>IFERROR(VLOOKUP(C517,PROD!$A$2:$E$1204,5,0),"0")</f>
        <v>0</v>
      </c>
      <c r="H517" s="10">
        <f>Table_246[[#This Row],[QT]]*Table_246[[#This Row],[Custo 
Un]]</f>
        <v>0</v>
      </c>
      <c r="I517" s="92"/>
      <c r="J517" s="92">
        <f t="shared" si="30"/>
        <v>0</v>
      </c>
      <c r="K517" s="10">
        <f t="shared" si="29"/>
        <v>0</v>
      </c>
      <c r="L517" s="50">
        <f>Table_246[[#This Row],[Valor da 
venda]]-Table_246[[#This Row],[Valor gasto]]</f>
        <v>0</v>
      </c>
      <c r="M517" s="111">
        <f t="shared" ref="M517:M580" si="31">IFERROR(L517/K517, 0)</f>
        <v>0</v>
      </c>
      <c r="N517" s="92"/>
      <c r="O517" t="str">
        <f>IF([1]!Table_246[[#This Row],[Coluna2]]&gt;0.5, "🔥 Excelente", IF([1]!Table_246[[#This Row],[Coluna2]]&gt;0.4, "👍 Bom", "⚠️ Baixo"))</f>
        <v>⚠️ Baixo</v>
      </c>
    </row>
    <row r="518" spans="1:15" ht="15" customHeight="1">
      <c r="A518" s="28" t="str">
        <f>IF(Table_246[[#This Row],[Data]]="","",MONTH(Table_246[[#This Row],[Data]]))</f>
        <v/>
      </c>
      <c r="B518" s="32"/>
      <c r="C518" s="36"/>
      <c r="D518" s="43"/>
      <c r="E518" s="48"/>
      <c r="F518" s="48"/>
      <c r="G518" s="49" t="str">
        <f>IFERROR(VLOOKUP(C518,PROD!$A$2:$E$1204,5,0),"0")</f>
        <v>0</v>
      </c>
      <c r="H518" s="10">
        <f>Table_246[[#This Row],[QT]]*Table_246[[#This Row],[Custo 
Un]]</f>
        <v>0</v>
      </c>
      <c r="I518" s="52"/>
      <c r="J518" s="263">
        <f t="shared" si="30"/>
        <v>0</v>
      </c>
      <c r="K518" s="10">
        <f t="shared" si="29"/>
        <v>0</v>
      </c>
      <c r="L518" s="50">
        <f>Table_246[[#This Row],[Valor da 
venda]]-Table_246[[#This Row],[Valor gasto]]</f>
        <v>0</v>
      </c>
      <c r="M518" s="111">
        <f t="shared" si="31"/>
        <v>0</v>
      </c>
      <c r="N518" s="52"/>
      <c r="O518" t="str">
        <f>IF([1]!Table_246[[#This Row],[Coluna2]]&gt;0.5, "🔥 Excelente", IF([1]!Table_246[[#This Row],[Coluna2]]&gt;0.4, "👍 Bom", "⚠️ Baixo"))</f>
        <v>⚠️ Baixo</v>
      </c>
    </row>
    <row r="519" spans="1:15" ht="15" customHeight="1">
      <c r="A519" s="28" t="str">
        <f>IF(Table_246[[#This Row],[Data]]="","",MONTH(Table_246[[#This Row],[Data]]))</f>
        <v/>
      </c>
      <c r="B519" s="32"/>
      <c r="C519" s="36"/>
      <c r="D519" s="43"/>
      <c r="E519" s="48"/>
      <c r="F519" s="48"/>
      <c r="G519" s="49" t="str">
        <f>IFERROR(VLOOKUP(C519,PROD!$A$2:$E$1204,5,0),"0")</f>
        <v>0</v>
      </c>
      <c r="H519" s="10">
        <f>Table_246[[#This Row],[QT]]*Table_246[[#This Row],[Custo 
Un]]</f>
        <v>0</v>
      </c>
      <c r="I519" s="52"/>
      <c r="J519" s="263">
        <f t="shared" si="30"/>
        <v>0</v>
      </c>
      <c r="K519" s="10">
        <f t="shared" si="29"/>
        <v>0</v>
      </c>
      <c r="L519" s="50">
        <f>Table_246[[#This Row],[Valor da 
venda]]-Table_246[[#This Row],[Valor gasto]]</f>
        <v>0</v>
      </c>
      <c r="M519" s="111">
        <f t="shared" si="31"/>
        <v>0</v>
      </c>
      <c r="N519" s="52"/>
      <c r="O519" t="str">
        <f>IF([1]!Table_246[[#This Row],[Coluna2]]&gt;0.5, "🔥 Excelente", IF([1]!Table_246[[#This Row],[Coluna2]]&gt;0.4, "👍 Bom", "⚠️ Baixo"))</f>
        <v>⚠️ Baixo</v>
      </c>
    </row>
    <row r="520" spans="1:15" ht="15" customHeight="1">
      <c r="A520" s="28" t="str">
        <f>IF(Table_246[[#This Row],[Data]]="","",MONTH(Table_246[[#This Row],[Data]]))</f>
        <v/>
      </c>
      <c r="B520" s="32"/>
      <c r="C520" s="36"/>
      <c r="D520" s="43"/>
      <c r="E520" s="48"/>
      <c r="F520" s="48"/>
      <c r="G520" s="49" t="str">
        <f>IFERROR(VLOOKUP(C520,PROD!$A$2:$E$1204,5,0),"0")</f>
        <v>0</v>
      </c>
      <c r="H520" s="10">
        <f>Table_246[[#This Row],[QT]]*Table_246[[#This Row],[Custo 
Un]]</f>
        <v>0</v>
      </c>
      <c r="I520" s="52"/>
      <c r="J520" s="263">
        <f t="shared" si="30"/>
        <v>0</v>
      </c>
      <c r="K520" s="10">
        <f t="shared" si="29"/>
        <v>0</v>
      </c>
      <c r="L520" s="50">
        <f>Table_246[[#This Row],[Valor da 
venda]]-Table_246[[#This Row],[Valor gasto]]</f>
        <v>0</v>
      </c>
      <c r="M520" s="111">
        <f t="shared" si="31"/>
        <v>0</v>
      </c>
      <c r="N520" s="52"/>
      <c r="O520" t="str">
        <f>IF([1]!Table_246[[#This Row],[Coluna2]]&gt;0.5, "🔥 Excelente", IF([1]!Table_246[[#This Row],[Coluna2]]&gt;0.4, "👍 Bom", "⚠️ Baixo"))</f>
        <v>⚠️ Baixo</v>
      </c>
    </row>
    <row r="521" spans="1:15" ht="15" customHeight="1">
      <c r="A521" s="28" t="str">
        <f>IF(Table_246[[#This Row],[Data]]="","",MONTH(Table_246[[#This Row],[Data]]))</f>
        <v/>
      </c>
      <c r="B521" s="32"/>
      <c r="C521" s="36"/>
      <c r="D521" s="43"/>
      <c r="E521" s="48"/>
      <c r="F521" s="48"/>
      <c r="G521" s="49" t="str">
        <f>IFERROR(VLOOKUP(C521,PROD!$A$2:$E$1204,5,0),"0")</f>
        <v>0</v>
      </c>
      <c r="H521" s="10">
        <f>Table_246[[#This Row],[QT]]*Table_246[[#This Row],[Custo 
Un]]</f>
        <v>0</v>
      </c>
      <c r="I521" s="52"/>
      <c r="J521" s="263">
        <f t="shared" si="30"/>
        <v>0</v>
      </c>
      <c r="K521" s="10">
        <f t="shared" si="29"/>
        <v>0</v>
      </c>
      <c r="L521" s="50">
        <f>Table_246[[#This Row],[Valor da 
venda]]-Table_246[[#This Row],[Valor gasto]]</f>
        <v>0</v>
      </c>
      <c r="M521" s="111">
        <f t="shared" si="31"/>
        <v>0</v>
      </c>
      <c r="N521" s="52"/>
      <c r="O521" t="str">
        <f>IF([1]!Table_246[[#This Row],[Coluna2]]&gt;0.5, "🔥 Excelente", IF([1]!Table_246[[#This Row],[Coluna2]]&gt;0.4, "👍 Bom", "⚠️ Baixo"))</f>
        <v>⚠️ Baixo</v>
      </c>
    </row>
    <row r="522" spans="1:15" ht="15" customHeight="1">
      <c r="A522" s="28" t="str">
        <f>IF(Table_246[[#This Row],[Data]]="","",MONTH(Table_246[[#This Row],[Data]]))</f>
        <v/>
      </c>
      <c r="B522" s="32"/>
      <c r="C522" s="36"/>
      <c r="D522" s="43"/>
      <c r="E522" s="48"/>
      <c r="F522" s="48"/>
      <c r="G522" s="49" t="str">
        <f>IFERROR(VLOOKUP(C522,PROD!$A$2:$E$1204,5,0),"0")</f>
        <v>0</v>
      </c>
      <c r="H522" s="10">
        <f>Table_246[[#This Row],[QT]]*Table_246[[#This Row],[Custo 
Un]]</f>
        <v>0</v>
      </c>
      <c r="I522" s="52"/>
      <c r="J522" s="263">
        <f t="shared" si="30"/>
        <v>0</v>
      </c>
      <c r="K522" s="10">
        <f t="shared" si="29"/>
        <v>0</v>
      </c>
      <c r="L522" s="50">
        <f>Table_246[[#This Row],[Valor da 
venda]]-Table_246[[#This Row],[Valor gasto]]</f>
        <v>0</v>
      </c>
      <c r="M522" s="111">
        <f t="shared" si="31"/>
        <v>0</v>
      </c>
      <c r="N522" s="52"/>
      <c r="O522" t="str">
        <f>IF([1]!Table_246[[#This Row],[Coluna2]]&gt;0.5, "🔥 Excelente", IF([1]!Table_246[[#This Row],[Coluna2]]&gt;0.4, "👍 Bom", "⚠️ Baixo"))</f>
        <v>⚠️ Baixo</v>
      </c>
    </row>
    <row r="523" spans="1:15" ht="15" customHeight="1">
      <c r="A523" s="28" t="str">
        <f>IF(Table_246[[#This Row],[Data]]="","",MONTH(Table_246[[#This Row],[Data]]))</f>
        <v/>
      </c>
      <c r="B523" s="32"/>
      <c r="C523" s="36"/>
      <c r="D523" s="43"/>
      <c r="E523" s="48"/>
      <c r="F523" s="48"/>
      <c r="G523" s="49" t="str">
        <f>IFERROR(VLOOKUP(C523,PROD!$A$2:$E$1204,5,0),"0")</f>
        <v>0</v>
      </c>
      <c r="H523" s="10">
        <f>Table_246[[#This Row],[QT]]*Table_246[[#This Row],[Custo 
Un]]</f>
        <v>0</v>
      </c>
      <c r="I523" s="52"/>
      <c r="J523" s="263">
        <f t="shared" si="30"/>
        <v>0</v>
      </c>
      <c r="K523" s="10">
        <f t="shared" si="29"/>
        <v>0</v>
      </c>
      <c r="L523" s="50">
        <f>Table_246[[#This Row],[Valor da 
venda]]-Table_246[[#This Row],[Valor gasto]]</f>
        <v>0</v>
      </c>
      <c r="M523" s="111">
        <f t="shared" si="31"/>
        <v>0</v>
      </c>
      <c r="N523" s="52"/>
      <c r="O523" t="str">
        <f>IF([1]!Table_246[[#This Row],[Coluna2]]&gt;0.5, "🔥 Excelente", IF([1]!Table_246[[#This Row],[Coluna2]]&gt;0.4, "👍 Bom", "⚠️ Baixo"))</f>
        <v>⚠️ Baixo</v>
      </c>
    </row>
    <row r="524" spans="1:15" ht="15" customHeight="1">
      <c r="A524" s="28" t="str">
        <f>IF(Table_246[[#This Row],[Data]]="","",MONTH(Table_246[[#This Row],[Data]]))</f>
        <v/>
      </c>
      <c r="B524" s="76"/>
      <c r="C524" s="79"/>
      <c r="D524" s="43"/>
      <c r="E524" s="87"/>
      <c r="F524" s="87"/>
      <c r="G524" s="49" t="str">
        <f>IFERROR(VLOOKUP(C524,PROD!$A$2:$E$1204,5,0),"0")</f>
        <v>0</v>
      </c>
      <c r="H524" s="10">
        <f>Table_246[[#This Row],[QT]]*Table_246[[#This Row],[Custo 
Un]]</f>
        <v>0</v>
      </c>
      <c r="I524" s="92"/>
      <c r="J524" s="92">
        <f t="shared" si="30"/>
        <v>0</v>
      </c>
      <c r="K524" s="10">
        <f t="shared" si="29"/>
        <v>0</v>
      </c>
      <c r="L524" s="50">
        <f>Table_246[[#This Row],[Valor da 
venda]]-Table_246[[#This Row],[Valor gasto]]</f>
        <v>0</v>
      </c>
      <c r="M524" s="111">
        <f t="shared" si="31"/>
        <v>0</v>
      </c>
      <c r="N524" s="92"/>
      <c r="O524" t="str">
        <f>IF([1]!Table_246[[#This Row],[Coluna2]]&gt;0.5, "🔥 Excelente", IF([1]!Table_246[[#This Row],[Coluna2]]&gt;0.4, "👍 Bom", "⚠️ Baixo"))</f>
        <v>⚠️ Baixo</v>
      </c>
    </row>
    <row r="525" spans="1:15" ht="15" customHeight="1">
      <c r="A525" s="28" t="str">
        <f>IF(Table_246[[#This Row],[Data]]="","",MONTH(Table_246[[#This Row],[Data]]))</f>
        <v/>
      </c>
      <c r="B525" s="32"/>
      <c r="C525" s="36"/>
      <c r="D525" s="43"/>
      <c r="E525" s="48"/>
      <c r="F525" s="48"/>
      <c r="G525" s="49" t="str">
        <f>IFERROR(VLOOKUP(C525,PROD!$A$2:$E$1204,5,0),"0")</f>
        <v>0</v>
      </c>
      <c r="H525" s="10">
        <f>Table_246[[#This Row],[QT]]*Table_246[[#This Row],[Custo 
Un]]</f>
        <v>0</v>
      </c>
      <c r="I525" s="52"/>
      <c r="J525" s="263">
        <f t="shared" si="30"/>
        <v>0</v>
      </c>
      <c r="K525" s="10">
        <f t="shared" si="29"/>
        <v>0</v>
      </c>
      <c r="L525" s="50">
        <f>Table_246[[#This Row],[Valor da 
venda]]-Table_246[[#This Row],[Valor gasto]]</f>
        <v>0</v>
      </c>
      <c r="M525" s="111">
        <f t="shared" si="31"/>
        <v>0</v>
      </c>
      <c r="N525" s="52"/>
      <c r="O525" t="str">
        <f>IF([1]!Table_246[[#This Row],[Coluna2]]&gt;0.5, "🔥 Excelente", IF([1]!Table_246[[#This Row],[Coluna2]]&gt;0.4, "👍 Bom", "⚠️ Baixo"))</f>
        <v>⚠️ Baixo</v>
      </c>
    </row>
    <row r="526" spans="1:15" ht="15" customHeight="1">
      <c r="A526" s="28" t="str">
        <f>IF(Table_246[[#This Row],[Data]]="","",MONTH(Table_246[[#This Row],[Data]]))</f>
        <v/>
      </c>
      <c r="B526" s="32"/>
      <c r="C526" s="36"/>
      <c r="D526" s="43"/>
      <c r="E526" s="48"/>
      <c r="F526" s="48"/>
      <c r="G526" s="49" t="str">
        <f>IFERROR(VLOOKUP(C526,PROD!$A$2:$E$1204,5,0),"0")</f>
        <v>0</v>
      </c>
      <c r="H526" s="10">
        <f>Table_246[[#This Row],[QT]]*Table_246[[#This Row],[Custo 
Un]]</f>
        <v>0</v>
      </c>
      <c r="I526" s="52"/>
      <c r="J526" s="263">
        <f t="shared" si="30"/>
        <v>0</v>
      </c>
      <c r="K526" s="10">
        <f t="shared" si="29"/>
        <v>0</v>
      </c>
      <c r="L526" s="50">
        <f>Table_246[[#This Row],[Valor da 
venda]]-Table_246[[#This Row],[Valor gasto]]</f>
        <v>0</v>
      </c>
      <c r="M526" s="111">
        <f t="shared" si="31"/>
        <v>0</v>
      </c>
      <c r="N526" s="52"/>
      <c r="O526" t="str">
        <f>IF([1]!Table_246[[#This Row],[Coluna2]]&gt;0.5, "🔥 Excelente", IF([1]!Table_246[[#This Row],[Coluna2]]&gt;0.4, "👍 Bom", "⚠️ Baixo"))</f>
        <v>⚠️ Baixo</v>
      </c>
    </row>
    <row r="527" spans="1:15" ht="15" customHeight="1">
      <c r="A527" s="28" t="str">
        <f>IF(Table_246[[#This Row],[Data]]="","",MONTH(Table_246[[#This Row],[Data]]))</f>
        <v/>
      </c>
      <c r="B527" s="32"/>
      <c r="C527" s="36"/>
      <c r="D527" s="43"/>
      <c r="E527" s="48"/>
      <c r="F527" s="48"/>
      <c r="G527" s="49" t="str">
        <f>IFERROR(VLOOKUP(C527,PROD!$A$2:$E$1204,5,0),"0")</f>
        <v>0</v>
      </c>
      <c r="H527" s="10">
        <f>Table_246[[#This Row],[QT]]*Table_246[[#This Row],[Custo 
Un]]</f>
        <v>0</v>
      </c>
      <c r="I527" s="52"/>
      <c r="J527" s="263">
        <f t="shared" si="30"/>
        <v>0</v>
      </c>
      <c r="K527" s="10">
        <f t="shared" si="29"/>
        <v>0</v>
      </c>
      <c r="L527" s="50">
        <f>Table_246[[#This Row],[Valor da 
venda]]-Table_246[[#This Row],[Valor gasto]]</f>
        <v>0</v>
      </c>
      <c r="M527" s="111">
        <f t="shared" si="31"/>
        <v>0</v>
      </c>
      <c r="N527" s="52"/>
      <c r="O527" t="str">
        <f>IF([1]!Table_246[[#This Row],[Coluna2]]&gt;0.5, "🔥 Excelente", IF([1]!Table_246[[#This Row],[Coluna2]]&gt;0.4, "👍 Bom", "⚠️ Baixo"))</f>
        <v>⚠️ Baixo</v>
      </c>
    </row>
    <row r="528" spans="1:15" ht="15" customHeight="1">
      <c r="A528" s="28" t="str">
        <f>IF(Table_246[[#This Row],[Data]]="","",MONTH(Table_246[[#This Row],[Data]]))</f>
        <v/>
      </c>
      <c r="B528" s="76"/>
      <c r="C528" s="79"/>
      <c r="D528" s="43"/>
      <c r="E528" s="87"/>
      <c r="F528" s="87"/>
      <c r="G528" s="49" t="str">
        <f>IFERROR(VLOOKUP(C528,PROD!$A$2:$E$1204,5,0),"0")</f>
        <v>0</v>
      </c>
      <c r="H528" s="10">
        <f>Table_246[[#This Row],[QT]]*Table_246[[#This Row],[Custo 
Un]]</f>
        <v>0</v>
      </c>
      <c r="I528" s="92"/>
      <c r="J528" s="92">
        <f t="shared" si="30"/>
        <v>0</v>
      </c>
      <c r="K528" s="10">
        <f t="shared" si="29"/>
        <v>0</v>
      </c>
      <c r="L528" s="50">
        <f>Table_246[[#This Row],[Valor da 
venda]]-Table_246[[#This Row],[Valor gasto]]</f>
        <v>0</v>
      </c>
      <c r="M528" s="111">
        <f t="shared" si="31"/>
        <v>0</v>
      </c>
      <c r="N528" s="92"/>
      <c r="O528" t="str">
        <f>IF([1]!Table_246[[#This Row],[Coluna2]]&gt;0.5, "🔥 Excelente", IF([1]!Table_246[[#This Row],[Coluna2]]&gt;0.4, "👍 Bom", "⚠️ Baixo"))</f>
        <v>⚠️ Baixo</v>
      </c>
    </row>
    <row r="529" spans="1:15" ht="15" customHeight="1">
      <c r="A529" s="28" t="str">
        <f>IF(Table_246[[#This Row],[Data]]="","",MONTH(Table_246[[#This Row],[Data]]))</f>
        <v/>
      </c>
      <c r="B529" s="32"/>
      <c r="C529" s="36"/>
      <c r="D529" s="43"/>
      <c r="E529" s="48"/>
      <c r="F529" s="48"/>
      <c r="G529" s="49" t="str">
        <f>IFERROR(VLOOKUP(C529,PROD!$A$2:$E$1204,5,0),"0")</f>
        <v>0</v>
      </c>
      <c r="H529" s="10">
        <f>Table_246[[#This Row],[QT]]*Table_246[[#This Row],[Custo 
Un]]</f>
        <v>0</v>
      </c>
      <c r="I529" s="52"/>
      <c r="J529" s="263">
        <f t="shared" si="30"/>
        <v>0</v>
      </c>
      <c r="K529" s="10">
        <f t="shared" si="29"/>
        <v>0</v>
      </c>
      <c r="L529" s="50">
        <f>Table_246[[#This Row],[Valor da 
venda]]-Table_246[[#This Row],[Valor gasto]]</f>
        <v>0</v>
      </c>
      <c r="M529" s="111">
        <f t="shared" si="31"/>
        <v>0</v>
      </c>
      <c r="N529" s="52"/>
      <c r="O529" t="str">
        <f>IF([1]!Table_246[[#This Row],[Coluna2]]&gt;0.5, "🔥 Excelente", IF([1]!Table_246[[#This Row],[Coluna2]]&gt;0.4, "👍 Bom", "⚠️ Baixo"))</f>
        <v>⚠️ Baixo</v>
      </c>
    </row>
    <row r="530" spans="1:15" ht="15" customHeight="1">
      <c r="A530" s="28" t="str">
        <f>IF(Table_246[[#This Row],[Data]]="","",MONTH(Table_246[[#This Row],[Data]]))</f>
        <v/>
      </c>
      <c r="B530" s="32"/>
      <c r="C530" s="36"/>
      <c r="D530" s="43"/>
      <c r="E530" s="48"/>
      <c r="F530" s="48"/>
      <c r="G530" s="49" t="str">
        <f>IFERROR(VLOOKUP(C530,PROD!$A$2:$E$1204,5,0),"0")</f>
        <v>0</v>
      </c>
      <c r="H530" s="10">
        <f>Table_246[[#This Row],[QT]]*Table_246[[#This Row],[Custo 
Un]]</f>
        <v>0</v>
      </c>
      <c r="I530" s="52"/>
      <c r="J530" s="263">
        <f t="shared" si="30"/>
        <v>0</v>
      </c>
      <c r="K530" s="10">
        <f t="shared" si="29"/>
        <v>0</v>
      </c>
      <c r="L530" s="50">
        <f>Table_246[[#This Row],[Valor da 
venda]]-Table_246[[#This Row],[Valor gasto]]</f>
        <v>0</v>
      </c>
      <c r="M530" s="111">
        <f t="shared" si="31"/>
        <v>0</v>
      </c>
      <c r="N530" s="52"/>
      <c r="O530" t="str">
        <f>IF([1]!Table_246[[#This Row],[Coluna2]]&gt;0.5, "🔥 Excelente", IF([1]!Table_246[[#This Row],[Coluna2]]&gt;0.4, "👍 Bom", "⚠️ Baixo"))</f>
        <v>⚠️ Baixo</v>
      </c>
    </row>
    <row r="531" spans="1:15" ht="15" customHeight="1">
      <c r="A531" s="28" t="str">
        <f>IF(Table_246[[#This Row],[Data]]="","",MONTH(Table_246[[#This Row],[Data]]))</f>
        <v/>
      </c>
      <c r="B531" s="32"/>
      <c r="C531" s="36"/>
      <c r="D531" s="43"/>
      <c r="E531" s="48"/>
      <c r="F531" s="48"/>
      <c r="G531" s="49" t="str">
        <f>IFERROR(VLOOKUP(C531,PROD!$A$2:$E$1204,5,0),"0")</f>
        <v>0</v>
      </c>
      <c r="H531" s="10">
        <f>Table_246[[#This Row],[QT]]*Table_246[[#This Row],[Custo 
Un]]</f>
        <v>0</v>
      </c>
      <c r="I531" s="52"/>
      <c r="J531" s="263">
        <f t="shared" si="30"/>
        <v>0</v>
      </c>
      <c r="K531" s="10">
        <f t="shared" si="29"/>
        <v>0</v>
      </c>
      <c r="L531" s="50">
        <f>Table_246[[#This Row],[Valor da 
venda]]-Table_246[[#This Row],[Valor gasto]]</f>
        <v>0</v>
      </c>
      <c r="M531" s="111">
        <f t="shared" si="31"/>
        <v>0</v>
      </c>
      <c r="N531" s="52"/>
      <c r="O531" t="str">
        <f>IF([1]!Table_246[[#This Row],[Coluna2]]&gt;0.5, "🔥 Excelente", IF([1]!Table_246[[#This Row],[Coluna2]]&gt;0.4, "👍 Bom", "⚠️ Baixo"))</f>
        <v>⚠️ Baixo</v>
      </c>
    </row>
    <row r="532" spans="1:15" ht="15" customHeight="1">
      <c r="A532" s="28" t="str">
        <f>IF(Table_246[[#This Row],[Data]]="","",MONTH(Table_246[[#This Row],[Data]]))</f>
        <v/>
      </c>
      <c r="B532" s="32"/>
      <c r="C532" s="36"/>
      <c r="D532" s="43"/>
      <c r="E532" s="48"/>
      <c r="F532" s="48"/>
      <c r="G532" s="49" t="str">
        <f>IFERROR(VLOOKUP(C532,PROD!$A$2:$E$1204,5,0),"0")</f>
        <v>0</v>
      </c>
      <c r="H532" s="10">
        <f>Table_246[[#This Row],[QT]]*Table_246[[#This Row],[Custo 
Un]]</f>
        <v>0</v>
      </c>
      <c r="I532" s="52"/>
      <c r="J532" s="263">
        <f t="shared" si="30"/>
        <v>0</v>
      </c>
      <c r="K532" s="10">
        <f t="shared" si="29"/>
        <v>0</v>
      </c>
      <c r="L532" s="50">
        <f>Table_246[[#This Row],[Valor da 
venda]]-Table_246[[#This Row],[Valor gasto]]</f>
        <v>0</v>
      </c>
      <c r="M532" s="111">
        <f t="shared" si="31"/>
        <v>0</v>
      </c>
      <c r="N532" s="52"/>
      <c r="O532" t="str">
        <f>IF([1]!Table_246[[#This Row],[Coluna2]]&gt;0.5, "🔥 Excelente", IF([1]!Table_246[[#This Row],[Coluna2]]&gt;0.4, "👍 Bom", "⚠️ Baixo"))</f>
        <v>⚠️ Baixo</v>
      </c>
    </row>
    <row r="533" spans="1:15" ht="15" customHeight="1">
      <c r="A533" s="28" t="str">
        <f>IF(Table_246[[#This Row],[Data]]="","",MONTH(Table_246[[#This Row],[Data]]))</f>
        <v/>
      </c>
      <c r="B533" s="32"/>
      <c r="C533" s="36"/>
      <c r="D533" s="43"/>
      <c r="E533" s="48"/>
      <c r="F533" s="48"/>
      <c r="G533" s="49" t="str">
        <f>IFERROR(VLOOKUP(C533,PROD!$A$2:$E$1204,5,0),"0")</f>
        <v>0</v>
      </c>
      <c r="H533" s="10">
        <f>Table_246[[#This Row],[QT]]*Table_246[[#This Row],[Custo 
Un]]</f>
        <v>0</v>
      </c>
      <c r="I533" s="52"/>
      <c r="J533" s="263">
        <f t="shared" si="30"/>
        <v>0</v>
      </c>
      <c r="K533" s="10">
        <f t="shared" si="29"/>
        <v>0</v>
      </c>
      <c r="L533" s="50">
        <f>Table_246[[#This Row],[Valor da 
venda]]-Table_246[[#This Row],[Valor gasto]]</f>
        <v>0</v>
      </c>
      <c r="M533" s="111">
        <f t="shared" si="31"/>
        <v>0</v>
      </c>
      <c r="N533" s="52"/>
      <c r="O533" t="str">
        <f>IF([1]!Table_246[[#This Row],[Coluna2]]&gt;0.5, "🔥 Excelente", IF([1]!Table_246[[#This Row],[Coluna2]]&gt;0.4, "👍 Bom", "⚠️ Baixo"))</f>
        <v>⚠️ Baixo</v>
      </c>
    </row>
    <row r="534" spans="1:15" ht="15" customHeight="1">
      <c r="A534" s="28" t="str">
        <f>IF(Table_246[[#This Row],[Data]]="","",MONTH(Table_246[[#This Row],[Data]]))</f>
        <v/>
      </c>
      <c r="B534" s="32"/>
      <c r="C534" s="36"/>
      <c r="D534" s="43"/>
      <c r="E534" s="48"/>
      <c r="F534" s="48"/>
      <c r="G534" s="49" t="str">
        <f>IFERROR(VLOOKUP(C534,PROD!$A$2:$E$1204,5,0),"0")</f>
        <v>0</v>
      </c>
      <c r="H534" s="10">
        <f>Table_246[[#This Row],[QT]]*Table_246[[#This Row],[Custo 
Un]]</f>
        <v>0</v>
      </c>
      <c r="I534" s="52"/>
      <c r="J534" s="263">
        <f t="shared" si="30"/>
        <v>0</v>
      </c>
      <c r="K534" s="10">
        <f t="shared" si="29"/>
        <v>0</v>
      </c>
      <c r="L534" s="50">
        <f>Table_246[[#This Row],[Valor da 
venda]]-Table_246[[#This Row],[Valor gasto]]</f>
        <v>0</v>
      </c>
      <c r="M534" s="111">
        <f t="shared" si="31"/>
        <v>0</v>
      </c>
      <c r="N534" s="52"/>
      <c r="O534" t="str">
        <f>IF([1]!Table_246[[#This Row],[Coluna2]]&gt;0.5, "🔥 Excelente", IF([1]!Table_246[[#This Row],[Coluna2]]&gt;0.4, "👍 Bom", "⚠️ Baixo"))</f>
        <v>⚠️ Baixo</v>
      </c>
    </row>
    <row r="535" spans="1:15" ht="15" customHeight="1">
      <c r="A535" s="28" t="str">
        <f>IF(Table_246[[#This Row],[Data]]="","",MONTH(Table_246[[#This Row],[Data]]))</f>
        <v/>
      </c>
      <c r="B535" s="76"/>
      <c r="C535" s="79"/>
      <c r="D535" s="43"/>
      <c r="E535" s="87"/>
      <c r="F535" s="87"/>
      <c r="G535" s="49" t="str">
        <f>IFERROR(VLOOKUP(C535,PROD!$A$2:$E$1204,5,0),"0")</f>
        <v>0</v>
      </c>
      <c r="H535" s="10">
        <f>Table_246[[#This Row],[QT]]*Table_246[[#This Row],[Custo 
Un]]</f>
        <v>0</v>
      </c>
      <c r="I535" s="92"/>
      <c r="J535" s="92">
        <f t="shared" si="30"/>
        <v>0</v>
      </c>
      <c r="K535" s="10">
        <f t="shared" si="29"/>
        <v>0</v>
      </c>
      <c r="L535" s="50">
        <f>Table_246[[#This Row],[Valor da 
venda]]-Table_246[[#This Row],[Valor gasto]]</f>
        <v>0</v>
      </c>
      <c r="M535" s="111">
        <f t="shared" si="31"/>
        <v>0</v>
      </c>
      <c r="N535" s="92"/>
      <c r="O535" t="str">
        <f>IF([1]!Table_246[[#This Row],[Coluna2]]&gt;0.5, "🔥 Excelente", IF([1]!Table_246[[#This Row],[Coluna2]]&gt;0.4, "👍 Bom", "⚠️ Baixo"))</f>
        <v>⚠️ Baixo</v>
      </c>
    </row>
    <row r="536" spans="1:15" ht="15" customHeight="1">
      <c r="A536" s="28" t="str">
        <f>IF(Table_246[[#This Row],[Data]]="","",MONTH(Table_246[[#This Row],[Data]]))</f>
        <v/>
      </c>
      <c r="B536" s="32"/>
      <c r="C536" s="36"/>
      <c r="D536" s="43"/>
      <c r="E536" s="48"/>
      <c r="F536" s="48"/>
      <c r="G536" s="49" t="str">
        <f>IFERROR(VLOOKUP(C536,PROD!$A$2:$E$1204,5,0),"0")</f>
        <v>0</v>
      </c>
      <c r="H536" s="10">
        <f>Table_246[[#This Row],[QT]]*Table_246[[#This Row],[Custo 
Un]]</f>
        <v>0</v>
      </c>
      <c r="I536" s="52"/>
      <c r="J536" s="263">
        <f t="shared" si="30"/>
        <v>0</v>
      </c>
      <c r="K536" s="10">
        <f t="shared" si="29"/>
        <v>0</v>
      </c>
      <c r="L536" s="50">
        <f>Table_246[[#This Row],[Valor da 
venda]]-Table_246[[#This Row],[Valor gasto]]</f>
        <v>0</v>
      </c>
      <c r="M536" s="111">
        <f t="shared" si="31"/>
        <v>0</v>
      </c>
      <c r="N536" s="52"/>
      <c r="O536" t="str">
        <f>IF([1]!Table_246[[#This Row],[Coluna2]]&gt;0.5, "🔥 Excelente", IF([1]!Table_246[[#This Row],[Coluna2]]&gt;0.4, "👍 Bom", "⚠️ Baixo"))</f>
        <v>⚠️ Baixo</v>
      </c>
    </row>
    <row r="537" spans="1:15" ht="15" customHeight="1">
      <c r="A537" s="28" t="str">
        <f>IF(Table_246[[#This Row],[Data]]="","",MONTH(Table_246[[#This Row],[Data]]))</f>
        <v/>
      </c>
      <c r="B537" s="32"/>
      <c r="C537" s="36"/>
      <c r="D537" s="43"/>
      <c r="E537" s="48"/>
      <c r="F537" s="48"/>
      <c r="G537" s="49" t="str">
        <f>IFERROR(VLOOKUP(C537,PROD!$A$2:$E$1204,5,0),"0")</f>
        <v>0</v>
      </c>
      <c r="H537" s="10">
        <f>Table_246[[#This Row],[QT]]*Table_246[[#This Row],[Custo 
Un]]</f>
        <v>0</v>
      </c>
      <c r="I537" s="52"/>
      <c r="J537" s="263">
        <f t="shared" si="30"/>
        <v>0</v>
      </c>
      <c r="K537" s="10">
        <f t="shared" si="29"/>
        <v>0</v>
      </c>
      <c r="L537" s="50">
        <f>Table_246[[#This Row],[Valor da 
venda]]-Table_246[[#This Row],[Valor gasto]]</f>
        <v>0</v>
      </c>
      <c r="M537" s="111">
        <f t="shared" si="31"/>
        <v>0</v>
      </c>
      <c r="N537" s="52"/>
      <c r="O537" t="str">
        <f>IF([1]!Table_246[[#This Row],[Coluna2]]&gt;0.5, "🔥 Excelente", IF([1]!Table_246[[#This Row],[Coluna2]]&gt;0.4, "👍 Bom", "⚠️ Baixo"))</f>
        <v>⚠️ Baixo</v>
      </c>
    </row>
    <row r="538" spans="1:15" ht="15" customHeight="1">
      <c r="A538" s="28" t="str">
        <f>IF(Table_246[[#This Row],[Data]]="","",MONTH(Table_246[[#This Row],[Data]]))</f>
        <v/>
      </c>
      <c r="B538" s="32"/>
      <c r="C538" s="36"/>
      <c r="D538" s="43"/>
      <c r="E538" s="48"/>
      <c r="F538" s="48"/>
      <c r="G538" s="49" t="str">
        <f>IFERROR(VLOOKUP(C538,PROD!$A$2:$E$1204,5,0),"0")</f>
        <v>0</v>
      </c>
      <c r="H538" s="10">
        <f>Table_246[[#This Row],[QT]]*Table_246[[#This Row],[Custo 
Un]]</f>
        <v>0</v>
      </c>
      <c r="I538" s="52"/>
      <c r="J538" s="263">
        <f t="shared" si="30"/>
        <v>0</v>
      </c>
      <c r="K538" s="10">
        <f t="shared" si="29"/>
        <v>0</v>
      </c>
      <c r="L538" s="50">
        <f>Table_246[[#This Row],[Valor da 
venda]]-Table_246[[#This Row],[Valor gasto]]</f>
        <v>0</v>
      </c>
      <c r="M538" s="111">
        <f t="shared" si="31"/>
        <v>0</v>
      </c>
      <c r="N538" s="52"/>
      <c r="O538" t="str">
        <f>IF([1]!Table_246[[#This Row],[Coluna2]]&gt;0.5, "🔥 Excelente", IF([1]!Table_246[[#This Row],[Coluna2]]&gt;0.4, "👍 Bom", "⚠️ Baixo"))</f>
        <v>⚠️ Baixo</v>
      </c>
    </row>
    <row r="539" spans="1:15" ht="15" customHeight="1">
      <c r="A539" s="28" t="str">
        <f>IF(Table_246[[#This Row],[Data]]="","",MONTH(Table_246[[#This Row],[Data]]))</f>
        <v/>
      </c>
      <c r="B539" s="32"/>
      <c r="C539" s="36"/>
      <c r="D539" s="43"/>
      <c r="E539" s="48"/>
      <c r="F539" s="48"/>
      <c r="G539" s="49" t="str">
        <f>IFERROR(VLOOKUP(C539,PROD!$A$2:$E$1204,5,0),"0")</f>
        <v>0</v>
      </c>
      <c r="H539" s="10">
        <f>Table_246[[#This Row],[QT]]*Table_246[[#This Row],[Custo 
Un]]</f>
        <v>0</v>
      </c>
      <c r="I539" s="52"/>
      <c r="J539" s="263">
        <f t="shared" si="30"/>
        <v>0</v>
      </c>
      <c r="K539" s="10">
        <f t="shared" si="29"/>
        <v>0</v>
      </c>
      <c r="L539" s="50">
        <f>Table_246[[#This Row],[Valor da 
venda]]-Table_246[[#This Row],[Valor gasto]]</f>
        <v>0</v>
      </c>
      <c r="M539" s="111">
        <f t="shared" si="31"/>
        <v>0</v>
      </c>
      <c r="N539" s="52"/>
      <c r="O539" t="str">
        <f>IF([1]!Table_246[[#This Row],[Coluna2]]&gt;0.5, "🔥 Excelente", IF([1]!Table_246[[#This Row],[Coluna2]]&gt;0.4, "👍 Bom", "⚠️ Baixo"))</f>
        <v>⚠️ Baixo</v>
      </c>
    </row>
    <row r="540" spans="1:15" ht="15" customHeight="1">
      <c r="A540" s="28" t="str">
        <f>IF(Table_246[[#This Row],[Data]]="","",MONTH(Table_246[[#This Row],[Data]]))</f>
        <v/>
      </c>
      <c r="B540" s="32"/>
      <c r="C540" s="36"/>
      <c r="D540" s="43"/>
      <c r="E540" s="48"/>
      <c r="F540" s="48"/>
      <c r="G540" s="49" t="str">
        <f>IFERROR(VLOOKUP(C540,PROD!$A$2:$E$1204,5,0),"0")</f>
        <v>0</v>
      </c>
      <c r="H540" s="10">
        <f>Table_246[[#This Row],[QT]]*Table_246[[#This Row],[Custo 
Un]]</f>
        <v>0</v>
      </c>
      <c r="I540" s="52"/>
      <c r="J540" s="263">
        <f t="shared" si="30"/>
        <v>0</v>
      </c>
      <c r="K540" s="10">
        <f t="shared" si="29"/>
        <v>0</v>
      </c>
      <c r="L540" s="50">
        <f>Table_246[[#This Row],[Valor da 
venda]]-Table_246[[#This Row],[Valor gasto]]</f>
        <v>0</v>
      </c>
      <c r="M540" s="111">
        <f t="shared" si="31"/>
        <v>0</v>
      </c>
      <c r="N540" s="52"/>
      <c r="O540" t="str">
        <f>IF([1]!Table_246[[#This Row],[Coluna2]]&gt;0.5, "🔥 Excelente", IF([1]!Table_246[[#This Row],[Coluna2]]&gt;0.4, "👍 Bom", "⚠️ Baixo"))</f>
        <v>⚠️ Baixo</v>
      </c>
    </row>
    <row r="541" spans="1:15" ht="15" customHeight="1">
      <c r="A541" s="28" t="str">
        <f>IF(Table_246[[#This Row],[Data]]="","",MONTH(Table_246[[#This Row],[Data]]))</f>
        <v/>
      </c>
      <c r="B541" s="32"/>
      <c r="C541" s="36"/>
      <c r="D541" s="43"/>
      <c r="E541" s="48"/>
      <c r="F541" s="48"/>
      <c r="G541" s="49" t="str">
        <f>IFERROR(VLOOKUP(C541,PROD!$A$2:$E$1204,5,0),"0")</f>
        <v>0</v>
      </c>
      <c r="H541" s="10">
        <f>Table_246[[#This Row],[QT]]*Table_246[[#This Row],[Custo 
Un]]</f>
        <v>0</v>
      </c>
      <c r="I541" s="52"/>
      <c r="J541" s="263">
        <f t="shared" si="30"/>
        <v>0</v>
      </c>
      <c r="K541" s="10">
        <f t="shared" si="29"/>
        <v>0</v>
      </c>
      <c r="L541" s="50">
        <f>Table_246[[#This Row],[Valor da 
venda]]-Table_246[[#This Row],[Valor gasto]]</f>
        <v>0</v>
      </c>
      <c r="M541" s="111">
        <f t="shared" si="31"/>
        <v>0</v>
      </c>
      <c r="N541" s="52"/>
      <c r="O541" t="str">
        <f>IF([1]!Table_246[[#This Row],[Coluna2]]&gt;0.5, "🔥 Excelente", IF([1]!Table_246[[#This Row],[Coluna2]]&gt;0.4, "👍 Bom", "⚠️ Baixo"))</f>
        <v>⚠️ Baixo</v>
      </c>
    </row>
    <row r="542" spans="1:15" ht="15" customHeight="1">
      <c r="A542" s="28" t="str">
        <f>IF(Table_246[[#This Row],[Data]]="","",MONTH(Table_246[[#This Row],[Data]]))</f>
        <v/>
      </c>
      <c r="B542" s="76"/>
      <c r="C542" s="79"/>
      <c r="D542" s="43"/>
      <c r="E542" s="87"/>
      <c r="F542" s="87"/>
      <c r="G542" s="49" t="str">
        <f>IFERROR(VLOOKUP(C542,PROD!$A$2:$E$1204,5,0),"0")</f>
        <v>0</v>
      </c>
      <c r="H542" s="10">
        <f>Table_246[[#This Row],[QT]]*Table_246[[#This Row],[Custo 
Un]]</f>
        <v>0</v>
      </c>
      <c r="I542" s="92"/>
      <c r="J542" s="92">
        <f t="shared" si="30"/>
        <v>0</v>
      </c>
      <c r="K542" s="10">
        <f t="shared" si="29"/>
        <v>0</v>
      </c>
      <c r="L542" s="50">
        <f>Table_246[[#This Row],[Valor da 
venda]]-Table_246[[#This Row],[Valor gasto]]</f>
        <v>0</v>
      </c>
      <c r="M542" s="111">
        <f t="shared" si="31"/>
        <v>0</v>
      </c>
      <c r="N542" s="92"/>
      <c r="O542" t="str">
        <f>IF([1]!Table_246[[#This Row],[Coluna2]]&gt;0.5, "🔥 Excelente", IF([1]!Table_246[[#This Row],[Coluna2]]&gt;0.4, "👍 Bom", "⚠️ Baixo"))</f>
        <v>⚠️ Baixo</v>
      </c>
    </row>
    <row r="543" spans="1:15" ht="15" customHeight="1">
      <c r="A543" s="28" t="str">
        <f>IF(Table_246[[#This Row],[Data]]="","",MONTH(Table_246[[#This Row],[Data]]))</f>
        <v/>
      </c>
      <c r="B543" s="32"/>
      <c r="C543" s="36"/>
      <c r="D543" s="43"/>
      <c r="E543" s="48"/>
      <c r="F543" s="48"/>
      <c r="G543" s="49" t="str">
        <f>IFERROR(VLOOKUP(C543,PROD!$A$2:$E$1204,5,0),"0")</f>
        <v>0</v>
      </c>
      <c r="H543" s="10">
        <f>Table_246[[#This Row],[QT]]*Table_246[[#This Row],[Custo 
Un]]</f>
        <v>0</v>
      </c>
      <c r="I543" s="52"/>
      <c r="J543" s="263">
        <f t="shared" si="30"/>
        <v>0</v>
      </c>
      <c r="K543" s="10">
        <f t="shared" si="29"/>
        <v>0</v>
      </c>
      <c r="L543" s="50">
        <f>Table_246[[#This Row],[Valor da 
venda]]-Table_246[[#This Row],[Valor gasto]]</f>
        <v>0</v>
      </c>
      <c r="M543" s="111">
        <f t="shared" si="31"/>
        <v>0</v>
      </c>
      <c r="N543" s="52"/>
      <c r="O543" t="str">
        <f>IF([1]!Table_246[[#This Row],[Coluna2]]&gt;0.5, "🔥 Excelente", IF([1]!Table_246[[#This Row],[Coluna2]]&gt;0.4, "👍 Bom", "⚠️ Baixo"))</f>
        <v>⚠️ Baixo</v>
      </c>
    </row>
    <row r="544" spans="1:15" ht="15" customHeight="1">
      <c r="A544" s="28" t="str">
        <f>IF(Table_246[[#This Row],[Data]]="","",MONTH(Table_246[[#This Row],[Data]]))</f>
        <v/>
      </c>
      <c r="B544" s="32"/>
      <c r="C544" s="36"/>
      <c r="D544" s="43"/>
      <c r="E544" s="48"/>
      <c r="F544" s="48"/>
      <c r="G544" s="49" t="str">
        <f>IFERROR(VLOOKUP(C544,PROD!$A$2:$E$1204,5,0),"0")</f>
        <v>0</v>
      </c>
      <c r="H544" s="10">
        <f>Table_246[[#This Row],[QT]]*Table_246[[#This Row],[Custo 
Un]]</f>
        <v>0</v>
      </c>
      <c r="I544" s="52"/>
      <c r="J544" s="263">
        <f t="shared" si="30"/>
        <v>0</v>
      </c>
      <c r="K544" s="10">
        <f t="shared" si="29"/>
        <v>0</v>
      </c>
      <c r="L544" s="50">
        <f>Table_246[[#This Row],[Valor da 
venda]]-Table_246[[#This Row],[Valor gasto]]</f>
        <v>0</v>
      </c>
      <c r="M544" s="111">
        <f t="shared" si="31"/>
        <v>0</v>
      </c>
      <c r="N544" s="52"/>
      <c r="O544" t="str">
        <f>IF([1]!Table_246[[#This Row],[Coluna2]]&gt;0.5, "🔥 Excelente", IF([1]!Table_246[[#This Row],[Coluna2]]&gt;0.4, "👍 Bom", "⚠️ Baixo"))</f>
        <v>⚠️ Baixo</v>
      </c>
    </row>
    <row r="545" spans="1:15" ht="15" customHeight="1">
      <c r="A545" s="28" t="str">
        <f>IF(Table_246[[#This Row],[Data]]="","",MONTH(Table_246[[#This Row],[Data]]))</f>
        <v/>
      </c>
      <c r="B545" s="32"/>
      <c r="C545" s="36"/>
      <c r="D545" s="43"/>
      <c r="E545" s="48"/>
      <c r="F545" s="48"/>
      <c r="G545" s="49" t="str">
        <f>IFERROR(VLOOKUP(C545,PROD!$A$2:$E$1204,5,0),"0")</f>
        <v>0</v>
      </c>
      <c r="H545" s="10">
        <f>Table_246[[#This Row],[QT]]*Table_246[[#This Row],[Custo 
Un]]</f>
        <v>0</v>
      </c>
      <c r="I545" s="52"/>
      <c r="J545" s="263">
        <f t="shared" si="30"/>
        <v>0</v>
      </c>
      <c r="K545" s="10">
        <f t="shared" si="29"/>
        <v>0</v>
      </c>
      <c r="L545" s="50">
        <f>Table_246[[#This Row],[Valor da 
venda]]-Table_246[[#This Row],[Valor gasto]]</f>
        <v>0</v>
      </c>
      <c r="M545" s="111">
        <f t="shared" si="31"/>
        <v>0</v>
      </c>
      <c r="N545" s="52"/>
      <c r="O545" t="str">
        <f>IF([1]!Table_246[[#This Row],[Coluna2]]&gt;0.5, "🔥 Excelente", IF([1]!Table_246[[#This Row],[Coluna2]]&gt;0.4, "👍 Bom", "⚠️ Baixo"))</f>
        <v>⚠️ Baixo</v>
      </c>
    </row>
    <row r="546" spans="1:15" ht="15" customHeight="1">
      <c r="A546" s="28" t="str">
        <f>IF(Table_246[[#This Row],[Data]]="","",MONTH(Table_246[[#This Row],[Data]]))</f>
        <v/>
      </c>
      <c r="B546" s="32"/>
      <c r="C546" s="36"/>
      <c r="D546" s="43"/>
      <c r="E546" s="48"/>
      <c r="F546" s="48"/>
      <c r="G546" s="49" t="str">
        <f>IFERROR(VLOOKUP(C546,PROD!$A$2:$E$1204,5,0),"0")</f>
        <v>0</v>
      </c>
      <c r="H546" s="10">
        <f>Table_246[[#This Row],[QT]]*Table_246[[#This Row],[Custo 
Un]]</f>
        <v>0</v>
      </c>
      <c r="I546" s="52"/>
      <c r="J546" s="263">
        <f t="shared" si="30"/>
        <v>0</v>
      </c>
      <c r="K546" s="10">
        <f t="shared" si="29"/>
        <v>0</v>
      </c>
      <c r="L546" s="50">
        <f>Table_246[[#This Row],[Valor da 
venda]]-Table_246[[#This Row],[Valor gasto]]</f>
        <v>0</v>
      </c>
      <c r="M546" s="111">
        <f t="shared" si="31"/>
        <v>0</v>
      </c>
      <c r="N546" s="52"/>
      <c r="O546" t="str">
        <f>IF([1]!Table_246[[#This Row],[Coluna2]]&gt;0.5, "🔥 Excelente", IF([1]!Table_246[[#This Row],[Coluna2]]&gt;0.4, "👍 Bom", "⚠️ Baixo"))</f>
        <v>⚠️ Baixo</v>
      </c>
    </row>
    <row r="547" spans="1:15" ht="15" customHeight="1">
      <c r="A547" s="28" t="str">
        <f>IF(Table_246[[#This Row],[Data]]="","",MONTH(Table_246[[#This Row],[Data]]))</f>
        <v/>
      </c>
      <c r="B547" s="32"/>
      <c r="C547" s="36"/>
      <c r="D547" s="43"/>
      <c r="E547" s="48"/>
      <c r="F547" s="48"/>
      <c r="G547" s="49" t="str">
        <f>IFERROR(VLOOKUP(C547,PROD!$A$2:$E$1204,5,0),"0")</f>
        <v>0</v>
      </c>
      <c r="H547" s="10">
        <f>Table_246[[#This Row],[QT]]*Table_246[[#This Row],[Custo 
Un]]</f>
        <v>0</v>
      </c>
      <c r="I547" s="52"/>
      <c r="J547" s="263">
        <f t="shared" si="30"/>
        <v>0</v>
      </c>
      <c r="K547" s="10">
        <f t="shared" si="29"/>
        <v>0</v>
      </c>
      <c r="L547" s="50">
        <f>Table_246[[#This Row],[Valor da 
venda]]-Table_246[[#This Row],[Valor gasto]]</f>
        <v>0</v>
      </c>
      <c r="M547" s="111">
        <f t="shared" si="31"/>
        <v>0</v>
      </c>
      <c r="N547" s="52"/>
      <c r="O547" t="str">
        <f>IF([1]!Table_246[[#This Row],[Coluna2]]&gt;0.5, "🔥 Excelente", IF([1]!Table_246[[#This Row],[Coluna2]]&gt;0.4, "👍 Bom", "⚠️ Baixo"))</f>
        <v>⚠️ Baixo</v>
      </c>
    </row>
    <row r="548" spans="1:15" ht="15" customHeight="1">
      <c r="A548" s="28" t="str">
        <f>IF(Table_246[[#This Row],[Data]]="","",MONTH(Table_246[[#This Row],[Data]]))</f>
        <v/>
      </c>
      <c r="B548" s="32"/>
      <c r="C548" s="36"/>
      <c r="D548" s="43"/>
      <c r="E548" s="48"/>
      <c r="F548" s="48"/>
      <c r="G548" s="49" t="str">
        <f>IFERROR(VLOOKUP(C548,PROD!$A$2:$E$1204,5,0),"0")</f>
        <v>0</v>
      </c>
      <c r="H548" s="10">
        <f>Table_246[[#This Row],[QT]]*Table_246[[#This Row],[Custo 
Un]]</f>
        <v>0</v>
      </c>
      <c r="I548" s="52"/>
      <c r="J548" s="263">
        <f t="shared" si="30"/>
        <v>0</v>
      </c>
      <c r="K548" s="10">
        <f t="shared" si="29"/>
        <v>0</v>
      </c>
      <c r="L548" s="50">
        <f>Table_246[[#This Row],[Valor da 
venda]]-Table_246[[#This Row],[Valor gasto]]</f>
        <v>0</v>
      </c>
      <c r="M548" s="111">
        <f t="shared" si="31"/>
        <v>0</v>
      </c>
      <c r="N548" s="52"/>
      <c r="O548" t="str">
        <f>IF([1]!Table_246[[#This Row],[Coluna2]]&gt;0.5, "🔥 Excelente", IF([1]!Table_246[[#This Row],[Coluna2]]&gt;0.4, "👍 Bom", "⚠️ Baixo"))</f>
        <v>⚠️ Baixo</v>
      </c>
    </row>
    <row r="549" spans="1:15" ht="15" customHeight="1">
      <c r="A549" s="28" t="str">
        <f>IF(Table_246[[#This Row],[Data]]="","",MONTH(Table_246[[#This Row],[Data]]))</f>
        <v/>
      </c>
      <c r="B549" s="76"/>
      <c r="C549" s="79"/>
      <c r="D549" s="43"/>
      <c r="E549" s="87"/>
      <c r="F549" s="87"/>
      <c r="G549" s="49" t="str">
        <f>IFERROR(VLOOKUP(C549,PROD!$A$2:$E$1204,5,0),"0")</f>
        <v>0</v>
      </c>
      <c r="H549" s="10">
        <f>Table_246[[#This Row],[QT]]*Table_246[[#This Row],[Custo 
Un]]</f>
        <v>0</v>
      </c>
      <c r="I549" s="92"/>
      <c r="J549" s="92">
        <f t="shared" si="30"/>
        <v>0</v>
      </c>
      <c r="K549" s="10">
        <f t="shared" si="29"/>
        <v>0</v>
      </c>
      <c r="L549" s="50">
        <f>Table_246[[#This Row],[Valor da 
venda]]-Table_246[[#This Row],[Valor gasto]]</f>
        <v>0</v>
      </c>
      <c r="M549" s="111">
        <f t="shared" si="31"/>
        <v>0</v>
      </c>
      <c r="N549" s="92"/>
      <c r="O549" t="str">
        <f>IF([1]!Table_246[[#This Row],[Coluna2]]&gt;0.5, "🔥 Excelente", IF([1]!Table_246[[#This Row],[Coluna2]]&gt;0.4, "👍 Bom", "⚠️ Baixo"))</f>
        <v>⚠️ Baixo</v>
      </c>
    </row>
    <row r="550" spans="1:15" ht="15" customHeight="1">
      <c r="A550" s="28" t="str">
        <f>IF(Table_246[[#This Row],[Data]]="","",MONTH(Table_246[[#This Row],[Data]]))</f>
        <v/>
      </c>
      <c r="B550" s="32"/>
      <c r="C550" s="36"/>
      <c r="D550" s="43"/>
      <c r="E550" s="48"/>
      <c r="F550" s="48"/>
      <c r="G550" s="49" t="str">
        <f>IFERROR(VLOOKUP(C550,PROD!$A$2:$E$1204,5,0),"0")</f>
        <v>0</v>
      </c>
      <c r="H550" s="10">
        <f>Table_246[[#This Row],[QT]]*Table_246[[#This Row],[Custo 
Un]]</f>
        <v>0</v>
      </c>
      <c r="I550" s="52"/>
      <c r="J550" s="263">
        <f t="shared" si="30"/>
        <v>0</v>
      </c>
      <c r="K550" s="10">
        <f t="shared" si="29"/>
        <v>0</v>
      </c>
      <c r="L550" s="50">
        <f>Table_246[[#This Row],[Valor da 
venda]]-Table_246[[#This Row],[Valor gasto]]</f>
        <v>0</v>
      </c>
      <c r="M550" s="111">
        <f t="shared" si="31"/>
        <v>0</v>
      </c>
      <c r="N550" s="52"/>
      <c r="O550" t="str">
        <f>IF([1]!Table_246[[#This Row],[Coluna2]]&gt;0.5, "🔥 Excelente", IF([1]!Table_246[[#This Row],[Coluna2]]&gt;0.4, "👍 Bom", "⚠️ Baixo"))</f>
        <v>⚠️ Baixo</v>
      </c>
    </row>
    <row r="551" spans="1:15" ht="15" customHeight="1">
      <c r="A551" s="28" t="str">
        <f>IF(Table_246[[#This Row],[Data]]="","",MONTH(Table_246[[#This Row],[Data]]))</f>
        <v/>
      </c>
      <c r="B551" s="32"/>
      <c r="C551" s="36"/>
      <c r="D551" s="43"/>
      <c r="E551" s="48"/>
      <c r="F551" s="48"/>
      <c r="G551" s="49" t="str">
        <f>IFERROR(VLOOKUP(C551,PROD!$A$2:$E$1204,5,0),"0")</f>
        <v>0</v>
      </c>
      <c r="H551" s="10">
        <f>Table_246[[#This Row],[QT]]*Table_246[[#This Row],[Custo 
Un]]</f>
        <v>0</v>
      </c>
      <c r="I551" s="52"/>
      <c r="J551" s="263">
        <f t="shared" si="30"/>
        <v>0</v>
      </c>
      <c r="K551" s="10">
        <f t="shared" si="29"/>
        <v>0</v>
      </c>
      <c r="L551" s="50">
        <f>Table_246[[#This Row],[Valor da 
venda]]-Table_246[[#This Row],[Valor gasto]]</f>
        <v>0</v>
      </c>
      <c r="M551" s="111">
        <f t="shared" si="31"/>
        <v>0</v>
      </c>
      <c r="N551" s="52"/>
      <c r="O551" t="str">
        <f>IF([1]!Table_246[[#This Row],[Coluna2]]&gt;0.5, "🔥 Excelente", IF([1]!Table_246[[#This Row],[Coluna2]]&gt;0.4, "👍 Bom", "⚠️ Baixo"))</f>
        <v>⚠️ Baixo</v>
      </c>
    </row>
    <row r="552" spans="1:15" ht="15" customHeight="1">
      <c r="A552" s="28" t="str">
        <f>IF(Table_246[[#This Row],[Data]]="","",MONTH(Table_246[[#This Row],[Data]]))</f>
        <v/>
      </c>
      <c r="B552" s="32"/>
      <c r="C552" s="36"/>
      <c r="D552" s="43"/>
      <c r="E552" s="48"/>
      <c r="F552" s="48"/>
      <c r="G552" s="49" t="str">
        <f>IFERROR(VLOOKUP(C552,PROD!$A$2:$E$1204,5,0),"0")</f>
        <v>0</v>
      </c>
      <c r="H552" s="10">
        <f>Table_246[[#This Row],[QT]]*Table_246[[#This Row],[Custo 
Un]]</f>
        <v>0</v>
      </c>
      <c r="I552" s="52"/>
      <c r="J552" s="263">
        <f t="shared" si="30"/>
        <v>0</v>
      </c>
      <c r="K552" s="10">
        <f t="shared" si="29"/>
        <v>0</v>
      </c>
      <c r="L552" s="50">
        <f>Table_246[[#This Row],[Valor da 
venda]]-Table_246[[#This Row],[Valor gasto]]</f>
        <v>0</v>
      </c>
      <c r="M552" s="111">
        <f t="shared" si="31"/>
        <v>0</v>
      </c>
      <c r="N552" s="52"/>
      <c r="O552" t="str">
        <f>IF([1]!Table_246[[#This Row],[Coluna2]]&gt;0.5, "🔥 Excelente", IF([1]!Table_246[[#This Row],[Coluna2]]&gt;0.4, "👍 Bom", "⚠️ Baixo"))</f>
        <v>⚠️ Baixo</v>
      </c>
    </row>
    <row r="553" spans="1:15" ht="15" customHeight="1">
      <c r="A553" s="28" t="str">
        <f>IF(Table_246[[#This Row],[Data]]="","",MONTH(Table_246[[#This Row],[Data]]))</f>
        <v/>
      </c>
      <c r="B553" s="32"/>
      <c r="C553" s="36"/>
      <c r="D553" s="43"/>
      <c r="E553" s="48"/>
      <c r="F553" s="48"/>
      <c r="G553" s="49" t="str">
        <f>IFERROR(VLOOKUP(C553,PROD!$A$2:$E$1204,5,0),"0")</f>
        <v>0</v>
      </c>
      <c r="H553" s="10">
        <f>Table_246[[#This Row],[QT]]*Table_246[[#This Row],[Custo 
Un]]</f>
        <v>0</v>
      </c>
      <c r="I553" s="52"/>
      <c r="J553" s="263">
        <f t="shared" si="30"/>
        <v>0</v>
      </c>
      <c r="K553" s="10">
        <f t="shared" si="29"/>
        <v>0</v>
      </c>
      <c r="L553" s="50">
        <f>Table_246[[#This Row],[Valor da 
venda]]-Table_246[[#This Row],[Valor gasto]]</f>
        <v>0</v>
      </c>
      <c r="M553" s="111">
        <f t="shared" si="31"/>
        <v>0</v>
      </c>
      <c r="N553" s="52"/>
      <c r="O553" t="str">
        <f>IF([1]!Table_246[[#This Row],[Coluna2]]&gt;0.5, "🔥 Excelente", IF([1]!Table_246[[#This Row],[Coluna2]]&gt;0.4, "👍 Bom", "⚠️ Baixo"))</f>
        <v>⚠️ Baixo</v>
      </c>
    </row>
    <row r="554" spans="1:15" ht="15" customHeight="1">
      <c r="A554" s="28" t="str">
        <f>IF(Table_246[[#This Row],[Data]]="","",MONTH(Table_246[[#This Row],[Data]]))</f>
        <v/>
      </c>
      <c r="B554" s="32"/>
      <c r="C554" s="36"/>
      <c r="D554" s="43"/>
      <c r="E554" s="48"/>
      <c r="F554" s="48"/>
      <c r="G554" s="49" t="str">
        <f>IFERROR(VLOOKUP(C554,PROD!$A$2:$E$1204,5,0),"0")</f>
        <v>0</v>
      </c>
      <c r="H554" s="10">
        <f>Table_246[[#This Row],[QT]]*Table_246[[#This Row],[Custo 
Un]]</f>
        <v>0</v>
      </c>
      <c r="I554" s="52"/>
      <c r="J554" s="263">
        <f t="shared" si="30"/>
        <v>0</v>
      </c>
      <c r="K554" s="10">
        <f t="shared" si="29"/>
        <v>0</v>
      </c>
      <c r="L554" s="50">
        <f>Table_246[[#This Row],[Valor da 
venda]]-Table_246[[#This Row],[Valor gasto]]</f>
        <v>0</v>
      </c>
      <c r="M554" s="111">
        <f t="shared" si="31"/>
        <v>0</v>
      </c>
      <c r="N554" s="52"/>
      <c r="O554" t="str">
        <f>IF([1]!Table_246[[#This Row],[Coluna2]]&gt;0.5, "🔥 Excelente", IF([1]!Table_246[[#This Row],[Coluna2]]&gt;0.4, "👍 Bom", "⚠️ Baixo"))</f>
        <v>⚠️ Baixo</v>
      </c>
    </row>
    <row r="555" spans="1:15" ht="15" customHeight="1">
      <c r="A555" s="28" t="str">
        <f>IF(Table_246[[#This Row],[Data]]="","",MONTH(Table_246[[#This Row],[Data]]))</f>
        <v/>
      </c>
      <c r="B555" s="32"/>
      <c r="C555" s="36"/>
      <c r="D555" s="43"/>
      <c r="E555" s="48"/>
      <c r="F555" s="48"/>
      <c r="G555" s="49" t="str">
        <f>IFERROR(VLOOKUP(C555,PROD!$A$2:$E$1204,5,0),"0")</f>
        <v>0</v>
      </c>
      <c r="H555" s="10">
        <f>Table_246[[#This Row],[QT]]*Table_246[[#This Row],[Custo 
Un]]</f>
        <v>0</v>
      </c>
      <c r="I555" s="52"/>
      <c r="J555" s="263">
        <f t="shared" si="30"/>
        <v>0</v>
      </c>
      <c r="K555" s="10">
        <f t="shared" si="29"/>
        <v>0</v>
      </c>
      <c r="L555" s="50">
        <f>Table_246[[#This Row],[Valor da 
venda]]-Table_246[[#This Row],[Valor gasto]]</f>
        <v>0</v>
      </c>
      <c r="M555" s="111">
        <f t="shared" si="31"/>
        <v>0</v>
      </c>
      <c r="N555" s="52"/>
      <c r="O555" t="str">
        <f>IF([1]!Table_246[[#This Row],[Coluna2]]&gt;0.5, "🔥 Excelente", IF([1]!Table_246[[#This Row],[Coluna2]]&gt;0.4, "👍 Bom", "⚠️ Baixo"))</f>
        <v>⚠️ Baixo</v>
      </c>
    </row>
    <row r="556" spans="1:15" ht="15" customHeight="1">
      <c r="A556" s="28" t="str">
        <f>IF(Table_246[[#This Row],[Data]]="","",MONTH(Table_246[[#This Row],[Data]]))</f>
        <v/>
      </c>
      <c r="B556" s="76"/>
      <c r="C556" s="79"/>
      <c r="D556" s="43"/>
      <c r="E556" s="87"/>
      <c r="F556" s="87"/>
      <c r="G556" s="49" t="str">
        <f>IFERROR(VLOOKUP(C556,PROD!$A$2:$E$1204,5,0),"0")</f>
        <v>0</v>
      </c>
      <c r="H556" s="10">
        <f>Table_246[[#This Row],[QT]]*Table_246[[#This Row],[Custo 
Un]]</f>
        <v>0</v>
      </c>
      <c r="I556" s="92"/>
      <c r="J556" s="92">
        <f t="shared" si="30"/>
        <v>0</v>
      </c>
      <c r="K556" s="10">
        <f t="shared" si="29"/>
        <v>0</v>
      </c>
      <c r="L556" s="50">
        <f>Table_246[[#This Row],[Valor da 
venda]]-Table_246[[#This Row],[Valor gasto]]</f>
        <v>0</v>
      </c>
      <c r="M556" s="111">
        <f t="shared" si="31"/>
        <v>0</v>
      </c>
      <c r="N556" s="92"/>
      <c r="O556" t="str">
        <f>IF([1]!Table_246[[#This Row],[Coluna2]]&gt;0.5, "🔥 Excelente", IF([1]!Table_246[[#This Row],[Coluna2]]&gt;0.4, "👍 Bom", "⚠️ Baixo"))</f>
        <v>⚠️ Baixo</v>
      </c>
    </row>
    <row r="557" spans="1:15" ht="15" customHeight="1">
      <c r="A557" s="28" t="str">
        <f>IF(Table_246[[#This Row],[Data]]="","",MONTH(Table_246[[#This Row],[Data]]))</f>
        <v/>
      </c>
      <c r="B557" s="32"/>
      <c r="C557" s="36"/>
      <c r="D557" s="43"/>
      <c r="E557" s="48"/>
      <c r="F557" s="48"/>
      <c r="G557" s="49" t="str">
        <f>IFERROR(VLOOKUP(C557,PROD!$A$2:$E$1204,5,0),"0")</f>
        <v>0</v>
      </c>
      <c r="H557" s="10">
        <f>Table_246[[#This Row],[QT]]*Table_246[[#This Row],[Custo 
Un]]</f>
        <v>0</v>
      </c>
      <c r="I557" s="52"/>
      <c r="J557" s="263">
        <f t="shared" si="30"/>
        <v>0</v>
      </c>
      <c r="K557" s="10">
        <f t="shared" si="29"/>
        <v>0</v>
      </c>
      <c r="L557" s="50">
        <f>Table_246[[#This Row],[Valor da 
venda]]-Table_246[[#This Row],[Valor gasto]]</f>
        <v>0</v>
      </c>
      <c r="M557" s="111">
        <f t="shared" si="31"/>
        <v>0</v>
      </c>
      <c r="N557" s="52"/>
      <c r="O557" t="str">
        <f>IF([1]!Table_246[[#This Row],[Coluna2]]&gt;0.5, "🔥 Excelente", IF([1]!Table_246[[#This Row],[Coluna2]]&gt;0.4, "👍 Bom", "⚠️ Baixo"))</f>
        <v>⚠️ Baixo</v>
      </c>
    </row>
    <row r="558" spans="1:15" ht="15" customHeight="1">
      <c r="A558" s="28" t="str">
        <f>IF(Table_246[[#This Row],[Data]]="","",MONTH(Table_246[[#This Row],[Data]]))</f>
        <v/>
      </c>
      <c r="B558" s="32"/>
      <c r="C558" s="36"/>
      <c r="D558" s="43"/>
      <c r="E558" s="48"/>
      <c r="F558" s="48"/>
      <c r="G558" s="49" t="str">
        <f>IFERROR(VLOOKUP(C558,PROD!$A$2:$E$1204,5,0),"0")</f>
        <v>0</v>
      </c>
      <c r="H558" s="10">
        <f>Table_246[[#This Row],[QT]]*Table_246[[#This Row],[Custo 
Un]]</f>
        <v>0</v>
      </c>
      <c r="I558" s="52"/>
      <c r="J558" s="263">
        <f t="shared" si="30"/>
        <v>0</v>
      </c>
      <c r="K558" s="10">
        <f t="shared" si="29"/>
        <v>0</v>
      </c>
      <c r="L558" s="50">
        <f>Table_246[[#This Row],[Valor da 
venda]]-Table_246[[#This Row],[Valor gasto]]</f>
        <v>0</v>
      </c>
      <c r="M558" s="111">
        <f t="shared" si="31"/>
        <v>0</v>
      </c>
      <c r="N558" s="52"/>
      <c r="O558" t="str">
        <f>IF([1]!Table_246[[#This Row],[Coluna2]]&gt;0.5, "🔥 Excelente", IF([1]!Table_246[[#This Row],[Coluna2]]&gt;0.4, "👍 Bom", "⚠️ Baixo"))</f>
        <v>⚠️ Baixo</v>
      </c>
    </row>
    <row r="559" spans="1:15" ht="15" customHeight="1">
      <c r="A559" s="28" t="str">
        <f>IF(Table_246[[#This Row],[Data]]="","",MONTH(Table_246[[#This Row],[Data]]))</f>
        <v/>
      </c>
      <c r="B559" s="32"/>
      <c r="C559" s="36"/>
      <c r="D559" s="43"/>
      <c r="E559" s="48"/>
      <c r="F559" s="48"/>
      <c r="G559" s="49" t="str">
        <f>IFERROR(VLOOKUP(C559,PROD!$A$2:$E$1204,5,0),"0")</f>
        <v>0</v>
      </c>
      <c r="H559" s="10">
        <f>Table_246[[#This Row],[QT]]*Table_246[[#This Row],[Custo 
Un]]</f>
        <v>0</v>
      </c>
      <c r="I559" s="52"/>
      <c r="J559" s="263">
        <f t="shared" si="30"/>
        <v>0</v>
      </c>
      <c r="K559" s="10">
        <f t="shared" si="29"/>
        <v>0</v>
      </c>
      <c r="L559" s="50">
        <f>Table_246[[#This Row],[Valor da 
venda]]-Table_246[[#This Row],[Valor gasto]]</f>
        <v>0</v>
      </c>
      <c r="M559" s="111">
        <f t="shared" si="31"/>
        <v>0</v>
      </c>
      <c r="N559" s="52"/>
      <c r="O559" t="str">
        <f>IF([1]!Table_246[[#This Row],[Coluna2]]&gt;0.5, "🔥 Excelente", IF([1]!Table_246[[#This Row],[Coluna2]]&gt;0.4, "👍 Bom", "⚠️ Baixo"))</f>
        <v>⚠️ Baixo</v>
      </c>
    </row>
    <row r="560" spans="1:15" ht="15" customHeight="1">
      <c r="A560" s="28" t="str">
        <f>IF(Table_246[[#This Row],[Data]]="","",MONTH(Table_246[[#This Row],[Data]]))</f>
        <v/>
      </c>
      <c r="B560" s="76"/>
      <c r="C560" s="79"/>
      <c r="D560" s="43"/>
      <c r="E560" s="87"/>
      <c r="F560" s="87"/>
      <c r="G560" s="49" t="str">
        <f>IFERROR(VLOOKUP(C560,PROD!$A$2:$E$1204,5,0),"0")</f>
        <v>0</v>
      </c>
      <c r="H560" s="10">
        <f>Table_246[[#This Row],[QT]]*Table_246[[#This Row],[Custo 
Un]]</f>
        <v>0</v>
      </c>
      <c r="I560" s="92"/>
      <c r="J560" s="92">
        <f t="shared" si="30"/>
        <v>0</v>
      </c>
      <c r="K560" s="10">
        <f t="shared" si="29"/>
        <v>0</v>
      </c>
      <c r="L560" s="50">
        <f>Table_246[[#This Row],[Valor da 
venda]]-Table_246[[#This Row],[Valor gasto]]</f>
        <v>0</v>
      </c>
      <c r="M560" s="111">
        <f t="shared" si="31"/>
        <v>0</v>
      </c>
      <c r="N560" s="92"/>
      <c r="O560" t="str">
        <f>IF([1]!Table_246[[#This Row],[Coluna2]]&gt;0.5, "🔥 Excelente", IF([1]!Table_246[[#This Row],[Coluna2]]&gt;0.4, "👍 Bom", "⚠️ Baixo"))</f>
        <v>⚠️ Baixo</v>
      </c>
    </row>
    <row r="561" spans="1:15" ht="15" customHeight="1">
      <c r="A561" s="28" t="str">
        <f>IF(Table_246[[#This Row],[Data]]="","",MONTH(Table_246[[#This Row],[Data]]))</f>
        <v/>
      </c>
      <c r="B561" s="32"/>
      <c r="C561" s="36"/>
      <c r="D561" s="43"/>
      <c r="E561" s="48"/>
      <c r="F561" s="48"/>
      <c r="G561" s="49" t="str">
        <f>IFERROR(VLOOKUP(C561,PROD!$A$2:$E$1204,5,0),"0")</f>
        <v>0</v>
      </c>
      <c r="H561" s="10">
        <f>Table_246[[#This Row],[QT]]*Table_246[[#This Row],[Custo 
Un]]</f>
        <v>0</v>
      </c>
      <c r="I561" s="52"/>
      <c r="J561" s="263">
        <f t="shared" si="30"/>
        <v>0</v>
      </c>
      <c r="K561" s="10">
        <f t="shared" si="29"/>
        <v>0</v>
      </c>
      <c r="L561" s="50">
        <f>Table_246[[#This Row],[Valor da 
venda]]-Table_246[[#This Row],[Valor gasto]]</f>
        <v>0</v>
      </c>
      <c r="M561" s="111">
        <f t="shared" si="31"/>
        <v>0</v>
      </c>
      <c r="N561" s="52"/>
      <c r="O561" t="str">
        <f>IF([1]!Table_246[[#This Row],[Coluna2]]&gt;0.5, "🔥 Excelente", IF([1]!Table_246[[#This Row],[Coluna2]]&gt;0.4, "👍 Bom", "⚠️ Baixo"))</f>
        <v>⚠️ Baixo</v>
      </c>
    </row>
    <row r="562" spans="1:15" ht="15" customHeight="1">
      <c r="A562" s="28" t="str">
        <f>IF(Table_246[[#This Row],[Data]]="","",MONTH(Table_246[[#This Row],[Data]]))</f>
        <v/>
      </c>
      <c r="B562" s="32"/>
      <c r="C562" s="36"/>
      <c r="D562" s="43"/>
      <c r="E562" s="48"/>
      <c r="F562" s="48"/>
      <c r="G562" s="49" t="str">
        <f>IFERROR(VLOOKUP(C562,PROD!$A$2:$E$1204,5,0),"0")</f>
        <v>0</v>
      </c>
      <c r="H562" s="10">
        <f>Table_246[[#This Row],[QT]]*Table_246[[#This Row],[Custo 
Un]]</f>
        <v>0</v>
      </c>
      <c r="I562" s="52"/>
      <c r="J562" s="263">
        <f t="shared" si="30"/>
        <v>0</v>
      </c>
      <c r="K562" s="10">
        <f t="shared" si="29"/>
        <v>0</v>
      </c>
      <c r="L562" s="50">
        <f>Table_246[[#This Row],[Valor da 
venda]]-Table_246[[#This Row],[Valor gasto]]</f>
        <v>0</v>
      </c>
      <c r="M562" s="111">
        <f t="shared" si="31"/>
        <v>0</v>
      </c>
      <c r="N562" s="52"/>
      <c r="O562" t="str">
        <f>IF([1]!Table_246[[#This Row],[Coluna2]]&gt;0.5, "🔥 Excelente", IF([1]!Table_246[[#This Row],[Coluna2]]&gt;0.4, "👍 Bom", "⚠️ Baixo"))</f>
        <v>⚠️ Baixo</v>
      </c>
    </row>
    <row r="563" spans="1:15" ht="15" customHeight="1">
      <c r="A563" s="28" t="str">
        <f>IF(Table_246[[#This Row],[Data]]="","",MONTH(Table_246[[#This Row],[Data]]))</f>
        <v/>
      </c>
      <c r="B563" s="32"/>
      <c r="C563" s="36"/>
      <c r="D563" s="43"/>
      <c r="E563" s="48"/>
      <c r="F563" s="48"/>
      <c r="G563" s="49" t="str">
        <f>IFERROR(VLOOKUP(C563,PROD!$A$2:$E$1204,5,0),"0")</f>
        <v>0</v>
      </c>
      <c r="H563" s="10">
        <f>Table_246[[#This Row],[QT]]*Table_246[[#This Row],[Custo 
Un]]</f>
        <v>0</v>
      </c>
      <c r="I563" s="52"/>
      <c r="J563" s="263">
        <f t="shared" si="30"/>
        <v>0</v>
      </c>
      <c r="K563" s="10">
        <f t="shared" si="29"/>
        <v>0</v>
      </c>
      <c r="L563" s="50">
        <f>Table_246[[#This Row],[Valor da 
venda]]-Table_246[[#This Row],[Valor gasto]]</f>
        <v>0</v>
      </c>
      <c r="M563" s="111">
        <f t="shared" si="31"/>
        <v>0</v>
      </c>
      <c r="N563" s="52"/>
      <c r="O563" t="str">
        <f>IF([1]!Table_246[[#This Row],[Coluna2]]&gt;0.5, "🔥 Excelente", IF([1]!Table_246[[#This Row],[Coluna2]]&gt;0.4, "👍 Bom", "⚠️ Baixo"))</f>
        <v>⚠️ Baixo</v>
      </c>
    </row>
    <row r="564" spans="1:15" ht="15" customHeight="1">
      <c r="A564" s="28" t="str">
        <f>IF(Table_246[[#This Row],[Data]]="","",MONTH(Table_246[[#This Row],[Data]]))</f>
        <v/>
      </c>
      <c r="B564" s="32"/>
      <c r="C564" s="36"/>
      <c r="D564" s="43"/>
      <c r="E564" s="48"/>
      <c r="F564" s="48"/>
      <c r="G564" s="49" t="str">
        <f>IFERROR(VLOOKUP(C564,PROD!$A$2:$E$1204,5,0),"0")</f>
        <v>0</v>
      </c>
      <c r="H564" s="10">
        <f>Table_246[[#This Row],[QT]]*Table_246[[#This Row],[Custo 
Un]]</f>
        <v>0</v>
      </c>
      <c r="I564" s="52"/>
      <c r="J564" s="263">
        <f t="shared" si="30"/>
        <v>0</v>
      </c>
      <c r="K564" s="10">
        <f t="shared" ref="K564:K627" si="32">I564*D564</f>
        <v>0</v>
      </c>
      <c r="L564" s="50">
        <f>Table_246[[#This Row],[Valor da 
venda]]-Table_246[[#This Row],[Valor gasto]]</f>
        <v>0</v>
      </c>
      <c r="M564" s="111">
        <f t="shared" si="31"/>
        <v>0</v>
      </c>
      <c r="N564" s="52"/>
      <c r="O564" t="str">
        <f>IF([1]!Table_246[[#This Row],[Coluna2]]&gt;0.5, "🔥 Excelente", IF([1]!Table_246[[#This Row],[Coluna2]]&gt;0.4, "👍 Bom", "⚠️ Baixo"))</f>
        <v>⚠️ Baixo</v>
      </c>
    </row>
    <row r="565" spans="1:15" ht="15" customHeight="1">
      <c r="A565" s="28" t="str">
        <f>IF(Table_246[[#This Row],[Data]]="","",MONTH(Table_246[[#This Row],[Data]]))</f>
        <v/>
      </c>
      <c r="B565" s="32"/>
      <c r="C565" s="36"/>
      <c r="D565" s="43"/>
      <c r="E565" s="48"/>
      <c r="F565" s="48"/>
      <c r="G565" s="49" t="str">
        <f>IFERROR(VLOOKUP(C565,PROD!$A$2:$E$1204,5,0),"0")</f>
        <v>0</v>
      </c>
      <c r="H565" s="10">
        <f>Table_246[[#This Row],[QT]]*Table_246[[#This Row],[Custo 
Un]]</f>
        <v>0</v>
      </c>
      <c r="I565" s="52"/>
      <c r="J565" s="263">
        <f t="shared" si="30"/>
        <v>0</v>
      </c>
      <c r="K565" s="10">
        <f t="shared" si="32"/>
        <v>0</v>
      </c>
      <c r="L565" s="50">
        <f>Table_246[[#This Row],[Valor da 
venda]]-Table_246[[#This Row],[Valor gasto]]</f>
        <v>0</v>
      </c>
      <c r="M565" s="111">
        <f t="shared" si="31"/>
        <v>0</v>
      </c>
      <c r="N565" s="52"/>
      <c r="O565" t="str">
        <f>IF([1]!Table_246[[#This Row],[Coluna2]]&gt;0.5, "🔥 Excelente", IF([1]!Table_246[[#This Row],[Coluna2]]&gt;0.4, "👍 Bom", "⚠️ Baixo"))</f>
        <v>⚠️ Baixo</v>
      </c>
    </row>
    <row r="566" spans="1:15" ht="15" customHeight="1">
      <c r="A566" s="28" t="str">
        <f>IF(Table_246[[#This Row],[Data]]="","",MONTH(Table_246[[#This Row],[Data]]))</f>
        <v/>
      </c>
      <c r="B566" s="32"/>
      <c r="C566" s="36"/>
      <c r="D566" s="43"/>
      <c r="E566" s="48"/>
      <c r="F566" s="48"/>
      <c r="G566" s="49" t="str">
        <f>IFERROR(VLOOKUP(C566,PROD!$A$2:$E$1204,5,0),"0")</f>
        <v>0</v>
      </c>
      <c r="H566" s="10">
        <f>Table_246[[#This Row],[QT]]*Table_246[[#This Row],[Custo 
Un]]</f>
        <v>0</v>
      </c>
      <c r="I566" s="52"/>
      <c r="J566" s="263">
        <f t="shared" si="30"/>
        <v>0</v>
      </c>
      <c r="K566" s="10">
        <f t="shared" si="32"/>
        <v>0</v>
      </c>
      <c r="L566" s="50">
        <f>Table_246[[#This Row],[Valor da 
venda]]-Table_246[[#This Row],[Valor gasto]]</f>
        <v>0</v>
      </c>
      <c r="M566" s="111">
        <f t="shared" si="31"/>
        <v>0</v>
      </c>
      <c r="N566" s="52"/>
      <c r="O566" t="str">
        <f>IF([1]!Table_246[[#This Row],[Coluna2]]&gt;0.5, "🔥 Excelente", IF([1]!Table_246[[#This Row],[Coluna2]]&gt;0.4, "👍 Bom", "⚠️ Baixo"))</f>
        <v>⚠️ Baixo</v>
      </c>
    </row>
    <row r="567" spans="1:15" ht="15" customHeight="1">
      <c r="A567" s="28" t="str">
        <f>IF(Table_246[[#This Row],[Data]]="","",MONTH(Table_246[[#This Row],[Data]]))</f>
        <v/>
      </c>
      <c r="B567" s="76"/>
      <c r="C567" s="79"/>
      <c r="D567" s="43"/>
      <c r="E567" s="87"/>
      <c r="F567" s="87"/>
      <c r="G567" s="49" t="str">
        <f>IFERROR(VLOOKUP(C567,PROD!$A$2:$E$1204,5,0),"0")</f>
        <v>0</v>
      </c>
      <c r="H567" s="10">
        <f>Table_246[[#This Row],[QT]]*Table_246[[#This Row],[Custo 
Un]]</f>
        <v>0</v>
      </c>
      <c r="I567" s="92"/>
      <c r="J567" s="92">
        <f t="shared" si="30"/>
        <v>0</v>
      </c>
      <c r="K567" s="10">
        <f t="shared" si="32"/>
        <v>0</v>
      </c>
      <c r="L567" s="50">
        <f>Table_246[[#This Row],[Valor da 
venda]]-Table_246[[#This Row],[Valor gasto]]</f>
        <v>0</v>
      </c>
      <c r="M567" s="111">
        <f t="shared" si="31"/>
        <v>0</v>
      </c>
      <c r="N567" s="92"/>
      <c r="O567" t="str">
        <f>IF([1]!Table_246[[#This Row],[Coluna2]]&gt;0.5, "🔥 Excelente", IF([1]!Table_246[[#This Row],[Coluna2]]&gt;0.4, "👍 Bom", "⚠️ Baixo"))</f>
        <v>⚠️ Baixo</v>
      </c>
    </row>
    <row r="568" spans="1:15" ht="15" customHeight="1">
      <c r="A568" s="28" t="str">
        <f>IF(Table_246[[#This Row],[Data]]="","",MONTH(Table_246[[#This Row],[Data]]))</f>
        <v/>
      </c>
      <c r="B568" s="32"/>
      <c r="C568" s="36"/>
      <c r="D568" s="43"/>
      <c r="E568" s="48"/>
      <c r="F568" s="48"/>
      <c r="G568" s="49" t="str">
        <f>IFERROR(VLOOKUP(C568,PROD!$A$2:$E$1204,5,0),"0")</f>
        <v>0</v>
      </c>
      <c r="H568" s="10">
        <f>Table_246[[#This Row],[QT]]*Table_246[[#This Row],[Custo 
Un]]</f>
        <v>0</v>
      </c>
      <c r="I568" s="52"/>
      <c r="J568" s="263">
        <f t="shared" si="30"/>
        <v>0</v>
      </c>
      <c r="K568" s="10">
        <f t="shared" si="32"/>
        <v>0</v>
      </c>
      <c r="L568" s="50">
        <f>Table_246[[#This Row],[Valor da 
venda]]-Table_246[[#This Row],[Valor gasto]]</f>
        <v>0</v>
      </c>
      <c r="M568" s="111">
        <f t="shared" si="31"/>
        <v>0</v>
      </c>
      <c r="N568" s="52"/>
      <c r="O568" t="str">
        <f>IF([1]!Table_246[[#This Row],[Coluna2]]&gt;0.5, "🔥 Excelente", IF([1]!Table_246[[#This Row],[Coluna2]]&gt;0.4, "👍 Bom", "⚠️ Baixo"))</f>
        <v>⚠️ Baixo</v>
      </c>
    </row>
    <row r="569" spans="1:15" ht="15" customHeight="1">
      <c r="A569" s="28" t="str">
        <f>IF(Table_246[[#This Row],[Data]]="","",MONTH(Table_246[[#This Row],[Data]]))</f>
        <v/>
      </c>
      <c r="B569" s="32"/>
      <c r="C569" s="36"/>
      <c r="D569" s="43"/>
      <c r="E569" s="48"/>
      <c r="F569" s="48"/>
      <c r="G569" s="49" t="str">
        <f>IFERROR(VLOOKUP(C569,PROD!$A$2:$E$1204,5,0),"0")</f>
        <v>0</v>
      </c>
      <c r="H569" s="10">
        <f>Table_246[[#This Row],[QT]]*Table_246[[#This Row],[Custo 
Un]]</f>
        <v>0</v>
      </c>
      <c r="I569" s="52"/>
      <c r="J569" s="263">
        <f t="shared" si="30"/>
        <v>0</v>
      </c>
      <c r="K569" s="10">
        <f t="shared" si="32"/>
        <v>0</v>
      </c>
      <c r="L569" s="50">
        <f>Table_246[[#This Row],[Valor da 
venda]]-Table_246[[#This Row],[Valor gasto]]</f>
        <v>0</v>
      </c>
      <c r="M569" s="111">
        <f t="shared" si="31"/>
        <v>0</v>
      </c>
      <c r="N569" s="52"/>
      <c r="O569" t="str">
        <f>IF([1]!Table_246[[#This Row],[Coluna2]]&gt;0.5, "🔥 Excelente", IF([1]!Table_246[[#This Row],[Coluna2]]&gt;0.4, "👍 Bom", "⚠️ Baixo"))</f>
        <v>⚠️ Baixo</v>
      </c>
    </row>
    <row r="570" spans="1:15" ht="15" customHeight="1">
      <c r="A570" s="28" t="str">
        <f>IF(Table_246[[#This Row],[Data]]="","",MONTH(Table_246[[#This Row],[Data]]))</f>
        <v/>
      </c>
      <c r="B570" s="32"/>
      <c r="C570" s="36"/>
      <c r="D570" s="43"/>
      <c r="E570" s="48"/>
      <c r="F570" s="48"/>
      <c r="G570" s="49" t="str">
        <f>IFERROR(VLOOKUP(C570,PROD!$A$2:$E$1204,5,0),"0")</f>
        <v>0</v>
      </c>
      <c r="H570" s="10">
        <f>Table_246[[#This Row],[QT]]*Table_246[[#This Row],[Custo 
Un]]</f>
        <v>0</v>
      </c>
      <c r="I570" s="52"/>
      <c r="J570" s="263">
        <f t="shared" si="30"/>
        <v>0</v>
      </c>
      <c r="K570" s="10">
        <f t="shared" si="32"/>
        <v>0</v>
      </c>
      <c r="L570" s="50">
        <f>Table_246[[#This Row],[Valor da 
venda]]-Table_246[[#This Row],[Valor gasto]]</f>
        <v>0</v>
      </c>
      <c r="M570" s="111">
        <f t="shared" si="31"/>
        <v>0</v>
      </c>
      <c r="N570" s="52"/>
      <c r="O570" t="str">
        <f>IF([1]!Table_246[[#This Row],[Coluna2]]&gt;0.5, "🔥 Excelente", IF([1]!Table_246[[#This Row],[Coluna2]]&gt;0.4, "👍 Bom", "⚠️ Baixo"))</f>
        <v>⚠️ Baixo</v>
      </c>
    </row>
    <row r="571" spans="1:15" ht="15" customHeight="1">
      <c r="A571" s="28" t="str">
        <f>IF(Table_246[[#This Row],[Data]]="","",MONTH(Table_246[[#This Row],[Data]]))</f>
        <v/>
      </c>
      <c r="B571" s="32"/>
      <c r="C571" s="36"/>
      <c r="D571" s="43"/>
      <c r="E571" s="48"/>
      <c r="F571" s="48"/>
      <c r="G571" s="49" t="str">
        <f>IFERROR(VLOOKUP(C571,PROD!$A$2:$E$1204,5,0),"0")</f>
        <v>0</v>
      </c>
      <c r="H571" s="10">
        <f>Table_246[[#This Row],[QT]]*Table_246[[#This Row],[Custo 
Un]]</f>
        <v>0</v>
      </c>
      <c r="I571" s="52"/>
      <c r="J571" s="263">
        <f t="shared" si="30"/>
        <v>0</v>
      </c>
      <c r="K571" s="10">
        <f t="shared" si="32"/>
        <v>0</v>
      </c>
      <c r="L571" s="50">
        <f>Table_246[[#This Row],[Valor da 
venda]]-Table_246[[#This Row],[Valor gasto]]</f>
        <v>0</v>
      </c>
      <c r="M571" s="111">
        <f t="shared" si="31"/>
        <v>0</v>
      </c>
      <c r="N571" s="52"/>
      <c r="O571" t="str">
        <f>IF([1]!Table_246[[#This Row],[Coluna2]]&gt;0.5, "🔥 Excelente", IF([1]!Table_246[[#This Row],[Coluna2]]&gt;0.4, "👍 Bom", "⚠️ Baixo"))</f>
        <v>⚠️ Baixo</v>
      </c>
    </row>
    <row r="572" spans="1:15" ht="15" customHeight="1">
      <c r="A572" s="28" t="str">
        <f>IF(Table_246[[#This Row],[Data]]="","",MONTH(Table_246[[#This Row],[Data]]))</f>
        <v/>
      </c>
      <c r="B572" s="32"/>
      <c r="C572" s="36"/>
      <c r="D572" s="43"/>
      <c r="E572" s="48"/>
      <c r="F572" s="48"/>
      <c r="G572" s="49" t="str">
        <f>IFERROR(VLOOKUP(C572,PROD!$A$2:$E$1204,5,0),"0")</f>
        <v>0</v>
      </c>
      <c r="H572" s="10">
        <f>Table_246[[#This Row],[QT]]*Table_246[[#This Row],[Custo 
Un]]</f>
        <v>0</v>
      </c>
      <c r="I572" s="52"/>
      <c r="J572" s="263">
        <f t="shared" si="30"/>
        <v>0</v>
      </c>
      <c r="K572" s="10">
        <f t="shared" si="32"/>
        <v>0</v>
      </c>
      <c r="L572" s="50">
        <f>Table_246[[#This Row],[Valor da 
venda]]-Table_246[[#This Row],[Valor gasto]]</f>
        <v>0</v>
      </c>
      <c r="M572" s="111">
        <f t="shared" si="31"/>
        <v>0</v>
      </c>
      <c r="N572" s="52"/>
      <c r="O572" t="str">
        <f>IF([1]!Table_246[[#This Row],[Coluna2]]&gt;0.5, "🔥 Excelente", IF([1]!Table_246[[#This Row],[Coluna2]]&gt;0.4, "👍 Bom", "⚠️ Baixo"))</f>
        <v>⚠️ Baixo</v>
      </c>
    </row>
    <row r="573" spans="1:15" ht="15" customHeight="1">
      <c r="A573" s="28" t="str">
        <f>IF(Table_246[[#This Row],[Data]]="","",MONTH(Table_246[[#This Row],[Data]]))</f>
        <v/>
      </c>
      <c r="B573" s="32"/>
      <c r="C573" s="36"/>
      <c r="D573" s="43"/>
      <c r="E573" s="48"/>
      <c r="F573" s="48"/>
      <c r="G573" s="49" t="str">
        <f>IFERROR(VLOOKUP(C573,PROD!$A$2:$E$1204,5,0),"0")</f>
        <v>0</v>
      </c>
      <c r="H573" s="10">
        <f>Table_246[[#This Row],[QT]]*Table_246[[#This Row],[Custo 
Un]]</f>
        <v>0</v>
      </c>
      <c r="I573" s="52"/>
      <c r="J573" s="263">
        <f t="shared" si="30"/>
        <v>0</v>
      </c>
      <c r="K573" s="10">
        <f t="shared" si="32"/>
        <v>0</v>
      </c>
      <c r="L573" s="50">
        <f>Table_246[[#This Row],[Valor da 
venda]]-Table_246[[#This Row],[Valor gasto]]</f>
        <v>0</v>
      </c>
      <c r="M573" s="111">
        <f t="shared" si="31"/>
        <v>0</v>
      </c>
      <c r="N573" s="52"/>
      <c r="O573" t="str">
        <f>IF([1]!Table_246[[#This Row],[Coluna2]]&gt;0.5, "🔥 Excelente", IF([1]!Table_246[[#This Row],[Coluna2]]&gt;0.4, "👍 Bom", "⚠️ Baixo"))</f>
        <v>⚠️ Baixo</v>
      </c>
    </row>
    <row r="574" spans="1:15" ht="15" customHeight="1">
      <c r="A574" s="28" t="str">
        <f>IF(Table_246[[#This Row],[Data]]="","",MONTH(Table_246[[#This Row],[Data]]))</f>
        <v/>
      </c>
      <c r="B574" s="76"/>
      <c r="C574" s="79"/>
      <c r="D574" s="43"/>
      <c r="E574" s="87"/>
      <c r="F574" s="87"/>
      <c r="G574" s="49" t="str">
        <f>IFERROR(VLOOKUP(C574,PROD!$A$2:$E$1204,5,0),"0")</f>
        <v>0</v>
      </c>
      <c r="H574" s="10">
        <f>Table_246[[#This Row],[QT]]*Table_246[[#This Row],[Custo 
Un]]</f>
        <v>0</v>
      </c>
      <c r="I574" s="92"/>
      <c r="J574" s="92">
        <f t="shared" si="30"/>
        <v>0</v>
      </c>
      <c r="K574" s="10">
        <f t="shared" si="32"/>
        <v>0</v>
      </c>
      <c r="L574" s="50">
        <f>Table_246[[#This Row],[Valor da 
venda]]-Table_246[[#This Row],[Valor gasto]]</f>
        <v>0</v>
      </c>
      <c r="M574" s="111">
        <f t="shared" si="31"/>
        <v>0</v>
      </c>
      <c r="N574" s="92"/>
      <c r="O574" t="str">
        <f>IF([1]!Table_246[[#This Row],[Coluna2]]&gt;0.5, "🔥 Excelente", IF([1]!Table_246[[#This Row],[Coluna2]]&gt;0.4, "👍 Bom", "⚠️ Baixo"))</f>
        <v>⚠️ Baixo</v>
      </c>
    </row>
    <row r="575" spans="1:15" ht="15" customHeight="1">
      <c r="A575" s="28" t="str">
        <f>IF(Table_246[[#This Row],[Data]]="","",MONTH(Table_246[[#This Row],[Data]]))</f>
        <v/>
      </c>
      <c r="B575" s="32"/>
      <c r="C575" s="36"/>
      <c r="D575" s="43"/>
      <c r="E575" s="48"/>
      <c r="F575" s="48"/>
      <c r="G575" s="49" t="str">
        <f>IFERROR(VLOOKUP(C575,PROD!$A$2:$E$1204,5,0),"0")</f>
        <v>0</v>
      </c>
      <c r="H575" s="10">
        <f>Table_246[[#This Row],[QT]]*Table_246[[#This Row],[Custo 
Un]]</f>
        <v>0</v>
      </c>
      <c r="I575" s="52"/>
      <c r="J575" s="263">
        <f t="shared" si="30"/>
        <v>0</v>
      </c>
      <c r="K575" s="10">
        <f t="shared" si="32"/>
        <v>0</v>
      </c>
      <c r="L575" s="50">
        <f>Table_246[[#This Row],[Valor da 
venda]]-Table_246[[#This Row],[Valor gasto]]</f>
        <v>0</v>
      </c>
      <c r="M575" s="111">
        <f t="shared" si="31"/>
        <v>0</v>
      </c>
      <c r="N575" s="52"/>
      <c r="O575" t="str">
        <f>IF([1]!Table_246[[#This Row],[Coluna2]]&gt;0.5, "🔥 Excelente", IF([1]!Table_246[[#This Row],[Coluna2]]&gt;0.4, "👍 Bom", "⚠️ Baixo"))</f>
        <v>⚠️ Baixo</v>
      </c>
    </row>
    <row r="576" spans="1:15" ht="15" customHeight="1">
      <c r="A576" s="28" t="str">
        <f>IF(Table_246[[#This Row],[Data]]="","",MONTH(Table_246[[#This Row],[Data]]))</f>
        <v/>
      </c>
      <c r="B576" s="32"/>
      <c r="C576" s="36"/>
      <c r="D576" s="43"/>
      <c r="E576" s="48"/>
      <c r="F576" s="48"/>
      <c r="G576" s="49" t="str">
        <f>IFERROR(VLOOKUP(C576,PROD!$A$2:$E$1204,5,0),"0")</f>
        <v>0</v>
      </c>
      <c r="H576" s="10">
        <f>Table_246[[#This Row],[QT]]*Table_246[[#This Row],[Custo 
Un]]</f>
        <v>0</v>
      </c>
      <c r="I576" s="52"/>
      <c r="J576" s="263">
        <f t="shared" si="30"/>
        <v>0</v>
      </c>
      <c r="K576" s="10">
        <f t="shared" si="32"/>
        <v>0</v>
      </c>
      <c r="L576" s="50">
        <f>Table_246[[#This Row],[Valor da 
venda]]-Table_246[[#This Row],[Valor gasto]]</f>
        <v>0</v>
      </c>
      <c r="M576" s="111">
        <f t="shared" si="31"/>
        <v>0</v>
      </c>
      <c r="N576" s="52"/>
      <c r="O576" t="str">
        <f>IF([1]!Table_246[[#This Row],[Coluna2]]&gt;0.5, "🔥 Excelente", IF([1]!Table_246[[#This Row],[Coluna2]]&gt;0.4, "👍 Bom", "⚠️ Baixo"))</f>
        <v>⚠️ Baixo</v>
      </c>
    </row>
    <row r="577" spans="1:15" ht="15" customHeight="1">
      <c r="A577" s="28" t="str">
        <f>IF(Table_246[[#This Row],[Data]]="","",MONTH(Table_246[[#This Row],[Data]]))</f>
        <v/>
      </c>
      <c r="B577" s="32"/>
      <c r="C577" s="36"/>
      <c r="D577" s="43"/>
      <c r="E577" s="48"/>
      <c r="F577" s="48"/>
      <c r="G577" s="49" t="str">
        <f>IFERROR(VLOOKUP(C577,PROD!$A$2:$E$1204,5,0),"0")</f>
        <v>0</v>
      </c>
      <c r="H577" s="10">
        <f>Table_246[[#This Row],[QT]]*Table_246[[#This Row],[Custo 
Un]]</f>
        <v>0</v>
      </c>
      <c r="I577" s="52"/>
      <c r="J577" s="263">
        <f t="shared" si="30"/>
        <v>0</v>
      </c>
      <c r="K577" s="10">
        <f t="shared" si="32"/>
        <v>0</v>
      </c>
      <c r="L577" s="50">
        <f>Table_246[[#This Row],[Valor da 
venda]]-Table_246[[#This Row],[Valor gasto]]</f>
        <v>0</v>
      </c>
      <c r="M577" s="111">
        <f t="shared" si="31"/>
        <v>0</v>
      </c>
      <c r="N577" s="52"/>
      <c r="O577" t="str">
        <f>IF([1]!Table_246[[#This Row],[Coluna2]]&gt;0.5, "🔥 Excelente", IF([1]!Table_246[[#This Row],[Coluna2]]&gt;0.4, "👍 Bom", "⚠️ Baixo"))</f>
        <v>⚠️ Baixo</v>
      </c>
    </row>
    <row r="578" spans="1:15" ht="15" customHeight="1">
      <c r="A578" s="28" t="str">
        <f>IF(Table_246[[#This Row],[Data]]="","",MONTH(Table_246[[#This Row],[Data]]))</f>
        <v/>
      </c>
      <c r="B578" s="32"/>
      <c r="C578" s="36"/>
      <c r="D578" s="43"/>
      <c r="E578" s="48"/>
      <c r="F578" s="48"/>
      <c r="G578" s="49" t="str">
        <f>IFERROR(VLOOKUP(C578,PROD!$A$2:$E$1204,5,0),"0")</f>
        <v>0</v>
      </c>
      <c r="H578" s="10">
        <f>Table_246[[#This Row],[QT]]*Table_246[[#This Row],[Custo 
Un]]</f>
        <v>0</v>
      </c>
      <c r="I578" s="52"/>
      <c r="J578" s="263">
        <f t="shared" ref="J578:J641" si="33">I578*D578</f>
        <v>0</v>
      </c>
      <c r="K578" s="10">
        <f t="shared" si="32"/>
        <v>0</v>
      </c>
      <c r="L578" s="50">
        <f>Table_246[[#This Row],[Valor da 
venda]]-Table_246[[#This Row],[Valor gasto]]</f>
        <v>0</v>
      </c>
      <c r="M578" s="111">
        <f t="shared" si="31"/>
        <v>0</v>
      </c>
      <c r="N578" s="52"/>
      <c r="O578" t="str">
        <f>IF([1]!Table_246[[#This Row],[Coluna2]]&gt;0.5, "🔥 Excelente", IF([1]!Table_246[[#This Row],[Coluna2]]&gt;0.4, "👍 Bom", "⚠️ Baixo"))</f>
        <v>⚠️ Baixo</v>
      </c>
    </row>
    <row r="579" spans="1:15" ht="15" customHeight="1">
      <c r="A579" s="28" t="str">
        <f>IF(Table_246[[#This Row],[Data]]="","",MONTH(Table_246[[#This Row],[Data]]))</f>
        <v/>
      </c>
      <c r="B579" s="32"/>
      <c r="C579" s="36"/>
      <c r="D579" s="43"/>
      <c r="E579" s="48"/>
      <c r="F579" s="48"/>
      <c r="G579" s="49" t="str">
        <f>IFERROR(VLOOKUP(C579,PROD!$A$2:$E$1204,5,0),"0")</f>
        <v>0</v>
      </c>
      <c r="H579" s="10">
        <f>Table_246[[#This Row],[QT]]*Table_246[[#This Row],[Custo 
Un]]</f>
        <v>0</v>
      </c>
      <c r="I579" s="52"/>
      <c r="J579" s="263">
        <f t="shared" si="33"/>
        <v>0</v>
      </c>
      <c r="K579" s="10">
        <f t="shared" si="32"/>
        <v>0</v>
      </c>
      <c r="L579" s="50">
        <f>Table_246[[#This Row],[Valor da 
venda]]-Table_246[[#This Row],[Valor gasto]]</f>
        <v>0</v>
      </c>
      <c r="M579" s="111">
        <f t="shared" si="31"/>
        <v>0</v>
      </c>
      <c r="N579" s="52"/>
      <c r="O579" t="str">
        <f>IF([1]!Table_246[[#This Row],[Coluna2]]&gt;0.5, "🔥 Excelente", IF([1]!Table_246[[#This Row],[Coluna2]]&gt;0.4, "👍 Bom", "⚠️ Baixo"))</f>
        <v>⚠️ Baixo</v>
      </c>
    </row>
    <row r="580" spans="1:15" ht="15" customHeight="1">
      <c r="A580" s="28" t="str">
        <f>IF(Table_246[[#This Row],[Data]]="","",MONTH(Table_246[[#This Row],[Data]]))</f>
        <v/>
      </c>
      <c r="B580" s="32"/>
      <c r="C580" s="36"/>
      <c r="D580" s="43"/>
      <c r="E580" s="48"/>
      <c r="F580" s="48"/>
      <c r="G580" s="49" t="str">
        <f>IFERROR(VLOOKUP(C580,PROD!$A$2:$E$1204,5,0),"0")</f>
        <v>0</v>
      </c>
      <c r="H580" s="10">
        <f>Table_246[[#This Row],[QT]]*Table_246[[#This Row],[Custo 
Un]]</f>
        <v>0</v>
      </c>
      <c r="I580" s="52"/>
      <c r="J580" s="263">
        <f t="shared" si="33"/>
        <v>0</v>
      </c>
      <c r="K580" s="10">
        <f t="shared" si="32"/>
        <v>0</v>
      </c>
      <c r="L580" s="50">
        <f>Table_246[[#This Row],[Valor da 
venda]]-Table_246[[#This Row],[Valor gasto]]</f>
        <v>0</v>
      </c>
      <c r="M580" s="111">
        <f t="shared" si="31"/>
        <v>0</v>
      </c>
      <c r="N580" s="52"/>
      <c r="O580" t="str">
        <f>IF([1]!Table_246[[#This Row],[Coluna2]]&gt;0.5, "🔥 Excelente", IF([1]!Table_246[[#This Row],[Coluna2]]&gt;0.4, "👍 Bom", "⚠️ Baixo"))</f>
        <v>⚠️ Baixo</v>
      </c>
    </row>
    <row r="581" spans="1:15" ht="15" customHeight="1">
      <c r="A581" s="28" t="str">
        <f>IF(Table_246[[#This Row],[Data]]="","",MONTH(Table_246[[#This Row],[Data]]))</f>
        <v/>
      </c>
      <c r="B581" s="76"/>
      <c r="C581" s="79"/>
      <c r="D581" s="43"/>
      <c r="E581" s="87"/>
      <c r="F581" s="87"/>
      <c r="G581" s="49" t="str">
        <f>IFERROR(VLOOKUP(C581,PROD!$A$2:$E$1204,5,0),"0")</f>
        <v>0</v>
      </c>
      <c r="H581" s="10">
        <f>Table_246[[#This Row],[QT]]*Table_246[[#This Row],[Custo 
Un]]</f>
        <v>0</v>
      </c>
      <c r="I581" s="92"/>
      <c r="J581" s="92">
        <f t="shared" si="33"/>
        <v>0</v>
      </c>
      <c r="K581" s="10">
        <f t="shared" si="32"/>
        <v>0</v>
      </c>
      <c r="L581" s="50">
        <f>Table_246[[#This Row],[Valor da 
venda]]-Table_246[[#This Row],[Valor gasto]]</f>
        <v>0</v>
      </c>
      <c r="M581" s="111">
        <f t="shared" ref="M581:M644" si="34">IFERROR(L581/K581, 0)</f>
        <v>0</v>
      </c>
      <c r="N581" s="92"/>
      <c r="O581" t="str">
        <f>IF([1]!Table_246[[#This Row],[Coluna2]]&gt;0.5, "🔥 Excelente", IF([1]!Table_246[[#This Row],[Coluna2]]&gt;0.4, "👍 Bom", "⚠️ Baixo"))</f>
        <v>⚠️ Baixo</v>
      </c>
    </row>
    <row r="582" spans="1:15" ht="15" customHeight="1">
      <c r="A582" s="28" t="str">
        <f>IF(Table_246[[#This Row],[Data]]="","",MONTH(Table_246[[#This Row],[Data]]))</f>
        <v/>
      </c>
      <c r="B582" s="32"/>
      <c r="C582" s="36"/>
      <c r="D582" s="43"/>
      <c r="E582" s="48"/>
      <c r="F582" s="48"/>
      <c r="G582" s="49" t="str">
        <f>IFERROR(VLOOKUP(C582,PROD!$A$2:$E$1204,5,0),"0")</f>
        <v>0</v>
      </c>
      <c r="H582" s="10">
        <f>Table_246[[#This Row],[QT]]*Table_246[[#This Row],[Custo 
Un]]</f>
        <v>0</v>
      </c>
      <c r="I582" s="52"/>
      <c r="J582" s="263">
        <f t="shared" si="33"/>
        <v>0</v>
      </c>
      <c r="K582" s="10">
        <f t="shared" si="32"/>
        <v>0</v>
      </c>
      <c r="L582" s="50">
        <f>Table_246[[#This Row],[Valor da 
venda]]-Table_246[[#This Row],[Valor gasto]]</f>
        <v>0</v>
      </c>
      <c r="M582" s="111">
        <f t="shared" si="34"/>
        <v>0</v>
      </c>
      <c r="N582" s="52"/>
      <c r="O582" t="str">
        <f>IF([1]!Table_246[[#This Row],[Coluna2]]&gt;0.5, "🔥 Excelente", IF([1]!Table_246[[#This Row],[Coluna2]]&gt;0.4, "👍 Bom", "⚠️ Baixo"))</f>
        <v>⚠️ Baixo</v>
      </c>
    </row>
    <row r="583" spans="1:15" ht="15" customHeight="1">
      <c r="A583" s="28" t="str">
        <f>IF(Table_246[[#This Row],[Data]]="","",MONTH(Table_246[[#This Row],[Data]]))</f>
        <v/>
      </c>
      <c r="B583" s="32"/>
      <c r="C583" s="36"/>
      <c r="D583" s="43"/>
      <c r="E583" s="48"/>
      <c r="F583" s="48"/>
      <c r="G583" s="49" t="str">
        <f>IFERROR(VLOOKUP(C583,PROD!$A$2:$E$1204,5,0),"0")</f>
        <v>0</v>
      </c>
      <c r="H583" s="10">
        <f>Table_246[[#This Row],[QT]]*Table_246[[#This Row],[Custo 
Un]]</f>
        <v>0</v>
      </c>
      <c r="I583" s="52"/>
      <c r="J583" s="263">
        <f t="shared" si="33"/>
        <v>0</v>
      </c>
      <c r="K583" s="10">
        <f t="shared" si="32"/>
        <v>0</v>
      </c>
      <c r="L583" s="50">
        <f>Table_246[[#This Row],[Valor da 
venda]]-Table_246[[#This Row],[Valor gasto]]</f>
        <v>0</v>
      </c>
      <c r="M583" s="111">
        <f t="shared" si="34"/>
        <v>0</v>
      </c>
      <c r="N583" s="52"/>
      <c r="O583" t="str">
        <f>IF([1]!Table_246[[#This Row],[Coluna2]]&gt;0.5, "🔥 Excelente", IF([1]!Table_246[[#This Row],[Coluna2]]&gt;0.4, "👍 Bom", "⚠️ Baixo"))</f>
        <v>⚠️ Baixo</v>
      </c>
    </row>
    <row r="584" spans="1:15" ht="15" customHeight="1">
      <c r="A584" s="28" t="str">
        <f>IF(Table_246[[#This Row],[Data]]="","",MONTH(Table_246[[#This Row],[Data]]))</f>
        <v/>
      </c>
      <c r="B584" s="32"/>
      <c r="C584" s="36"/>
      <c r="D584" s="43"/>
      <c r="E584" s="48"/>
      <c r="F584" s="48"/>
      <c r="G584" s="49" t="str">
        <f>IFERROR(VLOOKUP(C584,PROD!$A$2:$E$1204,5,0),"0")</f>
        <v>0</v>
      </c>
      <c r="H584" s="10">
        <f>Table_246[[#This Row],[QT]]*Table_246[[#This Row],[Custo 
Un]]</f>
        <v>0</v>
      </c>
      <c r="I584" s="52"/>
      <c r="J584" s="263">
        <f t="shared" si="33"/>
        <v>0</v>
      </c>
      <c r="K584" s="10">
        <f t="shared" si="32"/>
        <v>0</v>
      </c>
      <c r="L584" s="50">
        <f>Table_246[[#This Row],[Valor da 
venda]]-Table_246[[#This Row],[Valor gasto]]</f>
        <v>0</v>
      </c>
      <c r="M584" s="111">
        <f t="shared" si="34"/>
        <v>0</v>
      </c>
      <c r="N584" s="52"/>
      <c r="O584" t="str">
        <f>IF([1]!Table_246[[#This Row],[Coluna2]]&gt;0.5, "🔥 Excelente", IF([1]!Table_246[[#This Row],[Coluna2]]&gt;0.4, "👍 Bom", "⚠️ Baixo"))</f>
        <v>⚠️ Baixo</v>
      </c>
    </row>
    <row r="585" spans="1:15" ht="15" customHeight="1">
      <c r="A585" s="28" t="str">
        <f>IF(Table_246[[#This Row],[Data]]="","",MONTH(Table_246[[#This Row],[Data]]))</f>
        <v/>
      </c>
      <c r="B585" s="32"/>
      <c r="C585" s="36"/>
      <c r="D585" s="43"/>
      <c r="E585" s="48"/>
      <c r="F585" s="48"/>
      <c r="G585" s="49" t="str">
        <f>IFERROR(VLOOKUP(C585,PROD!$A$2:$E$1204,5,0),"0")</f>
        <v>0</v>
      </c>
      <c r="H585" s="10">
        <f>Table_246[[#This Row],[QT]]*Table_246[[#This Row],[Custo 
Un]]</f>
        <v>0</v>
      </c>
      <c r="I585" s="52"/>
      <c r="J585" s="263">
        <f t="shared" si="33"/>
        <v>0</v>
      </c>
      <c r="K585" s="10">
        <f t="shared" si="32"/>
        <v>0</v>
      </c>
      <c r="L585" s="50">
        <f>Table_246[[#This Row],[Valor da 
venda]]-Table_246[[#This Row],[Valor gasto]]</f>
        <v>0</v>
      </c>
      <c r="M585" s="111">
        <f t="shared" si="34"/>
        <v>0</v>
      </c>
      <c r="N585" s="52"/>
      <c r="O585" t="str">
        <f>IF([1]!Table_246[[#This Row],[Coluna2]]&gt;0.5, "🔥 Excelente", IF([1]!Table_246[[#This Row],[Coluna2]]&gt;0.4, "👍 Bom", "⚠️ Baixo"))</f>
        <v>⚠️ Baixo</v>
      </c>
    </row>
    <row r="586" spans="1:15" ht="15" customHeight="1">
      <c r="A586" s="28" t="str">
        <f>IF(Table_246[[#This Row],[Data]]="","",MONTH(Table_246[[#This Row],[Data]]))</f>
        <v/>
      </c>
      <c r="B586" s="32"/>
      <c r="C586" s="36"/>
      <c r="D586" s="43"/>
      <c r="E586" s="48"/>
      <c r="F586" s="48"/>
      <c r="G586" s="49" t="str">
        <f>IFERROR(VLOOKUP(C586,PROD!$A$2:$E$1204,5,0),"0")</f>
        <v>0</v>
      </c>
      <c r="H586" s="10">
        <f>Table_246[[#This Row],[QT]]*Table_246[[#This Row],[Custo 
Un]]</f>
        <v>0</v>
      </c>
      <c r="I586" s="52"/>
      <c r="J586" s="263">
        <f t="shared" si="33"/>
        <v>0</v>
      </c>
      <c r="K586" s="10">
        <f t="shared" si="32"/>
        <v>0</v>
      </c>
      <c r="L586" s="50">
        <f>Table_246[[#This Row],[Valor da 
venda]]-Table_246[[#This Row],[Valor gasto]]</f>
        <v>0</v>
      </c>
      <c r="M586" s="111">
        <f t="shared" si="34"/>
        <v>0</v>
      </c>
      <c r="N586" s="52"/>
      <c r="O586" t="str">
        <f>IF([1]!Table_246[[#This Row],[Coluna2]]&gt;0.5, "🔥 Excelente", IF([1]!Table_246[[#This Row],[Coluna2]]&gt;0.4, "👍 Bom", "⚠️ Baixo"))</f>
        <v>⚠️ Baixo</v>
      </c>
    </row>
    <row r="587" spans="1:15" ht="15" customHeight="1">
      <c r="A587" s="28" t="str">
        <f>IF(Table_246[[#This Row],[Data]]="","",MONTH(Table_246[[#This Row],[Data]]))</f>
        <v/>
      </c>
      <c r="B587" s="32"/>
      <c r="C587" s="36"/>
      <c r="D587" s="43"/>
      <c r="E587" s="48"/>
      <c r="F587" s="48"/>
      <c r="G587" s="49" t="str">
        <f>IFERROR(VLOOKUP(C587,PROD!$A$2:$E$1204,5,0),"0")</f>
        <v>0</v>
      </c>
      <c r="H587" s="10">
        <f>Table_246[[#This Row],[QT]]*Table_246[[#This Row],[Custo 
Un]]</f>
        <v>0</v>
      </c>
      <c r="I587" s="52"/>
      <c r="J587" s="263">
        <f t="shared" si="33"/>
        <v>0</v>
      </c>
      <c r="K587" s="10">
        <f t="shared" si="32"/>
        <v>0</v>
      </c>
      <c r="L587" s="50">
        <f>Table_246[[#This Row],[Valor da 
venda]]-Table_246[[#This Row],[Valor gasto]]</f>
        <v>0</v>
      </c>
      <c r="M587" s="111">
        <f t="shared" si="34"/>
        <v>0</v>
      </c>
      <c r="N587" s="52"/>
      <c r="O587" t="str">
        <f>IF([1]!Table_246[[#This Row],[Coluna2]]&gt;0.5, "🔥 Excelente", IF([1]!Table_246[[#This Row],[Coluna2]]&gt;0.4, "👍 Bom", "⚠️ Baixo"))</f>
        <v>⚠️ Baixo</v>
      </c>
    </row>
    <row r="588" spans="1:15" ht="15" customHeight="1">
      <c r="A588" s="28" t="str">
        <f>IF(Table_246[[#This Row],[Data]]="","",MONTH(Table_246[[#This Row],[Data]]))</f>
        <v/>
      </c>
      <c r="B588" s="76"/>
      <c r="C588" s="79"/>
      <c r="D588" s="43"/>
      <c r="E588" s="87"/>
      <c r="F588" s="87"/>
      <c r="G588" s="49" t="str">
        <f>IFERROR(VLOOKUP(C588,PROD!$A$2:$E$1204,5,0),"0")</f>
        <v>0</v>
      </c>
      <c r="H588" s="10">
        <f>Table_246[[#This Row],[QT]]*Table_246[[#This Row],[Custo 
Un]]</f>
        <v>0</v>
      </c>
      <c r="I588" s="92"/>
      <c r="J588" s="92">
        <f t="shared" si="33"/>
        <v>0</v>
      </c>
      <c r="K588" s="10">
        <f t="shared" si="32"/>
        <v>0</v>
      </c>
      <c r="L588" s="50">
        <f>Table_246[[#This Row],[Valor da 
venda]]-Table_246[[#This Row],[Valor gasto]]</f>
        <v>0</v>
      </c>
      <c r="M588" s="111">
        <f t="shared" si="34"/>
        <v>0</v>
      </c>
      <c r="N588" s="92"/>
      <c r="O588" t="str">
        <f>IF([1]!Table_246[[#This Row],[Coluna2]]&gt;0.5, "🔥 Excelente", IF([1]!Table_246[[#This Row],[Coluna2]]&gt;0.4, "👍 Bom", "⚠️ Baixo"))</f>
        <v>⚠️ Baixo</v>
      </c>
    </row>
    <row r="589" spans="1:15" ht="15" customHeight="1">
      <c r="A589" s="28" t="str">
        <f>IF(Table_246[[#This Row],[Data]]="","",MONTH(Table_246[[#This Row],[Data]]))</f>
        <v/>
      </c>
      <c r="B589" s="32"/>
      <c r="C589" s="36"/>
      <c r="D589" s="43"/>
      <c r="E589" s="48"/>
      <c r="F589" s="48"/>
      <c r="G589" s="49" t="str">
        <f>IFERROR(VLOOKUP(C589,PROD!$A$2:$E$1204,5,0),"0")</f>
        <v>0</v>
      </c>
      <c r="H589" s="10">
        <f>Table_246[[#This Row],[QT]]*Table_246[[#This Row],[Custo 
Un]]</f>
        <v>0</v>
      </c>
      <c r="I589" s="52"/>
      <c r="J589" s="263">
        <f t="shared" si="33"/>
        <v>0</v>
      </c>
      <c r="K589" s="10">
        <f t="shared" si="32"/>
        <v>0</v>
      </c>
      <c r="L589" s="50">
        <f>Table_246[[#This Row],[Valor da 
venda]]-Table_246[[#This Row],[Valor gasto]]</f>
        <v>0</v>
      </c>
      <c r="M589" s="111">
        <f t="shared" si="34"/>
        <v>0</v>
      </c>
      <c r="N589" s="52"/>
      <c r="O589" t="str">
        <f>IF([1]!Table_246[[#This Row],[Coluna2]]&gt;0.5, "🔥 Excelente", IF([1]!Table_246[[#This Row],[Coluna2]]&gt;0.4, "👍 Bom", "⚠️ Baixo"))</f>
        <v>⚠️ Baixo</v>
      </c>
    </row>
    <row r="590" spans="1:15" ht="15" customHeight="1">
      <c r="A590" s="28" t="str">
        <f>IF(Table_246[[#This Row],[Data]]="","",MONTH(Table_246[[#This Row],[Data]]))</f>
        <v/>
      </c>
      <c r="B590" s="32"/>
      <c r="C590" s="36"/>
      <c r="D590" s="43"/>
      <c r="E590" s="48"/>
      <c r="F590" s="48"/>
      <c r="G590" s="49" t="str">
        <f>IFERROR(VLOOKUP(C590,PROD!$A$2:$E$1204,5,0),"0")</f>
        <v>0</v>
      </c>
      <c r="H590" s="10">
        <f>Table_246[[#This Row],[QT]]*Table_246[[#This Row],[Custo 
Un]]</f>
        <v>0</v>
      </c>
      <c r="I590" s="52"/>
      <c r="J590" s="263">
        <f t="shared" si="33"/>
        <v>0</v>
      </c>
      <c r="K590" s="10">
        <f t="shared" si="32"/>
        <v>0</v>
      </c>
      <c r="L590" s="50">
        <f>Table_246[[#This Row],[Valor da 
venda]]-Table_246[[#This Row],[Valor gasto]]</f>
        <v>0</v>
      </c>
      <c r="M590" s="111">
        <f t="shared" si="34"/>
        <v>0</v>
      </c>
      <c r="N590" s="52"/>
      <c r="O590" t="str">
        <f>IF([1]!Table_246[[#This Row],[Coluna2]]&gt;0.5, "🔥 Excelente", IF([1]!Table_246[[#This Row],[Coluna2]]&gt;0.4, "👍 Bom", "⚠️ Baixo"))</f>
        <v>⚠️ Baixo</v>
      </c>
    </row>
    <row r="591" spans="1:15" ht="15" customHeight="1">
      <c r="A591" s="28" t="str">
        <f>IF(Table_246[[#This Row],[Data]]="","",MONTH(Table_246[[#This Row],[Data]]))</f>
        <v/>
      </c>
      <c r="B591" s="32"/>
      <c r="C591" s="36"/>
      <c r="D591" s="43"/>
      <c r="E591" s="48"/>
      <c r="F591" s="48"/>
      <c r="G591" s="49" t="str">
        <f>IFERROR(VLOOKUP(C591,PROD!$A$2:$E$1204,5,0),"0")</f>
        <v>0</v>
      </c>
      <c r="H591" s="10">
        <f>Table_246[[#This Row],[QT]]*Table_246[[#This Row],[Custo 
Un]]</f>
        <v>0</v>
      </c>
      <c r="I591" s="52"/>
      <c r="J591" s="263">
        <f t="shared" si="33"/>
        <v>0</v>
      </c>
      <c r="K591" s="10">
        <f t="shared" si="32"/>
        <v>0</v>
      </c>
      <c r="L591" s="50">
        <f>Table_246[[#This Row],[Valor da 
venda]]-Table_246[[#This Row],[Valor gasto]]</f>
        <v>0</v>
      </c>
      <c r="M591" s="111">
        <f t="shared" si="34"/>
        <v>0</v>
      </c>
      <c r="N591" s="52"/>
      <c r="O591" t="str">
        <f>IF([1]!Table_246[[#This Row],[Coluna2]]&gt;0.5, "🔥 Excelente", IF([1]!Table_246[[#This Row],[Coluna2]]&gt;0.4, "👍 Bom", "⚠️ Baixo"))</f>
        <v>⚠️ Baixo</v>
      </c>
    </row>
    <row r="592" spans="1:15" ht="15" customHeight="1">
      <c r="A592" s="28" t="str">
        <f>IF(Table_246[[#This Row],[Data]]="","",MONTH(Table_246[[#This Row],[Data]]))</f>
        <v/>
      </c>
      <c r="B592" s="76"/>
      <c r="C592" s="79"/>
      <c r="D592" s="43"/>
      <c r="E592" s="87"/>
      <c r="F592" s="87"/>
      <c r="G592" s="49" t="str">
        <f>IFERROR(VLOOKUP(C592,PROD!$A$2:$E$1204,5,0),"0")</f>
        <v>0</v>
      </c>
      <c r="H592" s="10">
        <f>Table_246[[#This Row],[QT]]*Table_246[[#This Row],[Custo 
Un]]</f>
        <v>0</v>
      </c>
      <c r="I592" s="92"/>
      <c r="J592" s="92">
        <f t="shared" si="33"/>
        <v>0</v>
      </c>
      <c r="K592" s="10">
        <f t="shared" si="32"/>
        <v>0</v>
      </c>
      <c r="L592" s="50">
        <f>Table_246[[#This Row],[Valor da 
venda]]-Table_246[[#This Row],[Valor gasto]]</f>
        <v>0</v>
      </c>
      <c r="M592" s="111">
        <f t="shared" si="34"/>
        <v>0</v>
      </c>
      <c r="N592" s="92"/>
      <c r="O592" t="str">
        <f>IF([1]!Table_246[[#This Row],[Coluna2]]&gt;0.5, "🔥 Excelente", IF([1]!Table_246[[#This Row],[Coluna2]]&gt;0.4, "👍 Bom", "⚠️ Baixo"))</f>
        <v>⚠️ Baixo</v>
      </c>
    </row>
    <row r="593" spans="1:15" ht="15" customHeight="1">
      <c r="A593" s="28" t="str">
        <f>IF(Table_246[[#This Row],[Data]]="","",MONTH(Table_246[[#This Row],[Data]]))</f>
        <v/>
      </c>
      <c r="B593" s="32"/>
      <c r="C593" s="36"/>
      <c r="D593" s="43"/>
      <c r="E593" s="48"/>
      <c r="F593" s="48"/>
      <c r="G593" s="49" t="str">
        <f>IFERROR(VLOOKUP(C593,PROD!$A$2:$E$1204,5,0),"0")</f>
        <v>0</v>
      </c>
      <c r="H593" s="10">
        <f>Table_246[[#This Row],[QT]]*Table_246[[#This Row],[Custo 
Un]]</f>
        <v>0</v>
      </c>
      <c r="I593" s="52"/>
      <c r="J593" s="263">
        <f t="shared" si="33"/>
        <v>0</v>
      </c>
      <c r="K593" s="10">
        <f t="shared" si="32"/>
        <v>0</v>
      </c>
      <c r="L593" s="50">
        <f>Table_246[[#This Row],[Valor da 
venda]]-Table_246[[#This Row],[Valor gasto]]</f>
        <v>0</v>
      </c>
      <c r="M593" s="111">
        <f t="shared" si="34"/>
        <v>0</v>
      </c>
      <c r="N593" s="52"/>
      <c r="O593" t="str">
        <f>IF([1]!Table_246[[#This Row],[Coluna2]]&gt;0.5, "🔥 Excelente", IF([1]!Table_246[[#This Row],[Coluna2]]&gt;0.4, "👍 Bom", "⚠️ Baixo"))</f>
        <v>⚠️ Baixo</v>
      </c>
    </row>
    <row r="594" spans="1:15" ht="15" customHeight="1">
      <c r="A594" s="28" t="str">
        <f>IF(Table_246[[#This Row],[Data]]="","",MONTH(Table_246[[#This Row],[Data]]))</f>
        <v/>
      </c>
      <c r="B594" s="32"/>
      <c r="C594" s="36"/>
      <c r="D594" s="43"/>
      <c r="E594" s="48"/>
      <c r="F594" s="48"/>
      <c r="G594" s="49" t="str">
        <f>IFERROR(VLOOKUP(C594,PROD!$A$2:$E$1204,5,0),"0")</f>
        <v>0</v>
      </c>
      <c r="H594" s="10">
        <f>Table_246[[#This Row],[QT]]*Table_246[[#This Row],[Custo 
Un]]</f>
        <v>0</v>
      </c>
      <c r="I594" s="52"/>
      <c r="J594" s="263">
        <f t="shared" si="33"/>
        <v>0</v>
      </c>
      <c r="K594" s="10">
        <f t="shared" si="32"/>
        <v>0</v>
      </c>
      <c r="L594" s="50">
        <f>Table_246[[#This Row],[Valor da 
venda]]-Table_246[[#This Row],[Valor gasto]]</f>
        <v>0</v>
      </c>
      <c r="M594" s="111">
        <f t="shared" si="34"/>
        <v>0</v>
      </c>
      <c r="N594" s="52"/>
      <c r="O594" t="str">
        <f>IF([1]!Table_246[[#This Row],[Coluna2]]&gt;0.5, "🔥 Excelente", IF([1]!Table_246[[#This Row],[Coluna2]]&gt;0.4, "👍 Bom", "⚠️ Baixo"))</f>
        <v>⚠️ Baixo</v>
      </c>
    </row>
    <row r="595" spans="1:15" ht="15" customHeight="1">
      <c r="A595" s="28" t="str">
        <f>IF(Table_246[[#This Row],[Data]]="","",MONTH(Table_246[[#This Row],[Data]]))</f>
        <v/>
      </c>
      <c r="B595" s="32"/>
      <c r="C595" s="36"/>
      <c r="D595" s="43"/>
      <c r="E595" s="48"/>
      <c r="F595" s="48"/>
      <c r="G595" s="49" t="str">
        <f>IFERROR(VLOOKUP(C595,PROD!$A$2:$E$1204,5,0),"0")</f>
        <v>0</v>
      </c>
      <c r="H595" s="10">
        <f>Table_246[[#This Row],[QT]]*Table_246[[#This Row],[Custo 
Un]]</f>
        <v>0</v>
      </c>
      <c r="I595" s="52"/>
      <c r="J595" s="263">
        <f t="shared" si="33"/>
        <v>0</v>
      </c>
      <c r="K595" s="10">
        <f t="shared" si="32"/>
        <v>0</v>
      </c>
      <c r="L595" s="50">
        <f>Table_246[[#This Row],[Valor da 
venda]]-Table_246[[#This Row],[Valor gasto]]</f>
        <v>0</v>
      </c>
      <c r="M595" s="111">
        <f t="shared" si="34"/>
        <v>0</v>
      </c>
      <c r="N595" s="52"/>
      <c r="O595" t="str">
        <f>IF([1]!Table_246[[#This Row],[Coluna2]]&gt;0.5, "🔥 Excelente", IF([1]!Table_246[[#This Row],[Coluna2]]&gt;0.4, "👍 Bom", "⚠️ Baixo"))</f>
        <v>⚠️ Baixo</v>
      </c>
    </row>
    <row r="596" spans="1:15" ht="15" customHeight="1">
      <c r="A596" s="28" t="str">
        <f>IF(Table_246[[#This Row],[Data]]="","",MONTH(Table_246[[#This Row],[Data]]))</f>
        <v/>
      </c>
      <c r="B596" s="32"/>
      <c r="C596" s="36"/>
      <c r="D596" s="43"/>
      <c r="E596" s="48"/>
      <c r="F596" s="48"/>
      <c r="G596" s="49" t="str">
        <f>IFERROR(VLOOKUP(C596,PROD!$A$2:$E$1204,5,0),"0")</f>
        <v>0</v>
      </c>
      <c r="H596" s="10">
        <f>Table_246[[#This Row],[QT]]*Table_246[[#This Row],[Custo 
Un]]</f>
        <v>0</v>
      </c>
      <c r="I596" s="52"/>
      <c r="J596" s="263">
        <f t="shared" si="33"/>
        <v>0</v>
      </c>
      <c r="K596" s="10">
        <f t="shared" si="32"/>
        <v>0</v>
      </c>
      <c r="L596" s="50">
        <f>Table_246[[#This Row],[Valor da 
venda]]-Table_246[[#This Row],[Valor gasto]]</f>
        <v>0</v>
      </c>
      <c r="M596" s="111">
        <f t="shared" si="34"/>
        <v>0</v>
      </c>
      <c r="N596" s="52"/>
      <c r="O596" t="str">
        <f>IF([1]!Table_246[[#This Row],[Coluna2]]&gt;0.5, "🔥 Excelente", IF([1]!Table_246[[#This Row],[Coluna2]]&gt;0.4, "👍 Bom", "⚠️ Baixo"))</f>
        <v>⚠️ Baixo</v>
      </c>
    </row>
    <row r="597" spans="1:15" ht="15" customHeight="1">
      <c r="A597" s="28" t="str">
        <f>IF(Table_246[[#This Row],[Data]]="","",MONTH(Table_246[[#This Row],[Data]]))</f>
        <v/>
      </c>
      <c r="B597" s="32"/>
      <c r="C597" s="36"/>
      <c r="D597" s="43"/>
      <c r="E597" s="48"/>
      <c r="F597" s="48"/>
      <c r="G597" s="49" t="str">
        <f>IFERROR(VLOOKUP(C597,PROD!$A$2:$E$1204,5,0),"0")</f>
        <v>0</v>
      </c>
      <c r="H597" s="10">
        <f>Table_246[[#This Row],[QT]]*Table_246[[#This Row],[Custo 
Un]]</f>
        <v>0</v>
      </c>
      <c r="I597" s="52"/>
      <c r="J597" s="263">
        <f t="shared" si="33"/>
        <v>0</v>
      </c>
      <c r="K597" s="10">
        <f t="shared" si="32"/>
        <v>0</v>
      </c>
      <c r="L597" s="50">
        <f>Table_246[[#This Row],[Valor da 
venda]]-Table_246[[#This Row],[Valor gasto]]</f>
        <v>0</v>
      </c>
      <c r="M597" s="111">
        <f t="shared" si="34"/>
        <v>0</v>
      </c>
      <c r="N597" s="52"/>
      <c r="O597" t="str">
        <f>IF([1]!Table_246[[#This Row],[Coluna2]]&gt;0.5, "🔥 Excelente", IF([1]!Table_246[[#This Row],[Coluna2]]&gt;0.4, "👍 Bom", "⚠️ Baixo"))</f>
        <v>⚠️ Baixo</v>
      </c>
    </row>
    <row r="598" spans="1:15" ht="15" customHeight="1">
      <c r="A598" s="28" t="str">
        <f>IF(Table_246[[#This Row],[Data]]="","",MONTH(Table_246[[#This Row],[Data]]))</f>
        <v/>
      </c>
      <c r="B598" s="32"/>
      <c r="C598" s="36"/>
      <c r="D598" s="43"/>
      <c r="E598" s="48"/>
      <c r="F598" s="48"/>
      <c r="G598" s="49" t="str">
        <f>IFERROR(VLOOKUP(C598,PROD!$A$2:$E$1204,5,0),"0")</f>
        <v>0</v>
      </c>
      <c r="H598" s="10">
        <f>Table_246[[#This Row],[QT]]*Table_246[[#This Row],[Custo 
Un]]</f>
        <v>0</v>
      </c>
      <c r="I598" s="52"/>
      <c r="J598" s="263">
        <f t="shared" si="33"/>
        <v>0</v>
      </c>
      <c r="K598" s="10">
        <f t="shared" si="32"/>
        <v>0</v>
      </c>
      <c r="L598" s="50">
        <f>Table_246[[#This Row],[Valor da 
venda]]-Table_246[[#This Row],[Valor gasto]]</f>
        <v>0</v>
      </c>
      <c r="M598" s="111">
        <f t="shared" si="34"/>
        <v>0</v>
      </c>
      <c r="N598" s="52"/>
      <c r="O598" t="str">
        <f>IF([1]!Table_246[[#This Row],[Coluna2]]&gt;0.5, "🔥 Excelente", IF([1]!Table_246[[#This Row],[Coluna2]]&gt;0.4, "👍 Bom", "⚠️ Baixo"))</f>
        <v>⚠️ Baixo</v>
      </c>
    </row>
    <row r="599" spans="1:15" ht="15" customHeight="1">
      <c r="A599" s="28" t="str">
        <f>IF(Table_246[[#This Row],[Data]]="","",MONTH(Table_246[[#This Row],[Data]]))</f>
        <v/>
      </c>
      <c r="B599" s="76"/>
      <c r="C599" s="79"/>
      <c r="D599" s="43"/>
      <c r="E599" s="87"/>
      <c r="F599" s="87"/>
      <c r="G599" s="49" t="str">
        <f>IFERROR(VLOOKUP(C599,PROD!$A$2:$E$1204,5,0),"0")</f>
        <v>0</v>
      </c>
      <c r="H599" s="10">
        <f>Table_246[[#This Row],[QT]]*Table_246[[#This Row],[Custo 
Un]]</f>
        <v>0</v>
      </c>
      <c r="I599" s="92"/>
      <c r="J599" s="92">
        <f t="shared" si="33"/>
        <v>0</v>
      </c>
      <c r="K599" s="10">
        <f t="shared" si="32"/>
        <v>0</v>
      </c>
      <c r="L599" s="50">
        <f>Table_246[[#This Row],[Valor da 
venda]]-Table_246[[#This Row],[Valor gasto]]</f>
        <v>0</v>
      </c>
      <c r="M599" s="111">
        <f t="shared" si="34"/>
        <v>0</v>
      </c>
      <c r="N599" s="92"/>
      <c r="O599" t="str">
        <f>IF([1]!Table_246[[#This Row],[Coluna2]]&gt;0.5, "🔥 Excelente", IF([1]!Table_246[[#This Row],[Coluna2]]&gt;0.4, "👍 Bom", "⚠️ Baixo"))</f>
        <v>⚠️ Baixo</v>
      </c>
    </row>
    <row r="600" spans="1:15" ht="15" customHeight="1">
      <c r="A600" s="28" t="str">
        <f>IF(Table_246[[#This Row],[Data]]="","",MONTH(Table_246[[#This Row],[Data]]))</f>
        <v/>
      </c>
      <c r="B600" s="32"/>
      <c r="C600" s="36"/>
      <c r="D600" s="43"/>
      <c r="E600" s="48"/>
      <c r="F600" s="48"/>
      <c r="G600" s="49" t="str">
        <f>IFERROR(VLOOKUP(C600,PROD!$A$2:$E$1204,5,0),"0")</f>
        <v>0</v>
      </c>
      <c r="H600" s="10">
        <f>Table_246[[#This Row],[QT]]*Table_246[[#This Row],[Custo 
Un]]</f>
        <v>0</v>
      </c>
      <c r="I600" s="52"/>
      <c r="J600" s="263">
        <f t="shared" si="33"/>
        <v>0</v>
      </c>
      <c r="K600" s="10">
        <f t="shared" si="32"/>
        <v>0</v>
      </c>
      <c r="L600" s="50">
        <f>Table_246[[#This Row],[Valor da 
venda]]-Table_246[[#This Row],[Valor gasto]]</f>
        <v>0</v>
      </c>
      <c r="M600" s="111">
        <f t="shared" si="34"/>
        <v>0</v>
      </c>
      <c r="N600" s="52"/>
      <c r="O600" t="str">
        <f>IF([1]!Table_246[[#This Row],[Coluna2]]&gt;0.5, "🔥 Excelente", IF([1]!Table_246[[#This Row],[Coluna2]]&gt;0.4, "👍 Bom", "⚠️ Baixo"))</f>
        <v>⚠️ Baixo</v>
      </c>
    </row>
    <row r="601" spans="1:15" ht="15" customHeight="1">
      <c r="A601" s="28" t="str">
        <f>IF(Table_246[[#This Row],[Data]]="","",MONTH(Table_246[[#This Row],[Data]]))</f>
        <v/>
      </c>
      <c r="B601" s="32"/>
      <c r="C601" s="36"/>
      <c r="D601" s="43"/>
      <c r="E601" s="48"/>
      <c r="F601" s="48"/>
      <c r="G601" s="49" t="str">
        <f>IFERROR(VLOOKUP(C601,PROD!$A$2:$E$1204,5,0),"0")</f>
        <v>0</v>
      </c>
      <c r="H601" s="10">
        <f>Table_246[[#This Row],[QT]]*Table_246[[#This Row],[Custo 
Un]]</f>
        <v>0</v>
      </c>
      <c r="I601" s="52"/>
      <c r="J601" s="263">
        <f t="shared" si="33"/>
        <v>0</v>
      </c>
      <c r="K601" s="10">
        <f t="shared" si="32"/>
        <v>0</v>
      </c>
      <c r="L601" s="50">
        <f>Table_246[[#This Row],[Valor da 
venda]]-Table_246[[#This Row],[Valor gasto]]</f>
        <v>0</v>
      </c>
      <c r="M601" s="111">
        <f t="shared" si="34"/>
        <v>0</v>
      </c>
      <c r="N601" s="52"/>
      <c r="O601" t="str">
        <f>IF([1]!Table_246[[#This Row],[Coluna2]]&gt;0.5, "🔥 Excelente", IF([1]!Table_246[[#This Row],[Coluna2]]&gt;0.4, "👍 Bom", "⚠️ Baixo"))</f>
        <v>⚠️ Baixo</v>
      </c>
    </row>
    <row r="602" spans="1:15" ht="15" customHeight="1">
      <c r="A602" s="28" t="str">
        <f>IF(Table_246[[#This Row],[Data]]="","",MONTH(Table_246[[#This Row],[Data]]))</f>
        <v/>
      </c>
      <c r="B602" s="32"/>
      <c r="C602" s="36"/>
      <c r="D602" s="43"/>
      <c r="E602" s="48"/>
      <c r="F602" s="48"/>
      <c r="G602" s="49" t="str">
        <f>IFERROR(VLOOKUP(C602,PROD!$A$2:$E$1204,5,0),"0")</f>
        <v>0</v>
      </c>
      <c r="H602" s="10">
        <f>Table_246[[#This Row],[QT]]*Table_246[[#This Row],[Custo 
Un]]</f>
        <v>0</v>
      </c>
      <c r="I602" s="52"/>
      <c r="J602" s="263">
        <f t="shared" si="33"/>
        <v>0</v>
      </c>
      <c r="K602" s="10">
        <f t="shared" si="32"/>
        <v>0</v>
      </c>
      <c r="L602" s="50">
        <f>Table_246[[#This Row],[Valor da 
venda]]-Table_246[[#This Row],[Valor gasto]]</f>
        <v>0</v>
      </c>
      <c r="M602" s="111">
        <f t="shared" si="34"/>
        <v>0</v>
      </c>
      <c r="N602" s="52"/>
      <c r="O602" t="str">
        <f>IF([1]!Table_246[[#This Row],[Coluna2]]&gt;0.5, "🔥 Excelente", IF([1]!Table_246[[#This Row],[Coluna2]]&gt;0.4, "👍 Bom", "⚠️ Baixo"))</f>
        <v>⚠️ Baixo</v>
      </c>
    </row>
    <row r="603" spans="1:15" ht="15" customHeight="1">
      <c r="A603" s="28" t="str">
        <f>IF(Table_246[[#This Row],[Data]]="","",MONTH(Table_246[[#This Row],[Data]]))</f>
        <v/>
      </c>
      <c r="B603" s="32"/>
      <c r="C603" s="36"/>
      <c r="D603" s="43"/>
      <c r="E603" s="48"/>
      <c r="F603" s="48"/>
      <c r="G603" s="49" t="str">
        <f>IFERROR(VLOOKUP(C603,PROD!$A$2:$E$1204,5,0),"0")</f>
        <v>0</v>
      </c>
      <c r="H603" s="10">
        <f>Table_246[[#This Row],[QT]]*Table_246[[#This Row],[Custo 
Un]]</f>
        <v>0</v>
      </c>
      <c r="I603" s="52"/>
      <c r="J603" s="263">
        <f t="shared" si="33"/>
        <v>0</v>
      </c>
      <c r="K603" s="10">
        <f t="shared" si="32"/>
        <v>0</v>
      </c>
      <c r="L603" s="50">
        <f>Table_246[[#This Row],[Valor da 
venda]]-Table_246[[#This Row],[Valor gasto]]</f>
        <v>0</v>
      </c>
      <c r="M603" s="111">
        <f t="shared" si="34"/>
        <v>0</v>
      </c>
      <c r="N603" s="52"/>
      <c r="O603" t="str">
        <f>IF([1]!Table_246[[#This Row],[Coluna2]]&gt;0.5, "🔥 Excelente", IF([1]!Table_246[[#This Row],[Coluna2]]&gt;0.4, "👍 Bom", "⚠️ Baixo"))</f>
        <v>⚠️ Baixo</v>
      </c>
    </row>
    <row r="604" spans="1:15" ht="15" customHeight="1">
      <c r="A604" s="28" t="str">
        <f>IF(Table_246[[#This Row],[Data]]="","",MONTH(Table_246[[#This Row],[Data]]))</f>
        <v/>
      </c>
      <c r="B604" s="32"/>
      <c r="C604" s="36"/>
      <c r="D604" s="43"/>
      <c r="E604" s="48"/>
      <c r="F604" s="48"/>
      <c r="G604" s="49" t="str">
        <f>IFERROR(VLOOKUP(C604,PROD!$A$2:$E$1204,5,0),"0")</f>
        <v>0</v>
      </c>
      <c r="H604" s="10">
        <f>Table_246[[#This Row],[QT]]*Table_246[[#This Row],[Custo 
Un]]</f>
        <v>0</v>
      </c>
      <c r="I604" s="52"/>
      <c r="J604" s="263">
        <f t="shared" si="33"/>
        <v>0</v>
      </c>
      <c r="K604" s="10">
        <f t="shared" si="32"/>
        <v>0</v>
      </c>
      <c r="L604" s="50">
        <f>Table_246[[#This Row],[Valor da 
venda]]-Table_246[[#This Row],[Valor gasto]]</f>
        <v>0</v>
      </c>
      <c r="M604" s="111">
        <f t="shared" si="34"/>
        <v>0</v>
      </c>
      <c r="N604" s="52"/>
      <c r="O604" t="str">
        <f>IF([1]!Table_246[[#This Row],[Coluna2]]&gt;0.5, "🔥 Excelente", IF([1]!Table_246[[#This Row],[Coluna2]]&gt;0.4, "👍 Bom", "⚠️ Baixo"))</f>
        <v>⚠️ Baixo</v>
      </c>
    </row>
    <row r="605" spans="1:15" ht="15" customHeight="1">
      <c r="A605" s="28" t="str">
        <f>IF(Table_246[[#This Row],[Data]]="","",MONTH(Table_246[[#This Row],[Data]]))</f>
        <v/>
      </c>
      <c r="B605" s="32"/>
      <c r="C605" s="36"/>
      <c r="D605" s="43"/>
      <c r="E605" s="48"/>
      <c r="F605" s="48"/>
      <c r="G605" s="49" t="str">
        <f>IFERROR(VLOOKUP(C605,PROD!$A$2:$E$1204,5,0),"0")</f>
        <v>0</v>
      </c>
      <c r="H605" s="10">
        <f>Table_246[[#This Row],[QT]]*Table_246[[#This Row],[Custo 
Un]]</f>
        <v>0</v>
      </c>
      <c r="I605" s="52"/>
      <c r="J605" s="263">
        <f t="shared" si="33"/>
        <v>0</v>
      </c>
      <c r="K605" s="10">
        <f t="shared" si="32"/>
        <v>0</v>
      </c>
      <c r="L605" s="50">
        <f>Table_246[[#This Row],[Valor da 
venda]]-Table_246[[#This Row],[Valor gasto]]</f>
        <v>0</v>
      </c>
      <c r="M605" s="111">
        <f t="shared" si="34"/>
        <v>0</v>
      </c>
      <c r="N605" s="52"/>
      <c r="O605" t="str">
        <f>IF([1]!Table_246[[#This Row],[Coluna2]]&gt;0.5, "🔥 Excelente", IF([1]!Table_246[[#This Row],[Coluna2]]&gt;0.4, "👍 Bom", "⚠️ Baixo"))</f>
        <v>⚠️ Baixo</v>
      </c>
    </row>
    <row r="606" spans="1:15" ht="15" customHeight="1">
      <c r="A606" s="28" t="str">
        <f>IF(Table_246[[#This Row],[Data]]="","",MONTH(Table_246[[#This Row],[Data]]))</f>
        <v/>
      </c>
      <c r="B606" s="76"/>
      <c r="C606" s="79"/>
      <c r="D606" s="43"/>
      <c r="E606" s="87"/>
      <c r="F606" s="87"/>
      <c r="G606" s="49" t="str">
        <f>IFERROR(VLOOKUP(C606,PROD!$A$2:$E$1204,5,0),"0")</f>
        <v>0</v>
      </c>
      <c r="H606" s="10">
        <f>Table_246[[#This Row],[QT]]*Table_246[[#This Row],[Custo 
Un]]</f>
        <v>0</v>
      </c>
      <c r="I606" s="92"/>
      <c r="J606" s="92">
        <f t="shared" si="33"/>
        <v>0</v>
      </c>
      <c r="K606" s="10">
        <f t="shared" si="32"/>
        <v>0</v>
      </c>
      <c r="L606" s="50">
        <f>Table_246[[#This Row],[Valor da 
venda]]-Table_246[[#This Row],[Valor gasto]]</f>
        <v>0</v>
      </c>
      <c r="M606" s="111">
        <f t="shared" si="34"/>
        <v>0</v>
      </c>
      <c r="N606" s="92"/>
      <c r="O606" t="str">
        <f>IF([1]!Table_246[[#This Row],[Coluna2]]&gt;0.5, "🔥 Excelente", IF([1]!Table_246[[#This Row],[Coluna2]]&gt;0.4, "👍 Bom", "⚠️ Baixo"))</f>
        <v>⚠️ Baixo</v>
      </c>
    </row>
    <row r="607" spans="1:15" ht="15" customHeight="1">
      <c r="A607" s="28" t="str">
        <f>IF(Table_246[[#This Row],[Data]]="","",MONTH(Table_246[[#This Row],[Data]]))</f>
        <v/>
      </c>
      <c r="B607" s="32"/>
      <c r="C607" s="36"/>
      <c r="D607" s="43"/>
      <c r="E607" s="48"/>
      <c r="F607" s="48"/>
      <c r="G607" s="49" t="str">
        <f>IFERROR(VLOOKUP(C607,PROD!$A$2:$E$1204,5,0),"0")</f>
        <v>0</v>
      </c>
      <c r="H607" s="10">
        <f>Table_246[[#This Row],[QT]]*Table_246[[#This Row],[Custo 
Un]]</f>
        <v>0</v>
      </c>
      <c r="I607" s="52"/>
      <c r="J607" s="263">
        <f t="shared" si="33"/>
        <v>0</v>
      </c>
      <c r="K607" s="10">
        <f t="shared" si="32"/>
        <v>0</v>
      </c>
      <c r="L607" s="50">
        <f>Table_246[[#This Row],[Valor da 
venda]]-Table_246[[#This Row],[Valor gasto]]</f>
        <v>0</v>
      </c>
      <c r="M607" s="111">
        <f t="shared" si="34"/>
        <v>0</v>
      </c>
      <c r="N607" s="52"/>
      <c r="O607" t="str">
        <f>IF([1]!Table_246[[#This Row],[Coluna2]]&gt;0.5, "🔥 Excelente", IF([1]!Table_246[[#This Row],[Coluna2]]&gt;0.4, "👍 Bom", "⚠️ Baixo"))</f>
        <v>⚠️ Baixo</v>
      </c>
    </row>
    <row r="608" spans="1:15" ht="15" customHeight="1">
      <c r="A608" s="28" t="str">
        <f>IF(Table_246[[#This Row],[Data]]="","",MONTH(Table_246[[#This Row],[Data]]))</f>
        <v/>
      </c>
      <c r="B608" s="32"/>
      <c r="C608" s="36"/>
      <c r="D608" s="43"/>
      <c r="E608" s="48"/>
      <c r="F608" s="48"/>
      <c r="G608" s="49" t="str">
        <f>IFERROR(VLOOKUP(C608,PROD!$A$2:$E$1204,5,0),"0")</f>
        <v>0</v>
      </c>
      <c r="H608" s="10">
        <f>Table_246[[#This Row],[QT]]*Table_246[[#This Row],[Custo 
Un]]</f>
        <v>0</v>
      </c>
      <c r="I608" s="52"/>
      <c r="J608" s="263">
        <f t="shared" si="33"/>
        <v>0</v>
      </c>
      <c r="K608" s="10">
        <f t="shared" si="32"/>
        <v>0</v>
      </c>
      <c r="L608" s="50">
        <f>Table_246[[#This Row],[Valor da 
venda]]-Table_246[[#This Row],[Valor gasto]]</f>
        <v>0</v>
      </c>
      <c r="M608" s="111">
        <f t="shared" si="34"/>
        <v>0</v>
      </c>
      <c r="N608" s="52"/>
      <c r="O608" t="str">
        <f>IF([1]!Table_246[[#This Row],[Coluna2]]&gt;0.5, "🔥 Excelente", IF([1]!Table_246[[#This Row],[Coluna2]]&gt;0.4, "👍 Bom", "⚠️ Baixo"))</f>
        <v>⚠️ Baixo</v>
      </c>
    </row>
    <row r="609" spans="1:15" ht="15" customHeight="1">
      <c r="A609" s="28" t="str">
        <f>IF(Table_246[[#This Row],[Data]]="","",MONTH(Table_246[[#This Row],[Data]]))</f>
        <v/>
      </c>
      <c r="B609" s="32"/>
      <c r="C609" s="36"/>
      <c r="D609" s="43"/>
      <c r="E609" s="48"/>
      <c r="F609" s="48"/>
      <c r="G609" s="49" t="str">
        <f>IFERROR(VLOOKUP(C609,PROD!$A$2:$E$1204,5,0),"0")</f>
        <v>0</v>
      </c>
      <c r="H609" s="10">
        <f>Table_246[[#This Row],[QT]]*Table_246[[#This Row],[Custo 
Un]]</f>
        <v>0</v>
      </c>
      <c r="I609" s="52"/>
      <c r="J609" s="263">
        <f t="shared" si="33"/>
        <v>0</v>
      </c>
      <c r="K609" s="10">
        <f t="shared" si="32"/>
        <v>0</v>
      </c>
      <c r="L609" s="50">
        <f>Table_246[[#This Row],[Valor da 
venda]]-Table_246[[#This Row],[Valor gasto]]</f>
        <v>0</v>
      </c>
      <c r="M609" s="111">
        <f t="shared" si="34"/>
        <v>0</v>
      </c>
      <c r="N609" s="52"/>
      <c r="O609" t="str">
        <f>IF([1]!Table_246[[#This Row],[Coluna2]]&gt;0.5, "🔥 Excelente", IF([1]!Table_246[[#This Row],[Coluna2]]&gt;0.4, "👍 Bom", "⚠️ Baixo"))</f>
        <v>⚠️ Baixo</v>
      </c>
    </row>
    <row r="610" spans="1:15" ht="15" customHeight="1">
      <c r="A610" s="28" t="str">
        <f>IF(Table_246[[#This Row],[Data]]="","",MONTH(Table_246[[#This Row],[Data]]))</f>
        <v/>
      </c>
      <c r="B610" s="32"/>
      <c r="C610" s="36"/>
      <c r="D610" s="43"/>
      <c r="E610" s="48"/>
      <c r="F610" s="48"/>
      <c r="G610" s="49" t="str">
        <f>IFERROR(VLOOKUP(C610,PROD!$A$2:$E$1204,5,0),"0")</f>
        <v>0</v>
      </c>
      <c r="H610" s="10">
        <f>Table_246[[#This Row],[QT]]*Table_246[[#This Row],[Custo 
Un]]</f>
        <v>0</v>
      </c>
      <c r="I610" s="52"/>
      <c r="J610" s="263">
        <f t="shared" si="33"/>
        <v>0</v>
      </c>
      <c r="K610" s="10">
        <f t="shared" si="32"/>
        <v>0</v>
      </c>
      <c r="L610" s="50">
        <f>Table_246[[#This Row],[Valor da 
venda]]-Table_246[[#This Row],[Valor gasto]]</f>
        <v>0</v>
      </c>
      <c r="M610" s="111">
        <f t="shared" si="34"/>
        <v>0</v>
      </c>
      <c r="N610" s="52"/>
      <c r="O610" t="str">
        <f>IF([1]!Table_246[[#This Row],[Coluna2]]&gt;0.5, "🔥 Excelente", IF([1]!Table_246[[#This Row],[Coluna2]]&gt;0.4, "👍 Bom", "⚠️ Baixo"))</f>
        <v>⚠️ Baixo</v>
      </c>
    </row>
    <row r="611" spans="1:15" ht="15" customHeight="1">
      <c r="A611" s="28" t="str">
        <f>IF(Table_246[[#This Row],[Data]]="","",MONTH(Table_246[[#This Row],[Data]]))</f>
        <v/>
      </c>
      <c r="B611" s="32"/>
      <c r="C611" s="36"/>
      <c r="D611" s="43"/>
      <c r="E611" s="48"/>
      <c r="F611" s="48"/>
      <c r="G611" s="49" t="str">
        <f>IFERROR(VLOOKUP(C611,PROD!$A$2:$E$1204,5,0),"0")</f>
        <v>0</v>
      </c>
      <c r="H611" s="10">
        <f>Table_246[[#This Row],[QT]]*Table_246[[#This Row],[Custo 
Un]]</f>
        <v>0</v>
      </c>
      <c r="I611" s="52"/>
      <c r="J611" s="263">
        <f t="shared" si="33"/>
        <v>0</v>
      </c>
      <c r="K611" s="10">
        <f t="shared" si="32"/>
        <v>0</v>
      </c>
      <c r="L611" s="50">
        <f>Table_246[[#This Row],[Valor da 
venda]]-Table_246[[#This Row],[Valor gasto]]</f>
        <v>0</v>
      </c>
      <c r="M611" s="111">
        <f t="shared" si="34"/>
        <v>0</v>
      </c>
      <c r="N611" s="52"/>
      <c r="O611" t="str">
        <f>IF([1]!Table_246[[#This Row],[Coluna2]]&gt;0.5, "🔥 Excelente", IF([1]!Table_246[[#This Row],[Coluna2]]&gt;0.4, "👍 Bom", "⚠️ Baixo"))</f>
        <v>⚠️ Baixo</v>
      </c>
    </row>
    <row r="612" spans="1:15" ht="15" customHeight="1">
      <c r="A612" s="28" t="str">
        <f>IF(Table_246[[#This Row],[Data]]="","",MONTH(Table_246[[#This Row],[Data]]))</f>
        <v/>
      </c>
      <c r="B612" s="32"/>
      <c r="C612" s="36"/>
      <c r="D612" s="43"/>
      <c r="E612" s="48"/>
      <c r="F612" s="48"/>
      <c r="G612" s="49" t="str">
        <f>IFERROR(VLOOKUP(C612,PROD!$A$2:$E$1204,5,0),"0")</f>
        <v>0</v>
      </c>
      <c r="H612" s="10">
        <f>Table_246[[#This Row],[QT]]*Table_246[[#This Row],[Custo 
Un]]</f>
        <v>0</v>
      </c>
      <c r="I612" s="52"/>
      <c r="J612" s="263">
        <f t="shared" si="33"/>
        <v>0</v>
      </c>
      <c r="K612" s="10">
        <f t="shared" si="32"/>
        <v>0</v>
      </c>
      <c r="L612" s="50">
        <f>Table_246[[#This Row],[Valor da 
venda]]-Table_246[[#This Row],[Valor gasto]]</f>
        <v>0</v>
      </c>
      <c r="M612" s="111">
        <f t="shared" si="34"/>
        <v>0</v>
      </c>
      <c r="N612" s="52"/>
      <c r="O612" t="str">
        <f>IF([1]!Table_246[[#This Row],[Coluna2]]&gt;0.5, "🔥 Excelente", IF([1]!Table_246[[#This Row],[Coluna2]]&gt;0.4, "👍 Bom", "⚠️ Baixo"))</f>
        <v>⚠️ Baixo</v>
      </c>
    </row>
    <row r="613" spans="1:15" ht="15" customHeight="1">
      <c r="A613" s="28" t="str">
        <f>IF(Table_246[[#This Row],[Data]]="","",MONTH(Table_246[[#This Row],[Data]]))</f>
        <v/>
      </c>
      <c r="B613" s="76"/>
      <c r="C613" s="79"/>
      <c r="D613" s="43"/>
      <c r="E613" s="87"/>
      <c r="F613" s="87"/>
      <c r="G613" s="49" t="str">
        <f>IFERROR(VLOOKUP(C613,PROD!$A$2:$E$1204,5,0),"0")</f>
        <v>0</v>
      </c>
      <c r="H613" s="10">
        <f>Table_246[[#This Row],[QT]]*Table_246[[#This Row],[Custo 
Un]]</f>
        <v>0</v>
      </c>
      <c r="I613" s="92"/>
      <c r="J613" s="92">
        <f t="shared" si="33"/>
        <v>0</v>
      </c>
      <c r="K613" s="10">
        <f t="shared" si="32"/>
        <v>0</v>
      </c>
      <c r="L613" s="50">
        <f>Table_246[[#This Row],[Valor da 
venda]]-Table_246[[#This Row],[Valor gasto]]</f>
        <v>0</v>
      </c>
      <c r="M613" s="111">
        <f t="shared" si="34"/>
        <v>0</v>
      </c>
      <c r="N613" s="92"/>
      <c r="O613" t="str">
        <f>IF([1]!Table_246[[#This Row],[Coluna2]]&gt;0.5, "🔥 Excelente", IF([1]!Table_246[[#This Row],[Coluna2]]&gt;0.4, "👍 Bom", "⚠️ Baixo"))</f>
        <v>⚠️ Baixo</v>
      </c>
    </row>
    <row r="614" spans="1:15" ht="15" customHeight="1">
      <c r="A614" s="28" t="str">
        <f>IF(Table_246[[#This Row],[Data]]="","",MONTH(Table_246[[#This Row],[Data]]))</f>
        <v/>
      </c>
      <c r="B614" s="32"/>
      <c r="C614" s="36"/>
      <c r="D614" s="43"/>
      <c r="E614" s="48"/>
      <c r="F614" s="48"/>
      <c r="G614" s="49" t="str">
        <f>IFERROR(VLOOKUP(C614,PROD!$A$2:$E$1204,5,0),"0")</f>
        <v>0</v>
      </c>
      <c r="H614" s="10">
        <f>Table_246[[#This Row],[QT]]*Table_246[[#This Row],[Custo 
Un]]</f>
        <v>0</v>
      </c>
      <c r="I614" s="52"/>
      <c r="J614" s="263">
        <f t="shared" si="33"/>
        <v>0</v>
      </c>
      <c r="K614" s="10">
        <f t="shared" si="32"/>
        <v>0</v>
      </c>
      <c r="L614" s="50">
        <f>Table_246[[#This Row],[Valor da 
venda]]-Table_246[[#This Row],[Valor gasto]]</f>
        <v>0</v>
      </c>
      <c r="M614" s="111">
        <f t="shared" si="34"/>
        <v>0</v>
      </c>
      <c r="N614" s="52"/>
      <c r="O614" t="str">
        <f>IF([1]!Table_246[[#This Row],[Coluna2]]&gt;0.5, "🔥 Excelente", IF([1]!Table_246[[#This Row],[Coluna2]]&gt;0.4, "👍 Bom", "⚠️ Baixo"))</f>
        <v>⚠️ Baixo</v>
      </c>
    </row>
    <row r="615" spans="1:15" ht="15" customHeight="1">
      <c r="A615" s="28" t="str">
        <f>IF(Table_246[[#This Row],[Data]]="","",MONTH(Table_246[[#This Row],[Data]]))</f>
        <v/>
      </c>
      <c r="B615" s="32"/>
      <c r="C615" s="36"/>
      <c r="D615" s="43"/>
      <c r="E615" s="48"/>
      <c r="F615" s="48"/>
      <c r="G615" s="49" t="str">
        <f>IFERROR(VLOOKUP(C615,PROD!$A$2:$E$1204,5,0),"0")</f>
        <v>0</v>
      </c>
      <c r="H615" s="10">
        <f>Table_246[[#This Row],[QT]]*Table_246[[#This Row],[Custo 
Un]]</f>
        <v>0</v>
      </c>
      <c r="I615" s="52"/>
      <c r="J615" s="263">
        <f t="shared" si="33"/>
        <v>0</v>
      </c>
      <c r="K615" s="10">
        <f t="shared" si="32"/>
        <v>0</v>
      </c>
      <c r="L615" s="50">
        <f>Table_246[[#This Row],[Valor da 
venda]]-Table_246[[#This Row],[Valor gasto]]</f>
        <v>0</v>
      </c>
      <c r="M615" s="111">
        <f t="shared" si="34"/>
        <v>0</v>
      </c>
      <c r="N615" s="52"/>
      <c r="O615" t="str">
        <f>IF([1]!Table_246[[#This Row],[Coluna2]]&gt;0.5, "🔥 Excelente", IF([1]!Table_246[[#This Row],[Coluna2]]&gt;0.4, "👍 Bom", "⚠️ Baixo"))</f>
        <v>⚠️ Baixo</v>
      </c>
    </row>
    <row r="616" spans="1:15" ht="15" customHeight="1">
      <c r="A616" s="28" t="str">
        <f>IF(Table_246[[#This Row],[Data]]="","",MONTH(Table_246[[#This Row],[Data]]))</f>
        <v/>
      </c>
      <c r="B616" s="32"/>
      <c r="C616" s="36"/>
      <c r="D616" s="43"/>
      <c r="E616" s="48"/>
      <c r="F616" s="48"/>
      <c r="G616" s="49" t="str">
        <f>IFERROR(VLOOKUP(C616,PROD!$A$2:$E$1204,5,0),"0")</f>
        <v>0</v>
      </c>
      <c r="H616" s="10">
        <f>Table_246[[#This Row],[QT]]*Table_246[[#This Row],[Custo 
Un]]</f>
        <v>0</v>
      </c>
      <c r="I616" s="52"/>
      <c r="J616" s="263">
        <f t="shared" si="33"/>
        <v>0</v>
      </c>
      <c r="K616" s="10">
        <f t="shared" si="32"/>
        <v>0</v>
      </c>
      <c r="L616" s="50">
        <f>Table_246[[#This Row],[Valor da 
venda]]-Table_246[[#This Row],[Valor gasto]]</f>
        <v>0</v>
      </c>
      <c r="M616" s="111">
        <f t="shared" si="34"/>
        <v>0</v>
      </c>
      <c r="N616" s="52"/>
      <c r="O616" t="str">
        <f>IF([1]!Table_246[[#This Row],[Coluna2]]&gt;0.5, "🔥 Excelente", IF([1]!Table_246[[#This Row],[Coluna2]]&gt;0.4, "👍 Bom", "⚠️ Baixo"))</f>
        <v>⚠️ Baixo</v>
      </c>
    </row>
    <row r="617" spans="1:15" ht="15" customHeight="1">
      <c r="A617" s="28" t="str">
        <f>IF(Table_246[[#This Row],[Data]]="","",MONTH(Table_246[[#This Row],[Data]]))</f>
        <v/>
      </c>
      <c r="B617" s="32"/>
      <c r="C617" s="36"/>
      <c r="D617" s="43"/>
      <c r="E617" s="48"/>
      <c r="F617" s="48"/>
      <c r="G617" s="49" t="str">
        <f>IFERROR(VLOOKUP(C617,PROD!$A$2:$E$1204,5,0),"0")</f>
        <v>0</v>
      </c>
      <c r="H617" s="10">
        <f>Table_246[[#This Row],[QT]]*Table_246[[#This Row],[Custo 
Un]]</f>
        <v>0</v>
      </c>
      <c r="I617" s="52"/>
      <c r="J617" s="263">
        <f t="shared" si="33"/>
        <v>0</v>
      </c>
      <c r="K617" s="10">
        <f t="shared" si="32"/>
        <v>0</v>
      </c>
      <c r="L617" s="50">
        <f>Table_246[[#This Row],[Valor da 
venda]]-Table_246[[#This Row],[Valor gasto]]</f>
        <v>0</v>
      </c>
      <c r="M617" s="111">
        <f t="shared" si="34"/>
        <v>0</v>
      </c>
      <c r="N617" s="52"/>
      <c r="O617" t="str">
        <f>IF([1]!Table_246[[#This Row],[Coluna2]]&gt;0.5, "🔥 Excelente", IF([1]!Table_246[[#This Row],[Coluna2]]&gt;0.4, "👍 Bom", "⚠️ Baixo"))</f>
        <v>⚠️ Baixo</v>
      </c>
    </row>
    <row r="618" spans="1:15" ht="15" customHeight="1">
      <c r="A618" s="28" t="str">
        <f>IF(Table_246[[#This Row],[Data]]="","",MONTH(Table_246[[#This Row],[Data]]))</f>
        <v/>
      </c>
      <c r="B618" s="32"/>
      <c r="C618" s="36"/>
      <c r="D618" s="43"/>
      <c r="E618" s="48"/>
      <c r="F618" s="48"/>
      <c r="G618" s="49" t="str">
        <f>IFERROR(VLOOKUP(C618,PROD!$A$2:$E$1204,5,0),"0")</f>
        <v>0</v>
      </c>
      <c r="H618" s="10">
        <f>Table_246[[#This Row],[QT]]*Table_246[[#This Row],[Custo 
Un]]</f>
        <v>0</v>
      </c>
      <c r="I618" s="52"/>
      <c r="J618" s="263">
        <f t="shared" si="33"/>
        <v>0</v>
      </c>
      <c r="K618" s="10">
        <f t="shared" si="32"/>
        <v>0</v>
      </c>
      <c r="L618" s="50">
        <f>Table_246[[#This Row],[Valor da 
venda]]-Table_246[[#This Row],[Valor gasto]]</f>
        <v>0</v>
      </c>
      <c r="M618" s="111">
        <f t="shared" si="34"/>
        <v>0</v>
      </c>
      <c r="N618" s="52"/>
      <c r="O618" t="str">
        <f>IF([1]!Table_246[[#This Row],[Coluna2]]&gt;0.5, "🔥 Excelente", IF([1]!Table_246[[#This Row],[Coluna2]]&gt;0.4, "👍 Bom", "⚠️ Baixo"))</f>
        <v>⚠️ Baixo</v>
      </c>
    </row>
    <row r="619" spans="1:15" ht="15" customHeight="1">
      <c r="A619" s="28" t="str">
        <f>IF(Table_246[[#This Row],[Data]]="","",MONTH(Table_246[[#This Row],[Data]]))</f>
        <v/>
      </c>
      <c r="B619" s="32"/>
      <c r="C619" s="81"/>
      <c r="D619" s="43"/>
      <c r="E619" s="48"/>
      <c r="F619" s="48"/>
      <c r="G619" s="49" t="str">
        <f>IFERROR(VLOOKUP(C619,PROD!$A$2:$E$1204,5,0),"0")</f>
        <v>0</v>
      </c>
      <c r="H619" s="10">
        <f>Table_246[[#This Row],[QT]]*Table_246[[#This Row],[Custo 
Un]]</f>
        <v>0</v>
      </c>
      <c r="I619" s="52"/>
      <c r="J619" s="263">
        <f t="shared" si="33"/>
        <v>0</v>
      </c>
      <c r="K619" s="10">
        <f t="shared" si="32"/>
        <v>0</v>
      </c>
      <c r="L619" s="50">
        <f>Table_246[[#This Row],[Valor da 
venda]]-Table_246[[#This Row],[Valor gasto]]</f>
        <v>0</v>
      </c>
      <c r="M619" s="111">
        <f t="shared" si="34"/>
        <v>0</v>
      </c>
      <c r="N619" s="52"/>
      <c r="O619" t="str">
        <f>IF([1]!Table_246[[#This Row],[Coluna2]]&gt;0.5, "🔥 Excelente", IF([1]!Table_246[[#This Row],[Coluna2]]&gt;0.4, "👍 Bom", "⚠️ Baixo"))</f>
        <v>⚠️ Baixo</v>
      </c>
    </row>
    <row r="620" spans="1:15" ht="15" customHeight="1">
      <c r="A620" s="28" t="str">
        <f>IF(Table_246[[#This Row],[Data]]="","",MONTH(Table_246[[#This Row],[Data]]))</f>
        <v/>
      </c>
      <c r="B620" s="76"/>
      <c r="C620" s="79"/>
      <c r="D620" s="43"/>
      <c r="E620" s="87"/>
      <c r="F620" s="87"/>
      <c r="G620" s="49" t="str">
        <f>IFERROR(VLOOKUP(C620,PROD!$A$2:$E$1204,5,0),"0")</f>
        <v>0</v>
      </c>
      <c r="H620" s="10">
        <f>Table_246[[#This Row],[QT]]*Table_246[[#This Row],[Custo 
Un]]</f>
        <v>0</v>
      </c>
      <c r="I620" s="92"/>
      <c r="J620" s="92">
        <f t="shared" si="33"/>
        <v>0</v>
      </c>
      <c r="K620" s="10">
        <f t="shared" si="32"/>
        <v>0</v>
      </c>
      <c r="L620" s="50">
        <f>Table_246[[#This Row],[Valor da 
venda]]-Table_246[[#This Row],[Valor gasto]]</f>
        <v>0</v>
      </c>
      <c r="M620" s="111">
        <f t="shared" si="34"/>
        <v>0</v>
      </c>
      <c r="N620" s="92"/>
      <c r="O620" t="str">
        <f>IF([1]!Table_246[[#This Row],[Coluna2]]&gt;0.5, "🔥 Excelente", IF([1]!Table_246[[#This Row],[Coluna2]]&gt;0.4, "👍 Bom", "⚠️ Baixo"))</f>
        <v>⚠️ Baixo</v>
      </c>
    </row>
    <row r="621" spans="1:15" ht="15" customHeight="1">
      <c r="A621" s="28" t="str">
        <f>IF(Table_246[[#This Row],[Data]]="","",MONTH(Table_246[[#This Row],[Data]]))</f>
        <v/>
      </c>
      <c r="B621" s="32"/>
      <c r="C621" s="36"/>
      <c r="D621" s="43"/>
      <c r="E621" s="48"/>
      <c r="F621" s="48"/>
      <c r="G621" s="49" t="str">
        <f>IFERROR(VLOOKUP(C621,PROD!$A$2:$E$1204,5,0),"0")</f>
        <v>0</v>
      </c>
      <c r="H621" s="10">
        <f>Table_246[[#This Row],[QT]]*Table_246[[#This Row],[Custo 
Un]]</f>
        <v>0</v>
      </c>
      <c r="I621" s="52"/>
      <c r="J621" s="263">
        <f t="shared" si="33"/>
        <v>0</v>
      </c>
      <c r="K621" s="10">
        <f t="shared" si="32"/>
        <v>0</v>
      </c>
      <c r="L621" s="50">
        <f>Table_246[[#This Row],[Valor da 
venda]]-Table_246[[#This Row],[Valor gasto]]</f>
        <v>0</v>
      </c>
      <c r="M621" s="111">
        <f t="shared" si="34"/>
        <v>0</v>
      </c>
      <c r="N621" s="52"/>
      <c r="O621" s="114" t="str">
        <f>IF([1]!Table_246[[#This Row],[Coluna2]]&gt;0.5, "🔥 Excelente", IF([1]!Table_246[[#This Row],[Coluna2]]&gt;0.4, "👍 Bom", "⚠️ Baixo"))</f>
        <v>⚠️ Baixo</v>
      </c>
    </row>
    <row r="622" spans="1:15" ht="15" customHeight="1">
      <c r="A622" s="28" t="str">
        <f>IF(Table_246[[#This Row],[Data]]="","",MONTH(Table_246[[#This Row],[Data]]))</f>
        <v/>
      </c>
      <c r="B622" s="32"/>
      <c r="C622" s="36"/>
      <c r="D622" s="43"/>
      <c r="E622" s="48"/>
      <c r="F622" s="48"/>
      <c r="G622" s="49" t="str">
        <f>IFERROR(VLOOKUP(C622,PROD!$A$2:$E$1204,5,0),"0")</f>
        <v>0</v>
      </c>
      <c r="H622" s="10">
        <f>Table_246[[#This Row],[QT]]*Table_246[[#This Row],[Custo 
Un]]</f>
        <v>0</v>
      </c>
      <c r="I622" s="52"/>
      <c r="J622" s="263">
        <f t="shared" si="33"/>
        <v>0</v>
      </c>
      <c r="K622" s="10">
        <f t="shared" si="32"/>
        <v>0</v>
      </c>
      <c r="L622" s="50">
        <f>Table_246[[#This Row],[Valor da 
venda]]-Table_246[[#This Row],[Valor gasto]]</f>
        <v>0</v>
      </c>
      <c r="M622" s="111">
        <f t="shared" si="34"/>
        <v>0</v>
      </c>
      <c r="N622" s="52"/>
      <c r="O622" s="114" t="str">
        <f>IF([1]!Table_246[[#This Row],[Coluna2]]&gt;0.5, "🔥 Excelente", IF([1]!Table_246[[#This Row],[Coluna2]]&gt;0.4, "👍 Bom", "⚠️ Baixo"))</f>
        <v>⚠️ Baixo</v>
      </c>
    </row>
    <row r="623" spans="1:15" ht="15" customHeight="1">
      <c r="A623" s="28" t="str">
        <f>IF(Table_246[[#This Row],[Data]]="","",MONTH(Table_246[[#This Row],[Data]]))</f>
        <v/>
      </c>
      <c r="B623" s="32"/>
      <c r="C623" s="36"/>
      <c r="D623" s="43"/>
      <c r="E623" s="48"/>
      <c r="F623" s="48"/>
      <c r="G623" s="49" t="str">
        <f>IFERROR(VLOOKUP(C623,PROD!$A$2:$E$1204,5,0),"0")</f>
        <v>0</v>
      </c>
      <c r="H623" s="10">
        <f>Table_246[[#This Row],[QT]]*Table_246[[#This Row],[Custo 
Un]]</f>
        <v>0</v>
      </c>
      <c r="I623" s="52"/>
      <c r="J623" s="263">
        <f t="shared" si="33"/>
        <v>0</v>
      </c>
      <c r="K623" s="10">
        <f t="shared" si="32"/>
        <v>0</v>
      </c>
      <c r="L623" s="50">
        <f>Table_246[[#This Row],[Valor da 
venda]]-Table_246[[#This Row],[Valor gasto]]</f>
        <v>0</v>
      </c>
      <c r="M623" s="111">
        <f t="shared" si="34"/>
        <v>0</v>
      </c>
      <c r="N623" s="52"/>
      <c r="O623" s="114" t="str">
        <f>IF([1]!Table_246[[#This Row],[Coluna2]]&gt;0.5, "🔥 Excelente", IF([1]!Table_246[[#This Row],[Coluna2]]&gt;0.4, "👍 Bom", "⚠️ Baixo"))</f>
        <v>⚠️ Baixo</v>
      </c>
    </row>
    <row r="624" spans="1:15" ht="15" customHeight="1">
      <c r="A624" s="28" t="str">
        <f>IF(Table_246[[#This Row],[Data]]="","",MONTH(Table_246[[#This Row],[Data]]))</f>
        <v/>
      </c>
      <c r="B624" s="32"/>
      <c r="C624" s="36"/>
      <c r="D624" s="43"/>
      <c r="E624" s="48"/>
      <c r="F624" s="48"/>
      <c r="G624" s="49" t="str">
        <f>IFERROR(VLOOKUP(C624,PROD!$A$2:$E$1204,5,0),"0")</f>
        <v>0</v>
      </c>
      <c r="H624" s="10">
        <f>Table_246[[#This Row],[QT]]*Table_246[[#This Row],[Custo 
Un]]</f>
        <v>0</v>
      </c>
      <c r="I624" s="52"/>
      <c r="J624" s="263">
        <f t="shared" si="33"/>
        <v>0</v>
      </c>
      <c r="K624" s="10">
        <f t="shared" si="32"/>
        <v>0</v>
      </c>
      <c r="L624" s="50">
        <f>Table_246[[#This Row],[Valor da 
venda]]-Table_246[[#This Row],[Valor gasto]]</f>
        <v>0</v>
      </c>
      <c r="M624" s="111">
        <f t="shared" si="34"/>
        <v>0</v>
      </c>
      <c r="N624" s="52"/>
      <c r="O624" s="114" t="str">
        <f>IF([1]!Table_246[[#This Row],[Coluna2]]&gt;0.5, "🔥 Excelente", IF([1]!Table_246[[#This Row],[Coluna2]]&gt;0.4, "👍 Bom", "⚠️ Baixo"))</f>
        <v>⚠️ Baixo</v>
      </c>
    </row>
    <row r="625" spans="1:15" ht="15" customHeight="1">
      <c r="A625" s="28" t="str">
        <f>IF(Table_246[[#This Row],[Data]]="","",MONTH(Table_246[[#This Row],[Data]]))</f>
        <v/>
      </c>
      <c r="B625" s="32"/>
      <c r="C625" s="36"/>
      <c r="D625" s="43"/>
      <c r="E625" s="48"/>
      <c r="F625" s="48"/>
      <c r="G625" s="49" t="str">
        <f>IFERROR(VLOOKUP(C625,PROD!$A$2:$E$1204,5,0),"0")</f>
        <v>0</v>
      </c>
      <c r="H625" s="10">
        <f>Table_246[[#This Row],[QT]]*Table_246[[#This Row],[Custo 
Un]]</f>
        <v>0</v>
      </c>
      <c r="I625" s="52"/>
      <c r="J625" s="263">
        <f t="shared" si="33"/>
        <v>0</v>
      </c>
      <c r="K625" s="10">
        <f t="shared" si="32"/>
        <v>0</v>
      </c>
      <c r="L625" s="50">
        <f>Table_246[[#This Row],[Valor da 
venda]]-Table_246[[#This Row],[Valor gasto]]</f>
        <v>0</v>
      </c>
      <c r="M625" s="111">
        <f t="shared" si="34"/>
        <v>0</v>
      </c>
      <c r="N625" s="52"/>
      <c r="O625" s="114" t="str">
        <f>IF([1]!Table_246[[#This Row],[Coluna2]]&gt;0.5, "🔥 Excelente", IF([1]!Table_246[[#This Row],[Coluna2]]&gt;0.4, "👍 Bom", "⚠️ Baixo"))</f>
        <v>⚠️ Baixo</v>
      </c>
    </row>
    <row r="626" spans="1:15" ht="15" customHeight="1">
      <c r="A626" s="28" t="str">
        <f>IF(Table_246[[#This Row],[Data]]="","",MONTH(Table_246[[#This Row],[Data]]))</f>
        <v/>
      </c>
      <c r="B626" s="32"/>
      <c r="C626" s="36"/>
      <c r="D626" s="43"/>
      <c r="E626" s="48"/>
      <c r="F626" s="48"/>
      <c r="G626" s="49" t="str">
        <f>IFERROR(VLOOKUP(C626,PROD!$A$2:$E$1204,5,0),"0")</f>
        <v>0</v>
      </c>
      <c r="H626" s="10">
        <f>Table_246[[#This Row],[QT]]*Table_246[[#This Row],[Custo 
Un]]</f>
        <v>0</v>
      </c>
      <c r="I626" s="52"/>
      <c r="J626" s="263">
        <f t="shared" si="33"/>
        <v>0</v>
      </c>
      <c r="K626" s="10">
        <f t="shared" si="32"/>
        <v>0</v>
      </c>
      <c r="L626" s="50">
        <f>Table_246[[#This Row],[Valor da 
venda]]-Table_246[[#This Row],[Valor gasto]]</f>
        <v>0</v>
      </c>
      <c r="M626" s="111">
        <f t="shared" si="34"/>
        <v>0</v>
      </c>
      <c r="N626" s="52"/>
      <c r="O626" s="114" t="str">
        <f>IF([1]!Table_246[[#This Row],[Coluna2]]&gt;0.5, "🔥 Excelente", IF([1]!Table_246[[#This Row],[Coluna2]]&gt;0.4, "👍 Bom", "⚠️ Baixo"))</f>
        <v>⚠️ Baixo</v>
      </c>
    </row>
    <row r="627" spans="1:15" ht="15" customHeight="1">
      <c r="A627" s="28" t="str">
        <f>IF(Table_246[[#This Row],[Data]]="","",MONTH(Table_246[[#This Row],[Data]]))</f>
        <v/>
      </c>
      <c r="B627" s="32"/>
      <c r="C627" s="36"/>
      <c r="D627" s="43"/>
      <c r="E627" s="48"/>
      <c r="F627" s="48"/>
      <c r="G627" s="49" t="str">
        <f>IFERROR(VLOOKUP(C627,PROD!$A$2:$E$1204,5,0),"0")</f>
        <v>0</v>
      </c>
      <c r="H627" s="10">
        <f>Table_246[[#This Row],[QT]]*Table_246[[#This Row],[Custo 
Un]]</f>
        <v>0</v>
      </c>
      <c r="I627" s="52"/>
      <c r="J627" s="263">
        <f t="shared" si="33"/>
        <v>0</v>
      </c>
      <c r="K627" s="10">
        <f t="shared" si="32"/>
        <v>0</v>
      </c>
      <c r="L627" s="50">
        <f>Table_246[[#This Row],[Valor da 
venda]]-Table_246[[#This Row],[Valor gasto]]</f>
        <v>0</v>
      </c>
      <c r="M627" s="111">
        <f t="shared" si="34"/>
        <v>0</v>
      </c>
      <c r="N627" s="52"/>
      <c r="O627" s="114" t="str">
        <f>IF([1]!Table_246[[#This Row],[Coluna2]]&gt;0.5, "🔥 Excelente", IF([1]!Table_246[[#This Row],[Coluna2]]&gt;0.4, "👍 Bom", "⚠️ Baixo"))</f>
        <v>⚠️ Baixo</v>
      </c>
    </row>
    <row r="628" spans="1:15" ht="15" customHeight="1">
      <c r="A628" s="28" t="str">
        <f>IF(Table_246[[#This Row],[Data]]="","",MONTH(Table_246[[#This Row],[Data]]))</f>
        <v/>
      </c>
      <c r="B628" s="32"/>
      <c r="C628" s="36"/>
      <c r="D628" s="43"/>
      <c r="E628" s="48"/>
      <c r="F628" s="48"/>
      <c r="G628" s="49" t="str">
        <f>IFERROR(VLOOKUP(C628,PROD!$A$2:$E$1204,5,0),"0")</f>
        <v>0</v>
      </c>
      <c r="H628" s="10">
        <f>Table_246[[#This Row],[QT]]*Table_246[[#This Row],[Custo 
Un]]</f>
        <v>0</v>
      </c>
      <c r="I628" s="52"/>
      <c r="J628" s="263">
        <f t="shared" si="33"/>
        <v>0</v>
      </c>
      <c r="K628" s="10">
        <f t="shared" ref="K628:K691" si="35">I628*D628</f>
        <v>0</v>
      </c>
      <c r="L628" s="50">
        <f>Table_246[[#This Row],[Valor da 
venda]]-Table_246[[#This Row],[Valor gasto]]</f>
        <v>0</v>
      </c>
      <c r="M628" s="111">
        <f t="shared" si="34"/>
        <v>0</v>
      </c>
      <c r="N628" s="52"/>
      <c r="O628" s="114" t="str">
        <f>IF([1]!Table_246[[#This Row],[Coluna2]]&gt;0.5, "🔥 Excelente", IF([1]!Table_246[[#This Row],[Coluna2]]&gt;0.4, "👍 Bom", "⚠️ Baixo"))</f>
        <v>⚠️ Baixo</v>
      </c>
    </row>
    <row r="629" spans="1:15" ht="15" customHeight="1">
      <c r="A629" s="28" t="str">
        <f>IF(Table_246[[#This Row],[Data]]="","",MONTH(Table_246[[#This Row],[Data]]))</f>
        <v/>
      </c>
      <c r="B629" s="32"/>
      <c r="C629" s="36"/>
      <c r="D629" s="43"/>
      <c r="E629" s="48"/>
      <c r="F629" s="48"/>
      <c r="G629" s="49" t="str">
        <f>IFERROR(VLOOKUP(C629,PROD!$A$2:$E$1204,5,0),"0")</f>
        <v>0</v>
      </c>
      <c r="H629" s="10">
        <f>Table_246[[#This Row],[QT]]*Table_246[[#This Row],[Custo 
Un]]</f>
        <v>0</v>
      </c>
      <c r="I629" s="52"/>
      <c r="J629" s="263">
        <f t="shared" si="33"/>
        <v>0</v>
      </c>
      <c r="K629" s="10">
        <f t="shared" si="35"/>
        <v>0</v>
      </c>
      <c r="L629" s="50">
        <f>Table_246[[#This Row],[Valor da 
venda]]-Table_246[[#This Row],[Valor gasto]]</f>
        <v>0</v>
      </c>
      <c r="M629" s="111">
        <f t="shared" si="34"/>
        <v>0</v>
      </c>
      <c r="N629" s="52"/>
      <c r="O629" s="114" t="str">
        <f>IF([1]!Table_246[[#This Row],[Coluna2]]&gt;0.5, "🔥 Excelente", IF([1]!Table_246[[#This Row],[Coluna2]]&gt;0.4, "👍 Bom", "⚠️ Baixo"))</f>
        <v>⚠️ Baixo</v>
      </c>
    </row>
    <row r="630" spans="1:15" ht="15" customHeight="1">
      <c r="A630" s="28" t="str">
        <f>IF(Table_246[[#This Row],[Data]]="","",MONTH(Table_246[[#This Row],[Data]]))</f>
        <v/>
      </c>
      <c r="B630" s="32"/>
      <c r="C630" s="36"/>
      <c r="D630" s="43"/>
      <c r="E630" s="48"/>
      <c r="F630" s="48"/>
      <c r="G630" s="49" t="str">
        <f>IFERROR(VLOOKUP(C630,PROD!$A$2:$E$1204,5,0),"0")</f>
        <v>0</v>
      </c>
      <c r="H630" s="10">
        <f>Table_246[[#This Row],[QT]]*Table_246[[#This Row],[Custo 
Un]]</f>
        <v>0</v>
      </c>
      <c r="I630" s="52"/>
      <c r="J630" s="263">
        <f t="shared" si="33"/>
        <v>0</v>
      </c>
      <c r="K630" s="10">
        <f t="shared" si="35"/>
        <v>0</v>
      </c>
      <c r="L630" s="50">
        <f>Table_246[[#This Row],[Valor da 
venda]]-Table_246[[#This Row],[Valor gasto]]</f>
        <v>0</v>
      </c>
      <c r="M630" s="111">
        <f t="shared" si="34"/>
        <v>0</v>
      </c>
      <c r="N630" s="52"/>
      <c r="O630" s="114" t="str">
        <f>IF([1]!Table_246[[#This Row],[Coluna2]]&gt;0.5, "🔥 Excelente", IF([1]!Table_246[[#This Row],[Coluna2]]&gt;0.4, "👍 Bom", "⚠️ Baixo"))</f>
        <v>⚠️ Baixo</v>
      </c>
    </row>
    <row r="631" spans="1:15" ht="15" customHeight="1">
      <c r="A631" s="28" t="str">
        <f>IF(Table_246[[#This Row],[Data]]="","",MONTH(Table_246[[#This Row],[Data]]))</f>
        <v/>
      </c>
      <c r="B631" s="32"/>
      <c r="C631" s="36"/>
      <c r="D631" s="43"/>
      <c r="E631" s="48"/>
      <c r="F631" s="48"/>
      <c r="G631" s="49" t="str">
        <f>IFERROR(VLOOKUP(C631,PROD!$A$2:$E$1204,5,0),"0")</f>
        <v>0</v>
      </c>
      <c r="H631" s="10">
        <f>Table_246[[#This Row],[QT]]*Table_246[[#This Row],[Custo 
Un]]</f>
        <v>0</v>
      </c>
      <c r="I631" s="52"/>
      <c r="J631" s="263">
        <f t="shared" si="33"/>
        <v>0</v>
      </c>
      <c r="K631" s="10">
        <f t="shared" si="35"/>
        <v>0</v>
      </c>
      <c r="L631" s="50">
        <f>Table_246[[#This Row],[Valor da 
venda]]-Table_246[[#This Row],[Valor gasto]]</f>
        <v>0</v>
      </c>
      <c r="M631" s="111">
        <f t="shared" si="34"/>
        <v>0</v>
      </c>
      <c r="N631" s="52"/>
      <c r="O631" s="114" t="str">
        <f>IF([1]!Table_246[[#This Row],[Coluna2]]&gt;0.5, "🔥 Excelente", IF([1]!Table_246[[#This Row],[Coluna2]]&gt;0.4, "👍 Bom", "⚠️ Baixo"))</f>
        <v>⚠️ Baixo</v>
      </c>
    </row>
    <row r="632" spans="1:15" ht="15" customHeight="1">
      <c r="A632" s="28" t="str">
        <f>IF(Table_246[[#This Row],[Data]]="","",MONTH(Table_246[[#This Row],[Data]]))</f>
        <v/>
      </c>
      <c r="B632" s="32"/>
      <c r="C632" s="36"/>
      <c r="D632" s="43"/>
      <c r="E632" s="48"/>
      <c r="F632" s="48"/>
      <c r="G632" s="49" t="str">
        <f>IFERROR(VLOOKUP(C632,PROD!$A$2:$E$1204,5,0),"0")</f>
        <v>0</v>
      </c>
      <c r="H632" s="10">
        <f>Table_246[[#This Row],[QT]]*Table_246[[#This Row],[Custo 
Un]]</f>
        <v>0</v>
      </c>
      <c r="I632" s="52"/>
      <c r="J632" s="263">
        <f t="shared" si="33"/>
        <v>0</v>
      </c>
      <c r="K632" s="10">
        <f t="shared" si="35"/>
        <v>0</v>
      </c>
      <c r="L632" s="50">
        <f>Table_246[[#This Row],[Valor da 
venda]]-Table_246[[#This Row],[Valor gasto]]</f>
        <v>0</v>
      </c>
      <c r="M632" s="111">
        <f t="shared" si="34"/>
        <v>0</v>
      </c>
      <c r="N632" s="52"/>
      <c r="O632" s="114" t="str">
        <f>IF([1]!Table_246[[#This Row],[Coluna2]]&gt;0.5, "🔥 Excelente", IF([1]!Table_246[[#This Row],[Coluna2]]&gt;0.4, "👍 Bom", "⚠️ Baixo"))</f>
        <v>⚠️ Baixo</v>
      </c>
    </row>
    <row r="633" spans="1:15" ht="15" customHeight="1">
      <c r="A633" s="28" t="str">
        <f>IF(Table_246[[#This Row],[Data]]="","",MONTH(Table_246[[#This Row],[Data]]))</f>
        <v/>
      </c>
      <c r="B633" s="32"/>
      <c r="C633" s="36"/>
      <c r="D633" s="43"/>
      <c r="E633" s="48"/>
      <c r="F633" s="48"/>
      <c r="G633" s="49" t="str">
        <f>IFERROR(VLOOKUP(C633,PROD!$A$2:$E$1204,5,0),"0")</f>
        <v>0</v>
      </c>
      <c r="H633" s="10">
        <f>Table_246[[#This Row],[QT]]*Table_246[[#This Row],[Custo 
Un]]</f>
        <v>0</v>
      </c>
      <c r="I633" s="52"/>
      <c r="J633" s="263">
        <f t="shared" si="33"/>
        <v>0</v>
      </c>
      <c r="K633" s="10">
        <f t="shared" si="35"/>
        <v>0</v>
      </c>
      <c r="L633" s="50">
        <f>Table_246[[#This Row],[Valor da 
venda]]-Table_246[[#This Row],[Valor gasto]]</f>
        <v>0</v>
      </c>
      <c r="M633" s="111">
        <f t="shared" si="34"/>
        <v>0</v>
      </c>
      <c r="N633" s="52"/>
      <c r="O633" s="114" t="str">
        <f>IF([1]!Table_246[[#This Row],[Coluna2]]&gt;0.5, "🔥 Excelente", IF([1]!Table_246[[#This Row],[Coluna2]]&gt;0.4, "👍 Bom", "⚠️ Baixo"))</f>
        <v>⚠️ Baixo</v>
      </c>
    </row>
    <row r="634" spans="1:15" ht="15" customHeight="1">
      <c r="A634" s="28" t="str">
        <f>IF(Table_246[[#This Row],[Data]]="","",MONTH(Table_246[[#This Row],[Data]]))</f>
        <v/>
      </c>
      <c r="B634" s="32"/>
      <c r="C634" s="36"/>
      <c r="D634" s="43"/>
      <c r="E634" s="48"/>
      <c r="F634" s="48"/>
      <c r="G634" s="49" t="str">
        <f>IFERROR(VLOOKUP(C634,PROD!$A$2:$E$1204,5,0),"0")</f>
        <v>0</v>
      </c>
      <c r="H634" s="10">
        <f>Table_246[[#This Row],[QT]]*Table_246[[#This Row],[Custo 
Un]]</f>
        <v>0</v>
      </c>
      <c r="I634" s="52"/>
      <c r="J634" s="263">
        <f t="shared" si="33"/>
        <v>0</v>
      </c>
      <c r="K634" s="10">
        <f t="shared" si="35"/>
        <v>0</v>
      </c>
      <c r="L634" s="50">
        <f>Table_246[[#This Row],[Valor da 
venda]]-Table_246[[#This Row],[Valor gasto]]</f>
        <v>0</v>
      </c>
      <c r="M634" s="111">
        <f t="shared" si="34"/>
        <v>0</v>
      </c>
      <c r="N634" s="52"/>
      <c r="O634" s="114" t="str">
        <f>IF([1]!Table_246[[#This Row],[Coluna2]]&gt;0.5, "🔥 Excelente", IF([1]!Table_246[[#This Row],[Coluna2]]&gt;0.4, "👍 Bom", "⚠️ Baixo"))</f>
        <v>⚠️ Baixo</v>
      </c>
    </row>
    <row r="635" spans="1:15" ht="15" customHeight="1">
      <c r="A635" s="28" t="str">
        <f>IF(Table_246[[#This Row],[Data]]="","",MONTH(Table_246[[#This Row],[Data]]))</f>
        <v/>
      </c>
      <c r="B635" s="32"/>
      <c r="C635" s="36"/>
      <c r="D635" s="43"/>
      <c r="E635" s="48"/>
      <c r="F635" s="48"/>
      <c r="G635" s="49" t="str">
        <f>IFERROR(VLOOKUP(C635,PROD!$A$2:$E$1204,5,0),"0")</f>
        <v>0</v>
      </c>
      <c r="H635" s="10">
        <f>Table_246[[#This Row],[QT]]*Table_246[[#This Row],[Custo 
Un]]</f>
        <v>0</v>
      </c>
      <c r="I635" s="52"/>
      <c r="J635" s="263">
        <f t="shared" si="33"/>
        <v>0</v>
      </c>
      <c r="K635" s="10">
        <f t="shared" si="35"/>
        <v>0</v>
      </c>
      <c r="L635" s="50">
        <f>Table_246[[#This Row],[Valor da 
venda]]-Table_246[[#This Row],[Valor gasto]]</f>
        <v>0</v>
      </c>
      <c r="M635" s="111">
        <f t="shared" si="34"/>
        <v>0</v>
      </c>
      <c r="N635" s="52"/>
      <c r="O635" s="114" t="str">
        <f>IF([1]!Table_246[[#This Row],[Coluna2]]&gt;0.5, "🔥 Excelente", IF([1]!Table_246[[#This Row],[Coluna2]]&gt;0.4, "👍 Bom", "⚠️ Baixo"))</f>
        <v>⚠️ Baixo</v>
      </c>
    </row>
    <row r="636" spans="1:15" ht="15" customHeight="1">
      <c r="A636" s="28" t="str">
        <f>IF(Table_246[[#This Row],[Data]]="","",MONTH(Table_246[[#This Row],[Data]]))</f>
        <v/>
      </c>
      <c r="B636" s="32"/>
      <c r="C636" s="36"/>
      <c r="D636" s="43"/>
      <c r="E636" s="48"/>
      <c r="F636" s="48"/>
      <c r="G636" s="49" t="str">
        <f>IFERROR(VLOOKUP(C636,PROD!$A$2:$E$1204,5,0),"0")</f>
        <v>0</v>
      </c>
      <c r="H636" s="10">
        <f>Table_246[[#This Row],[QT]]*Table_246[[#This Row],[Custo 
Un]]</f>
        <v>0</v>
      </c>
      <c r="I636" s="52"/>
      <c r="J636" s="263">
        <f t="shared" si="33"/>
        <v>0</v>
      </c>
      <c r="K636" s="10">
        <f t="shared" si="35"/>
        <v>0</v>
      </c>
      <c r="L636" s="50">
        <f>Table_246[[#This Row],[Valor da 
venda]]-Table_246[[#This Row],[Valor gasto]]</f>
        <v>0</v>
      </c>
      <c r="M636" s="111">
        <f t="shared" si="34"/>
        <v>0</v>
      </c>
      <c r="N636" s="52"/>
      <c r="O636" s="114" t="str">
        <f>IF([1]!Table_246[[#This Row],[Coluna2]]&gt;0.5, "🔥 Excelente", IF([1]!Table_246[[#This Row],[Coluna2]]&gt;0.4, "👍 Bom", "⚠️ Baixo"))</f>
        <v>⚠️ Baixo</v>
      </c>
    </row>
    <row r="637" spans="1:15" ht="15" customHeight="1">
      <c r="A637" s="28" t="str">
        <f>IF(Table_246[[#This Row],[Data]]="","",MONTH(Table_246[[#This Row],[Data]]))</f>
        <v/>
      </c>
      <c r="B637" s="32"/>
      <c r="C637" s="36"/>
      <c r="D637" s="43"/>
      <c r="E637" s="48"/>
      <c r="F637" s="48"/>
      <c r="G637" s="49" t="str">
        <f>IFERROR(VLOOKUP(C637,PROD!$A$2:$E$1204,5,0),"0")</f>
        <v>0</v>
      </c>
      <c r="H637" s="10">
        <f>Table_246[[#This Row],[QT]]*Table_246[[#This Row],[Custo 
Un]]</f>
        <v>0</v>
      </c>
      <c r="I637" s="52"/>
      <c r="J637" s="263">
        <f t="shared" si="33"/>
        <v>0</v>
      </c>
      <c r="K637" s="10">
        <f t="shared" si="35"/>
        <v>0</v>
      </c>
      <c r="L637" s="50">
        <f>Table_246[[#This Row],[Valor da 
venda]]-Table_246[[#This Row],[Valor gasto]]</f>
        <v>0</v>
      </c>
      <c r="M637" s="111">
        <f t="shared" si="34"/>
        <v>0</v>
      </c>
      <c r="N637" s="52"/>
      <c r="O637" s="114" t="str">
        <f>IF([1]!Table_246[[#This Row],[Coluna2]]&gt;0.5, "🔥 Excelente", IF([1]!Table_246[[#This Row],[Coluna2]]&gt;0.4, "👍 Bom", "⚠️ Baixo"))</f>
        <v>⚠️ Baixo</v>
      </c>
    </row>
    <row r="638" spans="1:15" ht="15" customHeight="1">
      <c r="A638" s="28" t="str">
        <f>IF(Table_246[[#This Row],[Data]]="","",MONTH(Table_246[[#This Row],[Data]]))</f>
        <v/>
      </c>
      <c r="B638" s="32"/>
      <c r="C638" s="36"/>
      <c r="D638" s="43"/>
      <c r="E638" s="48"/>
      <c r="F638" s="48"/>
      <c r="G638" s="49" t="str">
        <f>IFERROR(VLOOKUP(C638,PROD!$A$2:$E$1204,5,0),"0")</f>
        <v>0</v>
      </c>
      <c r="H638" s="10">
        <f>Table_246[[#This Row],[QT]]*Table_246[[#This Row],[Custo 
Un]]</f>
        <v>0</v>
      </c>
      <c r="I638" s="52"/>
      <c r="J638" s="263">
        <f t="shared" si="33"/>
        <v>0</v>
      </c>
      <c r="K638" s="10">
        <f t="shared" si="35"/>
        <v>0</v>
      </c>
      <c r="L638" s="50">
        <f>Table_246[[#This Row],[Valor da 
venda]]-Table_246[[#This Row],[Valor gasto]]</f>
        <v>0</v>
      </c>
      <c r="M638" s="111">
        <f t="shared" si="34"/>
        <v>0</v>
      </c>
      <c r="N638" s="52"/>
      <c r="O638" s="114" t="str">
        <f>IF([1]!Table_246[[#This Row],[Coluna2]]&gt;0.5, "🔥 Excelente", IF([1]!Table_246[[#This Row],[Coluna2]]&gt;0.4, "👍 Bom", "⚠️ Baixo"))</f>
        <v>⚠️ Baixo</v>
      </c>
    </row>
    <row r="639" spans="1:15" ht="15" customHeight="1">
      <c r="A639" s="28" t="str">
        <f>IF(Table_246[[#This Row],[Data]]="","",MONTH(Table_246[[#This Row],[Data]]))</f>
        <v/>
      </c>
      <c r="B639" s="32"/>
      <c r="C639" s="36"/>
      <c r="D639" s="43"/>
      <c r="E639" s="48"/>
      <c r="F639" s="48"/>
      <c r="G639" s="49" t="str">
        <f>IFERROR(VLOOKUP(C639,PROD!$A$2:$E$1204,5,0),"0")</f>
        <v>0</v>
      </c>
      <c r="H639" s="10">
        <f>Table_246[[#This Row],[QT]]*Table_246[[#This Row],[Custo 
Un]]</f>
        <v>0</v>
      </c>
      <c r="I639" s="52"/>
      <c r="J639" s="263">
        <f t="shared" si="33"/>
        <v>0</v>
      </c>
      <c r="K639" s="10">
        <f t="shared" si="35"/>
        <v>0</v>
      </c>
      <c r="L639" s="50">
        <f>Table_246[[#This Row],[Valor da 
venda]]-Table_246[[#This Row],[Valor gasto]]</f>
        <v>0</v>
      </c>
      <c r="M639" s="111">
        <f t="shared" si="34"/>
        <v>0</v>
      </c>
      <c r="N639" s="52"/>
      <c r="O639" s="114" t="str">
        <f>IF([1]!Table_246[[#This Row],[Coluna2]]&gt;0.5, "🔥 Excelente", IF([1]!Table_246[[#This Row],[Coluna2]]&gt;0.4, "👍 Bom", "⚠️ Baixo"))</f>
        <v>⚠️ Baixo</v>
      </c>
    </row>
    <row r="640" spans="1:15" ht="15" customHeight="1">
      <c r="A640" s="28" t="str">
        <f>IF(Table_246[[#This Row],[Data]]="","",MONTH(Table_246[[#This Row],[Data]]))</f>
        <v/>
      </c>
      <c r="B640" s="32"/>
      <c r="C640" s="36"/>
      <c r="D640" s="43"/>
      <c r="E640" s="48"/>
      <c r="F640" s="48"/>
      <c r="G640" s="49" t="str">
        <f>IFERROR(VLOOKUP(C640,PROD!$A$2:$E$1204,5,0),"0")</f>
        <v>0</v>
      </c>
      <c r="H640" s="10">
        <f>Table_246[[#This Row],[QT]]*Table_246[[#This Row],[Custo 
Un]]</f>
        <v>0</v>
      </c>
      <c r="I640" s="52"/>
      <c r="J640" s="263">
        <f t="shared" si="33"/>
        <v>0</v>
      </c>
      <c r="K640" s="10">
        <f t="shared" si="35"/>
        <v>0</v>
      </c>
      <c r="L640" s="50">
        <f>Table_246[[#This Row],[Valor da 
venda]]-Table_246[[#This Row],[Valor gasto]]</f>
        <v>0</v>
      </c>
      <c r="M640" s="111">
        <f t="shared" si="34"/>
        <v>0</v>
      </c>
      <c r="N640" s="52"/>
      <c r="O640" s="114" t="str">
        <f>IF([1]!Table_246[[#This Row],[Coluna2]]&gt;0.5, "🔥 Excelente", IF([1]!Table_246[[#This Row],[Coluna2]]&gt;0.4, "👍 Bom", "⚠️ Baixo"))</f>
        <v>⚠️ Baixo</v>
      </c>
    </row>
    <row r="641" spans="1:15" ht="15" customHeight="1">
      <c r="A641" s="28" t="str">
        <f>IF(Table_246[[#This Row],[Data]]="","",MONTH(Table_246[[#This Row],[Data]]))</f>
        <v/>
      </c>
      <c r="B641" s="32"/>
      <c r="C641" s="36"/>
      <c r="D641" s="43"/>
      <c r="E641" s="48"/>
      <c r="F641" s="48"/>
      <c r="G641" s="49" t="str">
        <f>IFERROR(VLOOKUP(C641,PROD!$A$2:$E$1204,5,0),"0")</f>
        <v>0</v>
      </c>
      <c r="H641" s="10">
        <f>Table_246[[#This Row],[QT]]*Table_246[[#This Row],[Custo 
Un]]</f>
        <v>0</v>
      </c>
      <c r="I641" s="52"/>
      <c r="J641" s="263">
        <f t="shared" si="33"/>
        <v>0</v>
      </c>
      <c r="K641" s="10">
        <f t="shared" si="35"/>
        <v>0</v>
      </c>
      <c r="L641" s="50">
        <f>Table_246[[#This Row],[Valor da 
venda]]-Table_246[[#This Row],[Valor gasto]]</f>
        <v>0</v>
      </c>
      <c r="M641" s="111">
        <f t="shared" si="34"/>
        <v>0</v>
      </c>
      <c r="N641" s="52"/>
      <c r="O641" s="114" t="str">
        <f>IF([1]!Table_246[[#This Row],[Coluna2]]&gt;0.5, "🔥 Excelente", IF([1]!Table_246[[#This Row],[Coluna2]]&gt;0.4, "👍 Bom", "⚠️ Baixo"))</f>
        <v>⚠️ Baixo</v>
      </c>
    </row>
    <row r="642" spans="1:15" ht="15" customHeight="1">
      <c r="A642" s="28" t="str">
        <f>IF(Table_246[[#This Row],[Data]]="","",MONTH(Table_246[[#This Row],[Data]]))</f>
        <v/>
      </c>
      <c r="B642" s="32"/>
      <c r="C642" s="36"/>
      <c r="D642" s="43"/>
      <c r="E642" s="48"/>
      <c r="F642" s="48"/>
      <c r="G642" s="49" t="str">
        <f>IFERROR(VLOOKUP(C642,PROD!$A$2:$E$1204,5,0),"0")</f>
        <v>0</v>
      </c>
      <c r="H642" s="10">
        <f>Table_246[[#This Row],[QT]]*Table_246[[#This Row],[Custo 
Un]]</f>
        <v>0</v>
      </c>
      <c r="I642" s="52"/>
      <c r="J642" s="263">
        <f t="shared" ref="J642:J705" si="36">I642*D642</f>
        <v>0</v>
      </c>
      <c r="K642" s="10">
        <f t="shared" si="35"/>
        <v>0</v>
      </c>
      <c r="L642" s="50">
        <f>Table_246[[#This Row],[Valor da 
venda]]-Table_246[[#This Row],[Valor gasto]]</f>
        <v>0</v>
      </c>
      <c r="M642" s="111">
        <f t="shared" si="34"/>
        <v>0</v>
      </c>
      <c r="N642" s="52"/>
      <c r="O642" s="114" t="str">
        <f>IF([1]!Table_246[[#This Row],[Coluna2]]&gt;0.5, "🔥 Excelente", IF([1]!Table_246[[#This Row],[Coluna2]]&gt;0.4, "👍 Bom", "⚠️ Baixo"))</f>
        <v>⚠️ Baixo</v>
      </c>
    </row>
    <row r="643" spans="1:15" ht="15" customHeight="1">
      <c r="A643" s="28" t="str">
        <f>IF(Table_246[[#This Row],[Data]]="","",MONTH(Table_246[[#This Row],[Data]]))</f>
        <v/>
      </c>
      <c r="B643" s="32"/>
      <c r="C643" s="36"/>
      <c r="D643" s="43"/>
      <c r="E643" s="48"/>
      <c r="F643" s="48"/>
      <c r="G643" s="49" t="str">
        <f>IFERROR(VLOOKUP(C643,PROD!$A$2:$E$1204,5,0),"0")</f>
        <v>0</v>
      </c>
      <c r="H643" s="10">
        <f>Table_246[[#This Row],[QT]]*Table_246[[#This Row],[Custo 
Un]]</f>
        <v>0</v>
      </c>
      <c r="I643" s="52"/>
      <c r="J643" s="263">
        <f t="shared" si="36"/>
        <v>0</v>
      </c>
      <c r="K643" s="10">
        <f t="shared" si="35"/>
        <v>0</v>
      </c>
      <c r="L643" s="50">
        <f>Table_246[[#This Row],[Valor da 
venda]]-Table_246[[#This Row],[Valor gasto]]</f>
        <v>0</v>
      </c>
      <c r="M643" s="111">
        <f t="shared" si="34"/>
        <v>0</v>
      </c>
      <c r="N643" s="52"/>
      <c r="O643" s="114" t="str">
        <f>IF([1]!Table_246[[#This Row],[Coluna2]]&gt;0.5, "🔥 Excelente", IF([1]!Table_246[[#This Row],[Coluna2]]&gt;0.4, "👍 Bom", "⚠️ Baixo"))</f>
        <v>⚠️ Baixo</v>
      </c>
    </row>
    <row r="644" spans="1:15" ht="15" customHeight="1">
      <c r="A644" s="28" t="str">
        <f>IF(Table_246[[#This Row],[Data]]="","",MONTH(Table_246[[#This Row],[Data]]))</f>
        <v/>
      </c>
      <c r="B644" s="32"/>
      <c r="C644" s="36"/>
      <c r="D644" s="43"/>
      <c r="E644" s="48"/>
      <c r="F644" s="48"/>
      <c r="G644" s="49" t="str">
        <f>IFERROR(VLOOKUP(C644,PROD!$A$2:$E$1204,5,0),"0")</f>
        <v>0</v>
      </c>
      <c r="H644" s="10">
        <f>Table_246[[#This Row],[QT]]*Table_246[[#This Row],[Custo 
Un]]</f>
        <v>0</v>
      </c>
      <c r="I644" s="52"/>
      <c r="J644" s="263">
        <f t="shared" si="36"/>
        <v>0</v>
      </c>
      <c r="K644" s="10">
        <f t="shared" si="35"/>
        <v>0</v>
      </c>
      <c r="L644" s="50">
        <f>Table_246[[#This Row],[Valor da 
venda]]-Table_246[[#This Row],[Valor gasto]]</f>
        <v>0</v>
      </c>
      <c r="M644" s="111">
        <f t="shared" si="34"/>
        <v>0</v>
      </c>
      <c r="N644" s="52"/>
      <c r="O644" s="114" t="str">
        <f>IF([1]!Table_246[[#This Row],[Coluna2]]&gt;0.5, "🔥 Excelente", IF([1]!Table_246[[#This Row],[Coluna2]]&gt;0.4, "👍 Bom", "⚠️ Baixo"))</f>
        <v>⚠️ Baixo</v>
      </c>
    </row>
    <row r="645" spans="1:15" ht="15" customHeight="1">
      <c r="A645" s="28" t="str">
        <f>IF(Table_246[[#This Row],[Data]]="","",MONTH(Table_246[[#This Row],[Data]]))</f>
        <v/>
      </c>
      <c r="B645" s="32"/>
      <c r="C645" s="36"/>
      <c r="D645" s="43"/>
      <c r="E645" s="48"/>
      <c r="F645" s="48"/>
      <c r="G645" s="49" t="str">
        <f>IFERROR(VLOOKUP(C645,PROD!$A$2:$E$1204,5,0),"0")</f>
        <v>0</v>
      </c>
      <c r="H645" s="10">
        <f>Table_246[[#This Row],[QT]]*Table_246[[#This Row],[Custo 
Un]]</f>
        <v>0</v>
      </c>
      <c r="I645" s="52"/>
      <c r="J645" s="263">
        <f t="shared" si="36"/>
        <v>0</v>
      </c>
      <c r="K645" s="10">
        <f t="shared" si="35"/>
        <v>0</v>
      </c>
      <c r="L645" s="50">
        <f>Table_246[[#This Row],[Valor da 
venda]]-Table_246[[#This Row],[Valor gasto]]</f>
        <v>0</v>
      </c>
      <c r="M645" s="111">
        <f t="shared" ref="M645:M708" si="37">IFERROR(L645/K645, 0)</f>
        <v>0</v>
      </c>
      <c r="N645" s="52"/>
      <c r="O645" s="114" t="str">
        <f>IF([1]!Table_246[[#This Row],[Coluna2]]&gt;0.5, "🔥 Excelente", IF([1]!Table_246[[#This Row],[Coluna2]]&gt;0.4, "👍 Bom", "⚠️ Baixo"))</f>
        <v>⚠️ Baixo</v>
      </c>
    </row>
    <row r="646" spans="1:15" ht="15" customHeight="1">
      <c r="A646" s="28" t="str">
        <f>IF(Table_246[[#This Row],[Data]]="","",MONTH(Table_246[[#This Row],[Data]]))</f>
        <v/>
      </c>
      <c r="B646" s="32"/>
      <c r="C646" s="36"/>
      <c r="D646" s="43"/>
      <c r="E646" s="48"/>
      <c r="F646" s="48"/>
      <c r="G646" s="49" t="str">
        <f>IFERROR(VLOOKUP(C646,PROD!$A$2:$E$1204,5,0),"0")</f>
        <v>0</v>
      </c>
      <c r="H646" s="10">
        <f>Table_246[[#This Row],[QT]]*Table_246[[#This Row],[Custo 
Un]]</f>
        <v>0</v>
      </c>
      <c r="I646" s="52"/>
      <c r="J646" s="263">
        <f t="shared" si="36"/>
        <v>0</v>
      </c>
      <c r="K646" s="10">
        <f t="shared" si="35"/>
        <v>0</v>
      </c>
      <c r="L646" s="50">
        <f>Table_246[[#This Row],[Valor da 
venda]]-Table_246[[#This Row],[Valor gasto]]</f>
        <v>0</v>
      </c>
      <c r="M646" s="111">
        <f t="shared" si="37"/>
        <v>0</v>
      </c>
      <c r="N646" s="52"/>
      <c r="O646" s="114" t="str">
        <f>IF([1]!Table_246[[#This Row],[Coluna2]]&gt;0.5, "🔥 Excelente", IF([1]!Table_246[[#This Row],[Coluna2]]&gt;0.4, "👍 Bom", "⚠️ Baixo"))</f>
        <v>⚠️ Baixo</v>
      </c>
    </row>
    <row r="647" spans="1:15" ht="15" customHeight="1">
      <c r="A647" s="28" t="str">
        <f>IF(Table_246[[#This Row],[Data]]="","",MONTH(Table_246[[#This Row],[Data]]))</f>
        <v/>
      </c>
      <c r="B647" s="32"/>
      <c r="C647" s="36"/>
      <c r="D647" s="43"/>
      <c r="E647" s="48"/>
      <c r="F647" s="48"/>
      <c r="G647" s="49" t="str">
        <f>IFERROR(VLOOKUP(C647,PROD!$A$2:$E$1204,5,0),"0")</f>
        <v>0</v>
      </c>
      <c r="H647" s="10">
        <f>Table_246[[#This Row],[QT]]*Table_246[[#This Row],[Custo 
Un]]</f>
        <v>0</v>
      </c>
      <c r="I647" s="52"/>
      <c r="J647" s="263">
        <f t="shared" si="36"/>
        <v>0</v>
      </c>
      <c r="K647" s="10">
        <f t="shared" si="35"/>
        <v>0</v>
      </c>
      <c r="L647" s="50">
        <f>Table_246[[#This Row],[Valor da 
venda]]-Table_246[[#This Row],[Valor gasto]]</f>
        <v>0</v>
      </c>
      <c r="M647" s="111">
        <f t="shared" si="37"/>
        <v>0</v>
      </c>
      <c r="N647" s="52"/>
      <c r="O647" s="114" t="str">
        <f>IF([1]!Table_246[[#This Row],[Coluna2]]&gt;0.5, "🔥 Excelente", IF([1]!Table_246[[#This Row],[Coluna2]]&gt;0.4, "👍 Bom", "⚠️ Baixo"))</f>
        <v>⚠️ Baixo</v>
      </c>
    </row>
    <row r="648" spans="1:15" ht="15" customHeight="1">
      <c r="A648" s="28" t="str">
        <f>IF(Table_246[[#This Row],[Data]]="","",MONTH(Table_246[[#This Row],[Data]]))</f>
        <v/>
      </c>
      <c r="B648" s="32"/>
      <c r="C648" s="36"/>
      <c r="D648" s="43"/>
      <c r="E648" s="48"/>
      <c r="F648" s="48"/>
      <c r="G648" s="49" t="str">
        <f>IFERROR(VLOOKUP(C648,PROD!$A$2:$E$1204,5,0),"0")</f>
        <v>0</v>
      </c>
      <c r="H648" s="10">
        <f>Table_246[[#This Row],[QT]]*Table_246[[#This Row],[Custo 
Un]]</f>
        <v>0</v>
      </c>
      <c r="I648" s="52"/>
      <c r="J648" s="263">
        <f t="shared" si="36"/>
        <v>0</v>
      </c>
      <c r="K648" s="10">
        <f t="shared" si="35"/>
        <v>0</v>
      </c>
      <c r="L648" s="50">
        <f>Table_246[[#This Row],[Valor da 
venda]]-Table_246[[#This Row],[Valor gasto]]</f>
        <v>0</v>
      </c>
      <c r="M648" s="111">
        <f t="shared" si="37"/>
        <v>0</v>
      </c>
      <c r="N648" s="52"/>
      <c r="O648" s="114" t="str">
        <f>IF([1]!Table_246[[#This Row],[Coluna2]]&gt;0.5, "🔥 Excelente", IF([1]!Table_246[[#This Row],[Coluna2]]&gt;0.4, "👍 Bom", "⚠️ Baixo"))</f>
        <v>⚠️ Baixo</v>
      </c>
    </row>
    <row r="649" spans="1:15" ht="15" customHeight="1">
      <c r="A649" s="28" t="str">
        <f>IF(Table_246[[#This Row],[Data]]="","",MONTH(Table_246[[#This Row],[Data]]))</f>
        <v/>
      </c>
      <c r="B649" s="32"/>
      <c r="C649" s="36"/>
      <c r="D649" s="43"/>
      <c r="E649" s="48"/>
      <c r="F649" s="48"/>
      <c r="G649" s="49" t="str">
        <f>IFERROR(VLOOKUP(C649,PROD!$A$2:$E$1204,5,0),"0")</f>
        <v>0</v>
      </c>
      <c r="H649" s="10">
        <f>Table_246[[#This Row],[QT]]*Table_246[[#This Row],[Custo 
Un]]</f>
        <v>0</v>
      </c>
      <c r="I649" s="52"/>
      <c r="J649" s="263">
        <f t="shared" si="36"/>
        <v>0</v>
      </c>
      <c r="K649" s="10">
        <f t="shared" si="35"/>
        <v>0</v>
      </c>
      <c r="L649" s="50">
        <f>Table_246[[#This Row],[Valor da 
venda]]-Table_246[[#This Row],[Valor gasto]]</f>
        <v>0</v>
      </c>
      <c r="M649" s="111">
        <f t="shared" si="37"/>
        <v>0</v>
      </c>
      <c r="N649" s="52"/>
      <c r="O649" s="114" t="str">
        <f>IF([1]!Table_246[[#This Row],[Coluna2]]&gt;0.5, "🔥 Excelente", IF([1]!Table_246[[#This Row],[Coluna2]]&gt;0.4, "👍 Bom", "⚠️ Baixo"))</f>
        <v>⚠️ Baixo</v>
      </c>
    </row>
    <row r="650" spans="1:15" ht="15" customHeight="1">
      <c r="A650" s="28" t="str">
        <f>IF(Table_246[[#This Row],[Data]]="","",MONTH(Table_246[[#This Row],[Data]]))</f>
        <v/>
      </c>
      <c r="B650" s="32"/>
      <c r="C650" s="36"/>
      <c r="D650" s="43"/>
      <c r="E650" s="48"/>
      <c r="F650" s="48"/>
      <c r="G650" s="49" t="str">
        <f>IFERROR(VLOOKUP(C650,PROD!$A$2:$E$1204,5,0),"0")</f>
        <v>0</v>
      </c>
      <c r="H650" s="10">
        <f>Table_246[[#This Row],[QT]]*Table_246[[#This Row],[Custo 
Un]]</f>
        <v>0</v>
      </c>
      <c r="I650" s="52"/>
      <c r="J650" s="263">
        <f t="shared" si="36"/>
        <v>0</v>
      </c>
      <c r="K650" s="10">
        <f t="shared" si="35"/>
        <v>0</v>
      </c>
      <c r="L650" s="50">
        <f>Table_246[[#This Row],[Valor da 
venda]]-Table_246[[#This Row],[Valor gasto]]</f>
        <v>0</v>
      </c>
      <c r="M650" s="111">
        <f t="shared" si="37"/>
        <v>0</v>
      </c>
      <c r="N650" s="52"/>
      <c r="O650" s="114" t="str">
        <f>IF([1]!Table_246[[#This Row],[Coluna2]]&gt;0.5, "🔥 Excelente", IF([1]!Table_246[[#This Row],[Coluna2]]&gt;0.4, "👍 Bom", "⚠️ Baixo"))</f>
        <v>⚠️ Baixo</v>
      </c>
    </row>
    <row r="651" spans="1:15" ht="15" customHeight="1">
      <c r="A651" s="28" t="str">
        <f>IF(Table_246[[#This Row],[Data]]="","",MONTH(Table_246[[#This Row],[Data]]))</f>
        <v/>
      </c>
      <c r="B651" s="32"/>
      <c r="C651" s="36"/>
      <c r="D651" s="43"/>
      <c r="E651" s="48"/>
      <c r="F651" s="48"/>
      <c r="G651" s="49" t="str">
        <f>IFERROR(VLOOKUP(C651,PROD!$A$2:$E$1204,5,0),"0")</f>
        <v>0</v>
      </c>
      <c r="H651" s="10">
        <f>Table_246[[#This Row],[QT]]*Table_246[[#This Row],[Custo 
Un]]</f>
        <v>0</v>
      </c>
      <c r="I651" s="52"/>
      <c r="J651" s="263">
        <f t="shared" si="36"/>
        <v>0</v>
      </c>
      <c r="K651" s="10">
        <f t="shared" si="35"/>
        <v>0</v>
      </c>
      <c r="L651" s="50">
        <f>Table_246[[#This Row],[Valor da 
venda]]-Table_246[[#This Row],[Valor gasto]]</f>
        <v>0</v>
      </c>
      <c r="M651" s="111">
        <f t="shared" si="37"/>
        <v>0</v>
      </c>
      <c r="N651" s="52"/>
      <c r="O651" s="114" t="str">
        <f>IF([1]!Table_246[[#This Row],[Coluna2]]&gt;0.5, "🔥 Excelente", IF([1]!Table_246[[#This Row],[Coluna2]]&gt;0.4, "👍 Bom", "⚠️ Baixo"))</f>
        <v>⚠️ Baixo</v>
      </c>
    </row>
    <row r="652" spans="1:15" ht="15" customHeight="1">
      <c r="A652" s="28" t="str">
        <f>IF(Table_246[[#This Row],[Data]]="","",MONTH(Table_246[[#This Row],[Data]]))</f>
        <v/>
      </c>
      <c r="B652" s="32"/>
      <c r="C652" s="36"/>
      <c r="D652" s="43"/>
      <c r="E652" s="48"/>
      <c r="F652" s="48"/>
      <c r="G652" s="49" t="str">
        <f>IFERROR(VLOOKUP(C652,PROD!$A$2:$E$1204,5,0),"0")</f>
        <v>0</v>
      </c>
      <c r="H652" s="10">
        <f>Table_246[[#This Row],[QT]]*Table_246[[#This Row],[Custo 
Un]]</f>
        <v>0</v>
      </c>
      <c r="I652" s="52"/>
      <c r="J652" s="263">
        <f t="shared" si="36"/>
        <v>0</v>
      </c>
      <c r="K652" s="10">
        <f t="shared" si="35"/>
        <v>0</v>
      </c>
      <c r="L652" s="50">
        <f>Table_246[[#This Row],[Valor da 
venda]]-Table_246[[#This Row],[Valor gasto]]</f>
        <v>0</v>
      </c>
      <c r="M652" s="111">
        <f t="shared" si="37"/>
        <v>0</v>
      </c>
      <c r="N652" s="52"/>
      <c r="O652" s="114" t="str">
        <f>IF([1]!Table_246[[#This Row],[Coluna2]]&gt;0.5, "🔥 Excelente", IF([1]!Table_246[[#This Row],[Coluna2]]&gt;0.4, "👍 Bom", "⚠️ Baixo"))</f>
        <v>⚠️ Baixo</v>
      </c>
    </row>
    <row r="653" spans="1:15" ht="15" customHeight="1">
      <c r="A653" s="28" t="str">
        <f>IF(Table_246[[#This Row],[Data]]="","",MONTH(Table_246[[#This Row],[Data]]))</f>
        <v/>
      </c>
      <c r="B653" s="32"/>
      <c r="C653" s="36"/>
      <c r="D653" s="43"/>
      <c r="E653" s="48"/>
      <c r="F653" s="48"/>
      <c r="G653" s="49" t="str">
        <f>IFERROR(VLOOKUP(C653,PROD!$A$2:$E$1204,5,0),"0")</f>
        <v>0</v>
      </c>
      <c r="H653" s="10">
        <f>Table_246[[#This Row],[QT]]*Table_246[[#This Row],[Custo 
Un]]</f>
        <v>0</v>
      </c>
      <c r="I653" s="52"/>
      <c r="J653" s="263">
        <f t="shared" si="36"/>
        <v>0</v>
      </c>
      <c r="K653" s="10">
        <f t="shared" si="35"/>
        <v>0</v>
      </c>
      <c r="L653" s="50">
        <f>Table_246[[#This Row],[Valor da 
venda]]-Table_246[[#This Row],[Valor gasto]]</f>
        <v>0</v>
      </c>
      <c r="M653" s="111">
        <f t="shared" si="37"/>
        <v>0</v>
      </c>
      <c r="N653" s="52"/>
      <c r="O653" s="114" t="str">
        <f>IF([1]!Table_246[[#This Row],[Coluna2]]&gt;0.5, "🔥 Excelente", IF([1]!Table_246[[#This Row],[Coluna2]]&gt;0.4, "👍 Bom", "⚠️ Baixo"))</f>
        <v>⚠️ Baixo</v>
      </c>
    </row>
    <row r="654" spans="1:15" ht="15" customHeight="1">
      <c r="A654" s="28" t="str">
        <f>IF(Table_246[[#This Row],[Data]]="","",MONTH(Table_246[[#This Row],[Data]]))</f>
        <v/>
      </c>
      <c r="B654" s="32"/>
      <c r="C654" s="36"/>
      <c r="D654" s="43"/>
      <c r="E654" s="48"/>
      <c r="F654" s="48"/>
      <c r="G654" s="49" t="str">
        <f>IFERROR(VLOOKUP(C654,PROD!$A$2:$E$1204,5,0),"0")</f>
        <v>0</v>
      </c>
      <c r="H654" s="10">
        <f>Table_246[[#This Row],[QT]]*Table_246[[#This Row],[Custo 
Un]]</f>
        <v>0</v>
      </c>
      <c r="I654" s="52"/>
      <c r="J654" s="263">
        <f t="shared" si="36"/>
        <v>0</v>
      </c>
      <c r="K654" s="10">
        <f t="shared" si="35"/>
        <v>0</v>
      </c>
      <c r="L654" s="50">
        <f>Table_246[[#This Row],[Valor da 
venda]]-Table_246[[#This Row],[Valor gasto]]</f>
        <v>0</v>
      </c>
      <c r="M654" s="111">
        <f t="shared" si="37"/>
        <v>0</v>
      </c>
      <c r="N654" s="52"/>
      <c r="O654" s="114" t="str">
        <f>IF([1]!Table_246[[#This Row],[Coluna2]]&gt;0.5, "🔥 Excelente", IF([1]!Table_246[[#This Row],[Coluna2]]&gt;0.4, "👍 Bom", "⚠️ Baixo"))</f>
        <v>⚠️ Baixo</v>
      </c>
    </row>
    <row r="655" spans="1:15" ht="15" customHeight="1">
      <c r="A655" s="28" t="str">
        <f>IF(Table_246[[#This Row],[Data]]="","",MONTH(Table_246[[#This Row],[Data]]))</f>
        <v/>
      </c>
      <c r="B655" s="32"/>
      <c r="C655" s="36"/>
      <c r="D655" s="43"/>
      <c r="E655" s="48"/>
      <c r="F655" s="48"/>
      <c r="G655" s="49" t="str">
        <f>IFERROR(VLOOKUP(C655,PROD!$A$2:$E$1204,5,0),"0")</f>
        <v>0</v>
      </c>
      <c r="H655" s="10">
        <f>Table_246[[#This Row],[QT]]*Table_246[[#This Row],[Custo 
Un]]</f>
        <v>0</v>
      </c>
      <c r="I655" s="52"/>
      <c r="J655" s="263">
        <f t="shared" si="36"/>
        <v>0</v>
      </c>
      <c r="K655" s="10">
        <f t="shared" si="35"/>
        <v>0</v>
      </c>
      <c r="L655" s="50">
        <f>Table_246[[#This Row],[Valor da 
venda]]-Table_246[[#This Row],[Valor gasto]]</f>
        <v>0</v>
      </c>
      <c r="M655" s="111">
        <f t="shared" si="37"/>
        <v>0</v>
      </c>
      <c r="N655" s="52"/>
      <c r="O655" s="114" t="str">
        <f>IF([1]!Table_246[[#This Row],[Coluna2]]&gt;0.5, "🔥 Excelente", IF([1]!Table_246[[#This Row],[Coluna2]]&gt;0.4, "👍 Bom", "⚠️ Baixo"))</f>
        <v>⚠️ Baixo</v>
      </c>
    </row>
    <row r="656" spans="1:15" ht="15" customHeight="1">
      <c r="A656" s="28" t="str">
        <f>IF(Table_246[[#This Row],[Data]]="","",MONTH(Table_246[[#This Row],[Data]]))</f>
        <v/>
      </c>
      <c r="B656" s="32"/>
      <c r="C656" s="36"/>
      <c r="D656" s="43"/>
      <c r="E656" s="48"/>
      <c r="F656" s="48"/>
      <c r="G656" s="49" t="str">
        <f>IFERROR(VLOOKUP(C656,PROD!$A$2:$E$1204,5,0),"0")</f>
        <v>0</v>
      </c>
      <c r="H656" s="10">
        <f>Table_246[[#This Row],[QT]]*Table_246[[#This Row],[Custo 
Un]]</f>
        <v>0</v>
      </c>
      <c r="I656" s="52"/>
      <c r="J656" s="263">
        <f t="shared" si="36"/>
        <v>0</v>
      </c>
      <c r="K656" s="10">
        <f t="shared" si="35"/>
        <v>0</v>
      </c>
      <c r="L656" s="50">
        <f>Table_246[[#This Row],[Valor da 
venda]]-Table_246[[#This Row],[Valor gasto]]</f>
        <v>0</v>
      </c>
      <c r="M656" s="111">
        <f t="shared" si="37"/>
        <v>0</v>
      </c>
      <c r="N656" s="52"/>
      <c r="O656" s="114" t="str">
        <f>IF([1]!Table_246[[#This Row],[Coluna2]]&gt;0.5, "🔥 Excelente", IF([1]!Table_246[[#This Row],[Coluna2]]&gt;0.4, "👍 Bom", "⚠️ Baixo"))</f>
        <v>⚠️ Baixo</v>
      </c>
    </row>
    <row r="657" spans="1:15" ht="15" customHeight="1">
      <c r="A657" s="28" t="str">
        <f>IF(Table_246[[#This Row],[Data]]="","",MONTH(Table_246[[#This Row],[Data]]))</f>
        <v/>
      </c>
      <c r="B657" s="32"/>
      <c r="C657" s="36"/>
      <c r="D657" s="43"/>
      <c r="E657" s="48"/>
      <c r="F657" s="48"/>
      <c r="G657" s="49" t="str">
        <f>IFERROR(VLOOKUP(C657,PROD!$A$2:$E$1204,5,0),"0")</f>
        <v>0</v>
      </c>
      <c r="H657" s="10">
        <f>Table_246[[#This Row],[QT]]*Table_246[[#This Row],[Custo 
Un]]</f>
        <v>0</v>
      </c>
      <c r="I657" s="52"/>
      <c r="J657" s="263">
        <f t="shared" si="36"/>
        <v>0</v>
      </c>
      <c r="K657" s="10">
        <f t="shared" si="35"/>
        <v>0</v>
      </c>
      <c r="L657" s="50">
        <f>Table_246[[#This Row],[Valor da 
venda]]-Table_246[[#This Row],[Valor gasto]]</f>
        <v>0</v>
      </c>
      <c r="M657" s="111">
        <f t="shared" si="37"/>
        <v>0</v>
      </c>
      <c r="N657" s="52"/>
      <c r="O657" s="114" t="str">
        <f>IF([1]!Table_246[[#This Row],[Coluna2]]&gt;0.5, "🔥 Excelente", IF([1]!Table_246[[#This Row],[Coluna2]]&gt;0.4, "👍 Bom", "⚠️ Baixo"))</f>
        <v>⚠️ Baixo</v>
      </c>
    </row>
    <row r="658" spans="1:15" ht="15" customHeight="1">
      <c r="A658" s="28" t="str">
        <f>IF(Table_246[[#This Row],[Data]]="","",MONTH(Table_246[[#This Row],[Data]]))</f>
        <v/>
      </c>
      <c r="B658" s="32"/>
      <c r="C658" s="36"/>
      <c r="D658" s="43"/>
      <c r="E658" s="48"/>
      <c r="F658" s="48"/>
      <c r="G658" s="49" t="str">
        <f>IFERROR(VLOOKUP(C658,PROD!$A$2:$E$1204,5,0),"0")</f>
        <v>0</v>
      </c>
      <c r="H658" s="10">
        <f>Table_246[[#This Row],[QT]]*Table_246[[#This Row],[Custo 
Un]]</f>
        <v>0</v>
      </c>
      <c r="I658" s="52"/>
      <c r="J658" s="263">
        <f t="shared" si="36"/>
        <v>0</v>
      </c>
      <c r="K658" s="10">
        <f t="shared" si="35"/>
        <v>0</v>
      </c>
      <c r="L658" s="50">
        <f>Table_246[[#This Row],[Valor da 
venda]]-Table_246[[#This Row],[Valor gasto]]</f>
        <v>0</v>
      </c>
      <c r="M658" s="111">
        <f t="shared" si="37"/>
        <v>0</v>
      </c>
      <c r="N658" s="52"/>
      <c r="O658" s="114" t="str">
        <f>IF([1]!Table_246[[#This Row],[Coluna2]]&gt;0.5, "🔥 Excelente", IF([1]!Table_246[[#This Row],[Coluna2]]&gt;0.4, "👍 Bom", "⚠️ Baixo"))</f>
        <v>⚠️ Baixo</v>
      </c>
    </row>
    <row r="659" spans="1:15" ht="15" customHeight="1">
      <c r="A659" s="28" t="str">
        <f>IF(Table_246[[#This Row],[Data]]="","",MONTH(Table_246[[#This Row],[Data]]))</f>
        <v/>
      </c>
      <c r="B659" s="32"/>
      <c r="C659" s="36"/>
      <c r="D659" s="43"/>
      <c r="E659" s="48"/>
      <c r="F659" s="48"/>
      <c r="G659" s="49" t="str">
        <f>IFERROR(VLOOKUP(C659,PROD!$A$2:$E$1204,5,0),"0")</f>
        <v>0</v>
      </c>
      <c r="H659" s="10">
        <f>Table_246[[#This Row],[QT]]*Table_246[[#This Row],[Custo 
Un]]</f>
        <v>0</v>
      </c>
      <c r="I659" s="52"/>
      <c r="J659" s="263">
        <f t="shared" si="36"/>
        <v>0</v>
      </c>
      <c r="K659" s="10">
        <f t="shared" si="35"/>
        <v>0</v>
      </c>
      <c r="L659" s="50">
        <f>Table_246[[#This Row],[Valor da 
venda]]-Table_246[[#This Row],[Valor gasto]]</f>
        <v>0</v>
      </c>
      <c r="M659" s="111">
        <f t="shared" si="37"/>
        <v>0</v>
      </c>
      <c r="N659" s="52"/>
      <c r="O659" s="114" t="str">
        <f>IF([1]!Table_246[[#This Row],[Coluna2]]&gt;0.5, "🔥 Excelente", IF([1]!Table_246[[#This Row],[Coluna2]]&gt;0.4, "👍 Bom", "⚠️ Baixo"))</f>
        <v>⚠️ Baixo</v>
      </c>
    </row>
    <row r="660" spans="1:15" ht="15" customHeight="1">
      <c r="A660" s="28" t="str">
        <f>IF(Table_246[[#This Row],[Data]]="","",MONTH(Table_246[[#This Row],[Data]]))</f>
        <v/>
      </c>
      <c r="B660" s="32"/>
      <c r="C660" s="36"/>
      <c r="D660" s="43"/>
      <c r="E660" s="48"/>
      <c r="F660" s="48"/>
      <c r="G660" s="49" t="str">
        <f>IFERROR(VLOOKUP(C660,PROD!$A$2:$E$1204,5,0),"0")</f>
        <v>0</v>
      </c>
      <c r="H660" s="10">
        <f>Table_246[[#This Row],[QT]]*Table_246[[#This Row],[Custo 
Un]]</f>
        <v>0</v>
      </c>
      <c r="I660" s="52"/>
      <c r="J660" s="263">
        <f t="shared" si="36"/>
        <v>0</v>
      </c>
      <c r="K660" s="10">
        <f t="shared" si="35"/>
        <v>0</v>
      </c>
      <c r="L660" s="50">
        <f>Table_246[[#This Row],[Valor da 
venda]]-Table_246[[#This Row],[Valor gasto]]</f>
        <v>0</v>
      </c>
      <c r="M660" s="111">
        <f t="shared" si="37"/>
        <v>0</v>
      </c>
      <c r="N660" s="52"/>
      <c r="O660" s="114" t="str">
        <f>IF([1]!Table_246[[#This Row],[Coluna2]]&gt;0.5, "🔥 Excelente", IF([1]!Table_246[[#This Row],[Coluna2]]&gt;0.4, "👍 Bom", "⚠️ Baixo"))</f>
        <v>⚠️ Baixo</v>
      </c>
    </row>
    <row r="661" spans="1:15" ht="15" customHeight="1">
      <c r="A661" s="28" t="str">
        <f>IF(Table_246[[#This Row],[Data]]="","",MONTH(Table_246[[#This Row],[Data]]))</f>
        <v/>
      </c>
      <c r="B661" s="32"/>
      <c r="C661" s="36"/>
      <c r="D661" s="43"/>
      <c r="E661" s="48"/>
      <c r="F661" s="48"/>
      <c r="G661" s="49" t="str">
        <f>IFERROR(VLOOKUP(C661,PROD!$A$2:$E$1204,5,0),"0")</f>
        <v>0</v>
      </c>
      <c r="H661" s="10">
        <f>Table_246[[#This Row],[QT]]*Table_246[[#This Row],[Custo 
Un]]</f>
        <v>0</v>
      </c>
      <c r="I661" s="52"/>
      <c r="J661" s="263">
        <f t="shared" si="36"/>
        <v>0</v>
      </c>
      <c r="K661" s="10">
        <f t="shared" si="35"/>
        <v>0</v>
      </c>
      <c r="L661" s="50">
        <f>Table_246[[#This Row],[Valor da 
venda]]-Table_246[[#This Row],[Valor gasto]]</f>
        <v>0</v>
      </c>
      <c r="M661" s="111">
        <f t="shared" si="37"/>
        <v>0</v>
      </c>
      <c r="N661" s="52"/>
      <c r="O661" s="114" t="str">
        <f>IF([1]!Table_246[[#This Row],[Coluna2]]&gt;0.5, "🔥 Excelente", IF([1]!Table_246[[#This Row],[Coluna2]]&gt;0.4, "👍 Bom", "⚠️ Baixo"))</f>
        <v>⚠️ Baixo</v>
      </c>
    </row>
    <row r="662" spans="1:15" ht="15" customHeight="1">
      <c r="A662" s="28" t="str">
        <f>IF(Table_246[[#This Row],[Data]]="","",MONTH(Table_246[[#This Row],[Data]]))</f>
        <v/>
      </c>
      <c r="B662" s="32"/>
      <c r="C662" s="36"/>
      <c r="D662" s="43"/>
      <c r="E662" s="48"/>
      <c r="F662" s="48"/>
      <c r="G662" s="49" t="str">
        <f>IFERROR(VLOOKUP(C662,PROD!$A$2:$E$1204,5,0),"0")</f>
        <v>0</v>
      </c>
      <c r="H662" s="10">
        <f>Table_246[[#This Row],[QT]]*Table_246[[#This Row],[Custo 
Un]]</f>
        <v>0</v>
      </c>
      <c r="I662" s="52"/>
      <c r="J662" s="263">
        <f t="shared" si="36"/>
        <v>0</v>
      </c>
      <c r="K662" s="10">
        <f t="shared" si="35"/>
        <v>0</v>
      </c>
      <c r="L662" s="50">
        <f>Table_246[[#This Row],[Valor da 
venda]]-Table_246[[#This Row],[Valor gasto]]</f>
        <v>0</v>
      </c>
      <c r="M662" s="111">
        <f t="shared" si="37"/>
        <v>0</v>
      </c>
      <c r="N662" s="52"/>
      <c r="O662" s="114" t="str">
        <f>IF([1]!Table_246[[#This Row],[Coluna2]]&gt;0.5, "🔥 Excelente", IF([1]!Table_246[[#This Row],[Coluna2]]&gt;0.4, "👍 Bom", "⚠️ Baixo"))</f>
        <v>⚠️ Baixo</v>
      </c>
    </row>
    <row r="663" spans="1:15" ht="15" customHeight="1">
      <c r="A663" s="28" t="str">
        <f>IF(Table_246[[#This Row],[Data]]="","",MONTH(Table_246[[#This Row],[Data]]))</f>
        <v/>
      </c>
      <c r="B663" s="32"/>
      <c r="C663" s="36"/>
      <c r="D663" s="43"/>
      <c r="E663" s="48"/>
      <c r="F663" s="48"/>
      <c r="G663" s="49" t="str">
        <f>IFERROR(VLOOKUP(C663,PROD!$A$2:$E$1204,5,0),"0")</f>
        <v>0</v>
      </c>
      <c r="H663" s="10">
        <f>Table_246[[#This Row],[QT]]*Table_246[[#This Row],[Custo 
Un]]</f>
        <v>0</v>
      </c>
      <c r="I663" s="52"/>
      <c r="J663" s="263">
        <f t="shared" si="36"/>
        <v>0</v>
      </c>
      <c r="K663" s="10">
        <f t="shared" si="35"/>
        <v>0</v>
      </c>
      <c r="L663" s="50">
        <f>Table_246[[#This Row],[Valor da 
venda]]-Table_246[[#This Row],[Valor gasto]]</f>
        <v>0</v>
      </c>
      <c r="M663" s="111">
        <f t="shared" si="37"/>
        <v>0</v>
      </c>
      <c r="N663" s="52"/>
      <c r="O663" s="114" t="str">
        <f>IF([1]!Table_246[[#This Row],[Coluna2]]&gt;0.5, "🔥 Excelente", IF([1]!Table_246[[#This Row],[Coluna2]]&gt;0.4, "👍 Bom", "⚠️ Baixo"))</f>
        <v>⚠️ Baixo</v>
      </c>
    </row>
    <row r="664" spans="1:15" ht="15" customHeight="1">
      <c r="A664" s="28" t="str">
        <f>IF(Table_246[[#This Row],[Data]]="","",MONTH(Table_246[[#This Row],[Data]]))</f>
        <v/>
      </c>
      <c r="B664" s="32"/>
      <c r="C664" s="36"/>
      <c r="D664" s="43"/>
      <c r="E664" s="48"/>
      <c r="F664" s="48"/>
      <c r="G664" s="49" t="str">
        <f>IFERROR(VLOOKUP(C664,PROD!$A$2:$E$1204,5,0),"0")</f>
        <v>0</v>
      </c>
      <c r="H664" s="10">
        <f>Table_246[[#This Row],[QT]]*Table_246[[#This Row],[Custo 
Un]]</f>
        <v>0</v>
      </c>
      <c r="I664" s="52"/>
      <c r="J664" s="263">
        <f t="shared" si="36"/>
        <v>0</v>
      </c>
      <c r="K664" s="10">
        <f t="shared" si="35"/>
        <v>0</v>
      </c>
      <c r="L664" s="50">
        <f>Table_246[[#This Row],[Valor da 
venda]]-Table_246[[#This Row],[Valor gasto]]</f>
        <v>0</v>
      </c>
      <c r="M664" s="111">
        <f t="shared" si="37"/>
        <v>0</v>
      </c>
      <c r="N664" s="52"/>
      <c r="O664" s="114" t="str">
        <f>IF([1]!Table_246[[#This Row],[Coluna2]]&gt;0.5, "🔥 Excelente", IF([1]!Table_246[[#This Row],[Coluna2]]&gt;0.4, "👍 Bom", "⚠️ Baixo"))</f>
        <v>⚠️ Baixo</v>
      </c>
    </row>
    <row r="665" spans="1:15" ht="15" customHeight="1">
      <c r="A665" s="28" t="str">
        <f>IF(Table_246[[#This Row],[Data]]="","",MONTH(Table_246[[#This Row],[Data]]))</f>
        <v/>
      </c>
      <c r="B665" s="32"/>
      <c r="C665" s="36"/>
      <c r="D665" s="43"/>
      <c r="E665" s="48"/>
      <c r="F665" s="48"/>
      <c r="G665" s="49" t="str">
        <f>IFERROR(VLOOKUP(C665,PROD!$A$2:$E$1204,5,0),"0")</f>
        <v>0</v>
      </c>
      <c r="H665" s="10">
        <f>Table_246[[#This Row],[QT]]*Table_246[[#This Row],[Custo 
Un]]</f>
        <v>0</v>
      </c>
      <c r="I665" s="52"/>
      <c r="J665" s="263">
        <f t="shared" si="36"/>
        <v>0</v>
      </c>
      <c r="K665" s="10">
        <f t="shared" si="35"/>
        <v>0</v>
      </c>
      <c r="L665" s="50">
        <f>Table_246[[#This Row],[Valor da 
venda]]-Table_246[[#This Row],[Valor gasto]]</f>
        <v>0</v>
      </c>
      <c r="M665" s="111">
        <f t="shared" si="37"/>
        <v>0</v>
      </c>
      <c r="N665" s="52"/>
      <c r="O665" s="114" t="str">
        <f>IF([1]!Table_246[[#This Row],[Coluna2]]&gt;0.5, "🔥 Excelente", IF([1]!Table_246[[#This Row],[Coluna2]]&gt;0.4, "👍 Bom", "⚠️ Baixo"))</f>
        <v>⚠️ Baixo</v>
      </c>
    </row>
    <row r="666" spans="1:15" ht="15" customHeight="1">
      <c r="A666" s="28" t="str">
        <f>IF(Table_246[[#This Row],[Data]]="","",MONTH(Table_246[[#This Row],[Data]]))</f>
        <v/>
      </c>
      <c r="B666" s="32"/>
      <c r="C666" s="36"/>
      <c r="D666" s="43"/>
      <c r="E666" s="48"/>
      <c r="F666" s="48"/>
      <c r="G666" s="49" t="str">
        <f>IFERROR(VLOOKUP(C666,PROD!$A$2:$E$1204,5,0),"0")</f>
        <v>0</v>
      </c>
      <c r="H666" s="10">
        <f>Table_246[[#This Row],[QT]]*Table_246[[#This Row],[Custo 
Un]]</f>
        <v>0</v>
      </c>
      <c r="I666" s="52"/>
      <c r="J666" s="263">
        <f t="shared" si="36"/>
        <v>0</v>
      </c>
      <c r="K666" s="10">
        <f t="shared" si="35"/>
        <v>0</v>
      </c>
      <c r="L666" s="50">
        <f>Table_246[[#This Row],[Valor da 
venda]]-Table_246[[#This Row],[Valor gasto]]</f>
        <v>0</v>
      </c>
      <c r="M666" s="111">
        <f t="shared" si="37"/>
        <v>0</v>
      </c>
      <c r="N666" s="52"/>
      <c r="O666" s="114" t="str">
        <f>IF([1]!Table_246[[#This Row],[Coluna2]]&gt;0.5, "🔥 Excelente", IF([1]!Table_246[[#This Row],[Coluna2]]&gt;0.4, "👍 Bom", "⚠️ Baixo"))</f>
        <v>⚠️ Baixo</v>
      </c>
    </row>
    <row r="667" spans="1:15" ht="15" customHeight="1">
      <c r="A667" s="28" t="str">
        <f>IF(Table_246[[#This Row],[Data]]="","",MONTH(Table_246[[#This Row],[Data]]))</f>
        <v/>
      </c>
      <c r="B667" s="32"/>
      <c r="C667" s="36"/>
      <c r="D667" s="43"/>
      <c r="E667" s="48"/>
      <c r="F667" s="48"/>
      <c r="G667" s="49" t="str">
        <f>IFERROR(VLOOKUP(C667,PROD!$A$2:$E$1204,5,0),"0")</f>
        <v>0</v>
      </c>
      <c r="H667" s="10">
        <f>Table_246[[#This Row],[QT]]*Table_246[[#This Row],[Custo 
Un]]</f>
        <v>0</v>
      </c>
      <c r="I667" s="52"/>
      <c r="J667" s="263">
        <f t="shared" si="36"/>
        <v>0</v>
      </c>
      <c r="K667" s="10">
        <f t="shared" si="35"/>
        <v>0</v>
      </c>
      <c r="L667" s="50">
        <f>Table_246[[#This Row],[Valor da 
venda]]-Table_246[[#This Row],[Valor gasto]]</f>
        <v>0</v>
      </c>
      <c r="M667" s="111">
        <f t="shared" si="37"/>
        <v>0</v>
      </c>
      <c r="N667" s="52"/>
      <c r="O667" s="114" t="str">
        <f>IF([1]!Table_246[[#This Row],[Coluna2]]&gt;0.5, "🔥 Excelente", IF([1]!Table_246[[#This Row],[Coluna2]]&gt;0.4, "👍 Bom", "⚠️ Baixo"))</f>
        <v>⚠️ Baixo</v>
      </c>
    </row>
    <row r="668" spans="1:15" ht="15" customHeight="1">
      <c r="A668" s="28" t="str">
        <f>IF(Table_246[[#This Row],[Data]]="","",MONTH(Table_246[[#This Row],[Data]]))</f>
        <v/>
      </c>
      <c r="B668" s="32"/>
      <c r="C668" s="36"/>
      <c r="D668" s="43"/>
      <c r="E668" s="48"/>
      <c r="F668" s="48"/>
      <c r="G668" s="49" t="str">
        <f>IFERROR(VLOOKUP(C668,PROD!$A$2:$E$1204,5,0),"0")</f>
        <v>0</v>
      </c>
      <c r="H668" s="10">
        <f>Table_246[[#This Row],[QT]]*Table_246[[#This Row],[Custo 
Un]]</f>
        <v>0</v>
      </c>
      <c r="I668" s="52"/>
      <c r="J668" s="263">
        <f t="shared" si="36"/>
        <v>0</v>
      </c>
      <c r="K668" s="10">
        <f t="shared" si="35"/>
        <v>0</v>
      </c>
      <c r="L668" s="50">
        <f>Table_246[[#This Row],[Valor da 
venda]]-Table_246[[#This Row],[Valor gasto]]</f>
        <v>0</v>
      </c>
      <c r="M668" s="111">
        <f t="shared" si="37"/>
        <v>0</v>
      </c>
      <c r="N668" s="52"/>
      <c r="O668" s="114" t="str">
        <f>IF([1]!Table_246[[#This Row],[Coluna2]]&gt;0.5, "🔥 Excelente", IF([1]!Table_246[[#This Row],[Coluna2]]&gt;0.4, "👍 Bom", "⚠️ Baixo"))</f>
        <v>⚠️ Baixo</v>
      </c>
    </row>
    <row r="669" spans="1:15" ht="15" customHeight="1">
      <c r="A669" s="28" t="str">
        <f>IF(Table_246[[#This Row],[Data]]="","",MONTH(Table_246[[#This Row],[Data]]))</f>
        <v/>
      </c>
      <c r="B669" s="32"/>
      <c r="C669" s="36"/>
      <c r="D669" s="43"/>
      <c r="E669" s="48"/>
      <c r="F669" s="48"/>
      <c r="G669" s="49" t="str">
        <f>IFERROR(VLOOKUP(C669,PROD!$A$2:$E$1204,5,0),"0")</f>
        <v>0</v>
      </c>
      <c r="H669" s="10">
        <f>Table_246[[#This Row],[QT]]*Table_246[[#This Row],[Custo 
Un]]</f>
        <v>0</v>
      </c>
      <c r="I669" s="52"/>
      <c r="J669" s="263">
        <f t="shared" si="36"/>
        <v>0</v>
      </c>
      <c r="K669" s="10">
        <f t="shared" si="35"/>
        <v>0</v>
      </c>
      <c r="L669" s="50">
        <f>Table_246[[#This Row],[Valor da 
venda]]-Table_246[[#This Row],[Valor gasto]]</f>
        <v>0</v>
      </c>
      <c r="M669" s="111">
        <f t="shared" si="37"/>
        <v>0</v>
      </c>
      <c r="N669" s="52"/>
      <c r="O669" s="114" t="str">
        <f>IF([1]!Table_246[[#This Row],[Coluna2]]&gt;0.5, "🔥 Excelente", IF([1]!Table_246[[#This Row],[Coluna2]]&gt;0.4, "👍 Bom", "⚠️ Baixo"))</f>
        <v>⚠️ Baixo</v>
      </c>
    </row>
    <row r="670" spans="1:15" ht="15" customHeight="1">
      <c r="A670" s="28" t="str">
        <f>IF(Table_246[[#This Row],[Data]]="","",MONTH(Table_246[[#This Row],[Data]]))</f>
        <v/>
      </c>
      <c r="B670" s="32"/>
      <c r="C670" s="36"/>
      <c r="D670" s="43"/>
      <c r="E670" s="48"/>
      <c r="F670" s="48"/>
      <c r="G670" s="49" t="str">
        <f>IFERROR(VLOOKUP(C670,PROD!$A$2:$E$1204,5,0),"0")</f>
        <v>0</v>
      </c>
      <c r="H670" s="10">
        <f>Table_246[[#This Row],[QT]]*Table_246[[#This Row],[Custo 
Un]]</f>
        <v>0</v>
      </c>
      <c r="I670" s="52"/>
      <c r="J670" s="263">
        <f t="shared" si="36"/>
        <v>0</v>
      </c>
      <c r="K670" s="10">
        <f t="shared" si="35"/>
        <v>0</v>
      </c>
      <c r="L670" s="50">
        <f>Table_246[[#This Row],[Valor da 
venda]]-Table_246[[#This Row],[Valor gasto]]</f>
        <v>0</v>
      </c>
      <c r="M670" s="111">
        <f t="shared" si="37"/>
        <v>0</v>
      </c>
      <c r="N670" s="52"/>
      <c r="O670" s="114" t="str">
        <f>IF([1]!Table_246[[#This Row],[Coluna2]]&gt;0.5, "🔥 Excelente", IF([1]!Table_246[[#This Row],[Coluna2]]&gt;0.4, "👍 Bom", "⚠️ Baixo"))</f>
        <v>⚠️ Baixo</v>
      </c>
    </row>
    <row r="671" spans="1:15" ht="15" customHeight="1">
      <c r="A671" s="28" t="str">
        <f>IF(Table_246[[#This Row],[Data]]="","",MONTH(Table_246[[#This Row],[Data]]))</f>
        <v/>
      </c>
      <c r="B671" s="32"/>
      <c r="C671" s="36"/>
      <c r="D671" s="43"/>
      <c r="E671" s="48"/>
      <c r="F671" s="48"/>
      <c r="G671" s="49" t="str">
        <f>IFERROR(VLOOKUP(C671,PROD!$A$2:$E$1204,5,0),"0")</f>
        <v>0</v>
      </c>
      <c r="H671" s="10">
        <f>Table_246[[#This Row],[QT]]*Table_246[[#This Row],[Custo 
Un]]</f>
        <v>0</v>
      </c>
      <c r="I671" s="52"/>
      <c r="J671" s="263">
        <f t="shared" si="36"/>
        <v>0</v>
      </c>
      <c r="K671" s="10">
        <f t="shared" si="35"/>
        <v>0</v>
      </c>
      <c r="L671" s="50">
        <f>Table_246[[#This Row],[Valor da 
venda]]-Table_246[[#This Row],[Valor gasto]]</f>
        <v>0</v>
      </c>
      <c r="M671" s="111">
        <f t="shared" si="37"/>
        <v>0</v>
      </c>
      <c r="N671" s="52"/>
      <c r="O671" s="114" t="str">
        <f>IF([1]!Table_246[[#This Row],[Coluna2]]&gt;0.5, "🔥 Excelente", IF([1]!Table_246[[#This Row],[Coluna2]]&gt;0.4, "👍 Bom", "⚠️ Baixo"))</f>
        <v>⚠️ Baixo</v>
      </c>
    </row>
    <row r="672" spans="1:15" ht="15" customHeight="1">
      <c r="A672" s="28" t="str">
        <f>IF(Table_246[[#This Row],[Data]]="","",MONTH(Table_246[[#This Row],[Data]]))</f>
        <v/>
      </c>
      <c r="B672" s="32"/>
      <c r="C672" s="36"/>
      <c r="D672" s="43"/>
      <c r="E672" s="48"/>
      <c r="F672" s="48"/>
      <c r="G672" s="49" t="str">
        <f>IFERROR(VLOOKUP(C672,PROD!$A$2:$E$1204,5,0),"0")</f>
        <v>0</v>
      </c>
      <c r="H672" s="10">
        <f>Table_246[[#This Row],[QT]]*Table_246[[#This Row],[Custo 
Un]]</f>
        <v>0</v>
      </c>
      <c r="I672" s="52"/>
      <c r="J672" s="263">
        <f t="shared" si="36"/>
        <v>0</v>
      </c>
      <c r="K672" s="10">
        <f t="shared" si="35"/>
        <v>0</v>
      </c>
      <c r="L672" s="50">
        <f>Table_246[[#This Row],[Valor da 
venda]]-Table_246[[#This Row],[Valor gasto]]</f>
        <v>0</v>
      </c>
      <c r="M672" s="111">
        <f t="shared" si="37"/>
        <v>0</v>
      </c>
      <c r="N672" s="52"/>
      <c r="O672" s="114" t="str">
        <f>IF([1]!Table_246[[#This Row],[Coluna2]]&gt;0.5, "🔥 Excelente", IF([1]!Table_246[[#This Row],[Coluna2]]&gt;0.4, "👍 Bom", "⚠️ Baixo"))</f>
        <v>⚠️ Baixo</v>
      </c>
    </row>
    <row r="673" spans="1:15" ht="15" customHeight="1">
      <c r="A673" s="28" t="str">
        <f>IF(Table_246[[#This Row],[Data]]="","",MONTH(Table_246[[#This Row],[Data]]))</f>
        <v/>
      </c>
      <c r="B673" s="32"/>
      <c r="C673" s="36"/>
      <c r="D673" s="43"/>
      <c r="E673" s="48"/>
      <c r="F673" s="48"/>
      <c r="G673" s="49" t="str">
        <f>IFERROR(VLOOKUP(C673,PROD!$A$2:$E$1204,5,0),"0")</f>
        <v>0</v>
      </c>
      <c r="H673" s="10">
        <f>Table_246[[#This Row],[QT]]*Table_246[[#This Row],[Custo 
Un]]</f>
        <v>0</v>
      </c>
      <c r="I673" s="52"/>
      <c r="J673" s="263">
        <f t="shared" si="36"/>
        <v>0</v>
      </c>
      <c r="K673" s="10">
        <f t="shared" si="35"/>
        <v>0</v>
      </c>
      <c r="L673" s="50">
        <f>Table_246[[#This Row],[Valor da 
venda]]-Table_246[[#This Row],[Valor gasto]]</f>
        <v>0</v>
      </c>
      <c r="M673" s="111">
        <f t="shared" si="37"/>
        <v>0</v>
      </c>
      <c r="N673" s="52"/>
      <c r="O673" s="114" t="str">
        <f>IF([1]!Table_246[[#This Row],[Coluna2]]&gt;0.5, "🔥 Excelente", IF([1]!Table_246[[#This Row],[Coluna2]]&gt;0.4, "👍 Bom", "⚠️ Baixo"))</f>
        <v>⚠️ Baixo</v>
      </c>
    </row>
    <row r="674" spans="1:15" ht="15" customHeight="1">
      <c r="A674" s="28" t="str">
        <f>IF(Table_246[[#This Row],[Data]]="","",MONTH(Table_246[[#This Row],[Data]]))</f>
        <v/>
      </c>
      <c r="B674" s="32"/>
      <c r="C674" s="36"/>
      <c r="D674" s="43"/>
      <c r="E674" s="48"/>
      <c r="F674" s="48"/>
      <c r="G674" s="49" t="str">
        <f>IFERROR(VLOOKUP(C674,PROD!$A$2:$E$1204,5,0),"0")</f>
        <v>0</v>
      </c>
      <c r="H674" s="10">
        <f>Table_246[[#This Row],[QT]]*Table_246[[#This Row],[Custo 
Un]]</f>
        <v>0</v>
      </c>
      <c r="I674" s="52"/>
      <c r="J674" s="263">
        <f t="shared" si="36"/>
        <v>0</v>
      </c>
      <c r="K674" s="10">
        <f t="shared" si="35"/>
        <v>0</v>
      </c>
      <c r="L674" s="50">
        <f>Table_246[[#This Row],[Valor da 
venda]]-Table_246[[#This Row],[Valor gasto]]</f>
        <v>0</v>
      </c>
      <c r="M674" s="111">
        <f t="shared" si="37"/>
        <v>0</v>
      </c>
      <c r="N674" s="52"/>
      <c r="O674" s="114" t="str">
        <f>IF([1]!Table_246[[#This Row],[Coluna2]]&gt;0.5, "🔥 Excelente", IF([1]!Table_246[[#This Row],[Coluna2]]&gt;0.4, "👍 Bom", "⚠️ Baixo"))</f>
        <v>⚠️ Baixo</v>
      </c>
    </row>
    <row r="675" spans="1:15" ht="15" customHeight="1">
      <c r="A675" s="28" t="str">
        <f>IF(Table_246[[#This Row],[Data]]="","",MONTH(Table_246[[#This Row],[Data]]))</f>
        <v/>
      </c>
      <c r="B675" s="32"/>
      <c r="C675" s="36"/>
      <c r="D675" s="43"/>
      <c r="E675" s="48"/>
      <c r="F675" s="48"/>
      <c r="G675" s="49" t="str">
        <f>IFERROR(VLOOKUP(C675,PROD!$A$2:$E$1204,5,0),"0")</f>
        <v>0</v>
      </c>
      <c r="H675" s="10">
        <f>Table_246[[#This Row],[QT]]*Table_246[[#This Row],[Custo 
Un]]</f>
        <v>0</v>
      </c>
      <c r="I675" s="52"/>
      <c r="J675" s="263">
        <f t="shared" si="36"/>
        <v>0</v>
      </c>
      <c r="K675" s="10">
        <f t="shared" si="35"/>
        <v>0</v>
      </c>
      <c r="L675" s="50">
        <f>Table_246[[#This Row],[Valor da 
venda]]-Table_246[[#This Row],[Valor gasto]]</f>
        <v>0</v>
      </c>
      <c r="M675" s="111">
        <f t="shared" si="37"/>
        <v>0</v>
      </c>
      <c r="N675" s="52"/>
      <c r="O675" s="114" t="str">
        <f>IF([1]!Table_246[[#This Row],[Coluna2]]&gt;0.5, "🔥 Excelente", IF([1]!Table_246[[#This Row],[Coluna2]]&gt;0.4, "👍 Bom", "⚠️ Baixo"))</f>
        <v>⚠️ Baixo</v>
      </c>
    </row>
    <row r="676" spans="1:15" ht="15" customHeight="1">
      <c r="A676" s="28" t="str">
        <f>IF(Table_246[[#This Row],[Data]]="","",MONTH(Table_246[[#This Row],[Data]]))</f>
        <v/>
      </c>
      <c r="B676" s="32"/>
      <c r="C676" s="36"/>
      <c r="D676" s="43"/>
      <c r="E676" s="48"/>
      <c r="F676" s="48"/>
      <c r="G676" s="49" t="str">
        <f>IFERROR(VLOOKUP(C676,PROD!$A$2:$E$1204,5,0),"0")</f>
        <v>0</v>
      </c>
      <c r="H676" s="10">
        <f>Table_246[[#This Row],[QT]]*Table_246[[#This Row],[Custo 
Un]]</f>
        <v>0</v>
      </c>
      <c r="I676" s="52"/>
      <c r="J676" s="263">
        <f t="shared" si="36"/>
        <v>0</v>
      </c>
      <c r="K676" s="10">
        <f t="shared" si="35"/>
        <v>0</v>
      </c>
      <c r="L676" s="50">
        <f>Table_246[[#This Row],[Valor da 
venda]]-Table_246[[#This Row],[Valor gasto]]</f>
        <v>0</v>
      </c>
      <c r="M676" s="111">
        <f t="shared" si="37"/>
        <v>0</v>
      </c>
      <c r="N676" s="52"/>
      <c r="O676" s="114" t="str">
        <f>IF([1]!Table_246[[#This Row],[Coluna2]]&gt;0.5, "🔥 Excelente", IF([1]!Table_246[[#This Row],[Coluna2]]&gt;0.4, "👍 Bom", "⚠️ Baixo"))</f>
        <v>⚠️ Baixo</v>
      </c>
    </row>
    <row r="677" spans="1:15" ht="15" customHeight="1">
      <c r="A677" s="28" t="str">
        <f>IF(Table_246[[#This Row],[Data]]="","",MONTH(Table_246[[#This Row],[Data]]))</f>
        <v/>
      </c>
      <c r="B677" s="32"/>
      <c r="C677" s="36"/>
      <c r="D677" s="43"/>
      <c r="E677" s="48"/>
      <c r="F677" s="48"/>
      <c r="G677" s="49" t="str">
        <f>IFERROR(VLOOKUP(C677,PROD!$A$2:$E$1204,5,0),"0")</f>
        <v>0</v>
      </c>
      <c r="H677" s="10">
        <f>Table_246[[#This Row],[QT]]*Table_246[[#This Row],[Custo 
Un]]</f>
        <v>0</v>
      </c>
      <c r="I677" s="52"/>
      <c r="J677" s="263">
        <f t="shared" si="36"/>
        <v>0</v>
      </c>
      <c r="K677" s="10">
        <f t="shared" si="35"/>
        <v>0</v>
      </c>
      <c r="L677" s="50">
        <f>Table_246[[#This Row],[Valor da 
venda]]-Table_246[[#This Row],[Valor gasto]]</f>
        <v>0</v>
      </c>
      <c r="M677" s="111">
        <f t="shared" si="37"/>
        <v>0</v>
      </c>
      <c r="N677" s="52"/>
      <c r="O677" s="114" t="str">
        <f>IF([1]!Table_246[[#This Row],[Coluna2]]&gt;0.5, "🔥 Excelente", IF([1]!Table_246[[#This Row],[Coluna2]]&gt;0.4, "👍 Bom", "⚠️ Baixo"))</f>
        <v>⚠️ Baixo</v>
      </c>
    </row>
    <row r="678" spans="1:15" ht="15" customHeight="1">
      <c r="A678" s="28" t="str">
        <f>IF(Table_246[[#This Row],[Data]]="","",MONTH(Table_246[[#This Row],[Data]]))</f>
        <v/>
      </c>
      <c r="B678" s="32"/>
      <c r="C678" s="36"/>
      <c r="D678" s="43"/>
      <c r="E678" s="48"/>
      <c r="F678" s="48"/>
      <c r="G678" s="49" t="str">
        <f>IFERROR(VLOOKUP(C678,PROD!$A$2:$E$1204,5,0),"0")</f>
        <v>0</v>
      </c>
      <c r="H678" s="10">
        <f>Table_246[[#This Row],[QT]]*Table_246[[#This Row],[Custo 
Un]]</f>
        <v>0</v>
      </c>
      <c r="I678" s="52"/>
      <c r="J678" s="263">
        <f t="shared" si="36"/>
        <v>0</v>
      </c>
      <c r="K678" s="10">
        <f t="shared" si="35"/>
        <v>0</v>
      </c>
      <c r="L678" s="50">
        <f>Table_246[[#This Row],[Valor da 
venda]]-Table_246[[#This Row],[Valor gasto]]</f>
        <v>0</v>
      </c>
      <c r="M678" s="111">
        <f t="shared" si="37"/>
        <v>0</v>
      </c>
      <c r="N678" s="52"/>
      <c r="O678" s="114" t="str">
        <f>IF([1]!Table_246[[#This Row],[Coluna2]]&gt;0.5, "🔥 Excelente", IF([1]!Table_246[[#This Row],[Coluna2]]&gt;0.4, "👍 Bom", "⚠️ Baixo"))</f>
        <v>⚠️ Baixo</v>
      </c>
    </row>
    <row r="679" spans="1:15" ht="15" customHeight="1">
      <c r="A679" s="28" t="str">
        <f>IF(Table_246[[#This Row],[Data]]="","",MONTH(Table_246[[#This Row],[Data]]))</f>
        <v/>
      </c>
      <c r="B679" s="32"/>
      <c r="C679" s="36"/>
      <c r="D679" s="43"/>
      <c r="E679" s="48"/>
      <c r="F679" s="48"/>
      <c r="G679" s="49" t="str">
        <f>IFERROR(VLOOKUP(C679,PROD!$A$2:$E$1204,5,0),"0")</f>
        <v>0</v>
      </c>
      <c r="H679" s="10">
        <f>Table_246[[#This Row],[QT]]*Table_246[[#This Row],[Custo 
Un]]</f>
        <v>0</v>
      </c>
      <c r="I679" s="52"/>
      <c r="J679" s="263">
        <f t="shared" si="36"/>
        <v>0</v>
      </c>
      <c r="K679" s="10">
        <f t="shared" si="35"/>
        <v>0</v>
      </c>
      <c r="L679" s="50">
        <f>Table_246[[#This Row],[Valor da 
venda]]-Table_246[[#This Row],[Valor gasto]]</f>
        <v>0</v>
      </c>
      <c r="M679" s="111">
        <f t="shared" si="37"/>
        <v>0</v>
      </c>
      <c r="N679" s="52"/>
      <c r="O679" s="114" t="str">
        <f>IF([1]!Table_246[[#This Row],[Coluna2]]&gt;0.5, "🔥 Excelente", IF([1]!Table_246[[#This Row],[Coluna2]]&gt;0.4, "👍 Bom", "⚠️ Baixo"))</f>
        <v>⚠️ Baixo</v>
      </c>
    </row>
    <row r="680" spans="1:15" ht="15" customHeight="1">
      <c r="A680" s="28" t="str">
        <f>IF(Table_246[[#This Row],[Data]]="","",MONTH(Table_246[[#This Row],[Data]]))</f>
        <v/>
      </c>
      <c r="B680" s="32"/>
      <c r="C680" s="36"/>
      <c r="D680" s="43"/>
      <c r="E680" s="48"/>
      <c r="F680" s="48"/>
      <c r="G680" s="49" t="str">
        <f>IFERROR(VLOOKUP(C680,PROD!$A$2:$E$1204,5,0),"0")</f>
        <v>0</v>
      </c>
      <c r="H680" s="10">
        <f>Table_246[[#This Row],[QT]]*Table_246[[#This Row],[Custo 
Un]]</f>
        <v>0</v>
      </c>
      <c r="I680" s="52"/>
      <c r="J680" s="263">
        <f t="shared" si="36"/>
        <v>0</v>
      </c>
      <c r="K680" s="10">
        <f t="shared" si="35"/>
        <v>0</v>
      </c>
      <c r="L680" s="50">
        <f>Table_246[[#This Row],[Valor da 
venda]]-Table_246[[#This Row],[Valor gasto]]</f>
        <v>0</v>
      </c>
      <c r="M680" s="111">
        <f t="shared" si="37"/>
        <v>0</v>
      </c>
      <c r="N680" s="52"/>
      <c r="O680" s="114" t="str">
        <f>IF([1]!Table_246[[#This Row],[Coluna2]]&gt;0.5, "🔥 Excelente", IF([1]!Table_246[[#This Row],[Coluna2]]&gt;0.4, "👍 Bom", "⚠️ Baixo"))</f>
        <v>⚠️ Baixo</v>
      </c>
    </row>
    <row r="681" spans="1:15" ht="15" customHeight="1">
      <c r="A681" s="28" t="str">
        <f>IF(Table_246[[#This Row],[Data]]="","",MONTH(Table_246[[#This Row],[Data]]))</f>
        <v/>
      </c>
      <c r="B681" s="32"/>
      <c r="C681" s="36"/>
      <c r="D681" s="43"/>
      <c r="E681" s="48"/>
      <c r="F681" s="48"/>
      <c r="G681" s="49" t="str">
        <f>IFERROR(VLOOKUP(C681,PROD!$A$2:$E$1204,5,0),"0")</f>
        <v>0</v>
      </c>
      <c r="H681" s="10">
        <f>Table_246[[#This Row],[QT]]*Table_246[[#This Row],[Custo 
Un]]</f>
        <v>0</v>
      </c>
      <c r="I681" s="52"/>
      <c r="J681" s="263">
        <f t="shared" si="36"/>
        <v>0</v>
      </c>
      <c r="K681" s="10">
        <f t="shared" si="35"/>
        <v>0</v>
      </c>
      <c r="L681" s="50">
        <f>Table_246[[#This Row],[Valor da 
venda]]-Table_246[[#This Row],[Valor gasto]]</f>
        <v>0</v>
      </c>
      <c r="M681" s="111">
        <f t="shared" si="37"/>
        <v>0</v>
      </c>
      <c r="N681" s="52"/>
      <c r="O681" s="114" t="str">
        <f>IF([1]!Table_246[[#This Row],[Coluna2]]&gt;0.5, "🔥 Excelente", IF([1]!Table_246[[#This Row],[Coluna2]]&gt;0.4, "👍 Bom", "⚠️ Baixo"))</f>
        <v>⚠️ Baixo</v>
      </c>
    </row>
    <row r="682" spans="1:15" ht="15" customHeight="1">
      <c r="A682" s="28" t="str">
        <f>IF(Table_246[[#This Row],[Data]]="","",MONTH(Table_246[[#This Row],[Data]]))</f>
        <v/>
      </c>
      <c r="B682" s="32"/>
      <c r="C682" s="36"/>
      <c r="D682" s="43"/>
      <c r="E682" s="48"/>
      <c r="F682" s="48"/>
      <c r="G682" s="49" t="str">
        <f>IFERROR(VLOOKUP(C682,PROD!$A$2:$E$1204,5,0),"0")</f>
        <v>0</v>
      </c>
      <c r="H682" s="10">
        <f>Table_246[[#This Row],[QT]]*Table_246[[#This Row],[Custo 
Un]]</f>
        <v>0</v>
      </c>
      <c r="I682" s="52"/>
      <c r="J682" s="263">
        <f t="shared" si="36"/>
        <v>0</v>
      </c>
      <c r="K682" s="10">
        <f t="shared" si="35"/>
        <v>0</v>
      </c>
      <c r="L682" s="50">
        <f>Table_246[[#This Row],[Valor da 
venda]]-Table_246[[#This Row],[Valor gasto]]</f>
        <v>0</v>
      </c>
      <c r="M682" s="111">
        <f t="shared" si="37"/>
        <v>0</v>
      </c>
      <c r="N682" s="52"/>
      <c r="O682" s="114" t="str">
        <f>IF([1]!Table_246[[#This Row],[Coluna2]]&gt;0.5, "🔥 Excelente", IF([1]!Table_246[[#This Row],[Coluna2]]&gt;0.4, "👍 Bom", "⚠️ Baixo"))</f>
        <v>⚠️ Baixo</v>
      </c>
    </row>
    <row r="683" spans="1:15" ht="15" customHeight="1">
      <c r="A683" s="28" t="str">
        <f>IF(Table_246[[#This Row],[Data]]="","",MONTH(Table_246[[#This Row],[Data]]))</f>
        <v/>
      </c>
      <c r="B683" s="32"/>
      <c r="C683" s="36"/>
      <c r="D683" s="43"/>
      <c r="E683" s="48"/>
      <c r="F683" s="48"/>
      <c r="G683" s="49" t="str">
        <f>IFERROR(VLOOKUP(C683,PROD!$A$2:$E$1204,5,0),"0")</f>
        <v>0</v>
      </c>
      <c r="H683" s="10">
        <f>Table_246[[#This Row],[QT]]*Table_246[[#This Row],[Custo 
Un]]</f>
        <v>0</v>
      </c>
      <c r="I683" s="52"/>
      <c r="J683" s="263">
        <f t="shared" si="36"/>
        <v>0</v>
      </c>
      <c r="K683" s="10">
        <f t="shared" si="35"/>
        <v>0</v>
      </c>
      <c r="L683" s="50">
        <f>Table_246[[#This Row],[Valor da 
venda]]-Table_246[[#This Row],[Valor gasto]]</f>
        <v>0</v>
      </c>
      <c r="M683" s="111">
        <f t="shared" si="37"/>
        <v>0</v>
      </c>
      <c r="N683" s="52"/>
      <c r="O683" s="114" t="str">
        <f>IF([1]!Table_246[[#This Row],[Coluna2]]&gt;0.5, "🔥 Excelente", IF([1]!Table_246[[#This Row],[Coluna2]]&gt;0.4, "👍 Bom", "⚠️ Baixo"))</f>
        <v>⚠️ Baixo</v>
      </c>
    </row>
    <row r="684" spans="1:15" ht="15" customHeight="1">
      <c r="A684" s="28" t="str">
        <f>IF(Table_246[[#This Row],[Data]]="","",MONTH(Table_246[[#This Row],[Data]]))</f>
        <v/>
      </c>
      <c r="B684" s="32"/>
      <c r="C684" s="36"/>
      <c r="D684" s="43"/>
      <c r="E684" s="48"/>
      <c r="F684" s="48"/>
      <c r="G684" s="49" t="str">
        <f>IFERROR(VLOOKUP(C684,PROD!$A$2:$E$1204,5,0),"0")</f>
        <v>0</v>
      </c>
      <c r="H684" s="10">
        <f>Table_246[[#This Row],[QT]]*Table_246[[#This Row],[Custo 
Un]]</f>
        <v>0</v>
      </c>
      <c r="I684" s="52"/>
      <c r="J684" s="263">
        <f t="shared" si="36"/>
        <v>0</v>
      </c>
      <c r="K684" s="10">
        <f t="shared" si="35"/>
        <v>0</v>
      </c>
      <c r="L684" s="50">
        <f>Table_246[[#This Row],[Valor da 
venda]]-Table_246[[#This Row],[Valor gasto]]</f>
        <v>0</v>
      </c>
      <c r="M684" s="111">
        <f t="shared" si="37"/>
        <v>0</v>
      </c>
      <c r="N684" s="52"/>
      <c r="O684" s="114" t="str">
        <f>IF([1]!Table_246[[#This Row],[Coluna2]]&gt;0.5, "🔥 Excelente", IF([1]!Table_246[[#This Row],[Coluna2]]&gt;0.4, "👍 Bom", "⚠️ Baixo"))</f>
        <v>⚠️ Baixo</v>
      </c>
    </row>
    <row r="685" spans="1:15" ht="15" customHeight="1">
      <c r="A685" s="28" t="str">
        <f>IF(Table_246[[#This Row],[Data]]="","",MONTH(Table_246[[#This Row],[Data]]))</f>
        <v/>
      </c>
      <c r="B685" s="32"/>
      <c r="C685" s="36"/>
      <c r="D685" s="43"/>
      <c r="E685" s="48"/>
      <c r="F685" s="48"/>
      <c r="G685" s="49" t="str">
        <f>IFERROR(VLOOKUP(C685,PROD!$A$2:$E$1204,5,0),"0")</f>
        <v>0</v>
      </c>
      <c r="H685" s="10">
        <f>Table_246[[#This Row],[QT]]*Table_246[[#This Row],[Custo 
Un]]</f>
        <v>0</v>
      </c>
      <c r="I685" s="52"/>
      <c r="J685" s="263">
        <f t="shared" si="36"/>
        <v>0</v>
      </c>
      <c r="K685" s="10">
        <f t="shared" si="35"/>
        <v>0</v>
      </c>
      <c r="L685" s="50">
        <f>Table_246[[#This Row],[Valor da 
venda]]-Table_246[[#This Row],[Valor gasto]]</f>
        <v>0</v>
      </c>
      <c r="M685" s="111">
        <f t="shared" si="37"/>
        <v>0</v>
      </c>
      <c r="N685" s="52"/>
      <c r="O685" s="114" t="str">
        <f>IF([1]!Table_246[[#This Row],[Coluna2]]&gt;0.5, "🔥 Excelente", IF([1]!Table_246[[#This Row],[Coluna2]]&gt;0.4, "👍 Bom", "⚠️ Baixo"))</f>
        <v>⚠️ Baixo</v>
      </c>
    </row>
    <row r="686" spans="1:15" ht="15" customHeight="1">
      <c r="A686" s="28" t="str">
        <f>IF(Table_246[[#This Row],[Data]]="","",MONTH(Table_246[[#This Row],[Data]]))</f>
        <v/>
      </c>
      <c r="B686" s="32"/>
      <c r="C686" s="36"/>
      <c r="D686" s="43"/>
      <c r="E686" s="48"/>
      <c r="F686" s="48"/>
      <c r="G686" s="49" t="str">
        <f>IFERROR(VLOOKUP(C686,PROD!$A$2:$E$1204,5,0),"0")</f>
        <v>0</v>
      </c>
      <c r="H686" s="10">
        <f>Table_246[[#This Row],[QT]]*Table_246[[#This Row],[Custo 
Un]]</f>
        <v>0</v>
      </c>
      <c r="I686" s="52"/>
      <c r="J686" s="263">
        <f t="shared" si="36"/>
        <v>0</v>
      </c>
      <c r="K686" s="10">
        <f t="shared" si="35"/>
        <v>0</v>
      </c>
      <c r="L686" s="50">
        <f>Table_246[[#This Row],[Valor da 
venda]]-Table_246[[#This Row],[Valor gasto]]</f>
        <v>0</v>
      </c>
      <c r="M686" s="111">
        <f t="shared" si="37"/>
        <v>0</v>
      </c>
      <c r="N686" s="52"/>
      <c r="O686" s="114" t="str">
        <f>IF([1]!Table_246[[#This Row],[Coluna2]]&gt;0.5, "🔥 Excelente", IF([1]!Table_246[[#This Row],[Coluna2]]&gt;0.4, "👍 Bom", "⚠️ Baixo"))</f>
        <v>⚠️ Baixo</v>
      </c>
    </row>
    <row r="687" spans="1:15" ht="15" customHeight="1">
      <c r="A687" s="28" t="str">
        <f>IF(Table_246[[#This Row],[Data]]="","",MONTH(Table_246[[#This Row],[Data]]))</f>
        <v/>
      </c>
      <c r="B687" s="32"/>
      <c r="C687" s="36"/>
      <c r="D687" s="43"/>
      <c r="E687" s="48"/>
      <c r="F687" s="48"/>
      <c r="G687" s="49" t="str">
        <f>IFERROR(VLOOKUP(C687,PROD!$A$2:$E$1204,5,0),"0")</f>
        <v>0</v>
      </c>
      <c r="H687" s="10">
        <f>Table_246[[#This Row],[QT]]*Table_246[[#This Row],[Custo 
Un]]</f>
        <v>0</v>
      </c>
      <c r="I687" s="52"/>
      <c r="J687" s="263">
        <f t="shared" si="36"/>
        <v>0</v>
      </c>
      <c r="K687" s="10">
        <f t="shared" si="35"/>
        <v>0</v>
      </c>
      <c r="L687" s="50">
        <f>Table_246[[#This Row],[Valor da 
venda]]-Table_246[[#This Row],[Valor gasto]]</f>
        <v>0</v>
      </c>
      <c r="M687" s="111">
        <f t="shared" si="37"/>
        <v>0</v>
      </c>
      <c r="N687" s="52"/>
      <c r="O687" s="114" t="str">
        <f>IF([1]!Table_246[[#This Row],[Coluna2]]&gt;0.5, "🔥 Excelente", IF([1]!Table_246[[#This Row],[Coluna2]]&gt;0.4, "👍 Bom", "⚠️ Baixo"))</f>
        <v>⚠️ Baixo</v>
      </c>
    </row>
    <row r="688" spans="1:15" ht="15" customHeight="1">
      <c r="A688" s="28" t="str">
        <f>IF(Table_246[[#This Row],[Data]]="","",MONTH(Table_246[[#This Row],[Data]]))</f>
        <v/>
      </c>
      <c r="B688" s="32"/>
      <c r="C688" s="36"/>
      <c r="D688" s="43"/>
      <c r="E688" s="48"/>
      <c r="F688" s="48"/>
      <c r="G688" s="49" t="str">
        <f>IFERROR(VLOOKUP(C688,PROD!$A$2:$E$1204,5,0),"0")</f>
        <v>0</v>
      </c>
      <c r="H688" s="10">
        <f>Table_246[[#This Row],[QT]]*Table_246[[#This Row],[Custo 
Un]]</f>
        <v>0</v>
      </c>
      <c r="I688" s="52"/>
      <c r="J688" s="263">
        <f t="shared" si="36"/>
        <v>0</v>
      </c>
      <c r="K688" s="10">
        <f t="shared" si="35"/>
        <v>0</v>
      </c>
      <c r="L688" s="50">
        <f>Table_246[[#This Row],[Valor da 
venda]]-Table_246[[#This Row],[Valor gasto]]</f>
        <v>0</v>
      </c>
      <c r="M688" s="111">
        <f t="shared" si="37"/>
        <v>0</v>
      </c>
      <c r="N688" s="52"/>
      <c r="O688" s="114" t="str">
        <f>IF([1]!Table_246[[#This Row],[Coluna2]]&gt;0.5, "🔥 Excelente", IF([1]!Table_246[[#This Row],[Coluna2]]&gt;0.4, "👍 Bom", "⚠️ Baixo"))</f>
        <v>⚠️ Baixo</v>
      </c>
    </row>
    <row r="689" spans="1:15" ht="15" customHeight="1">
      <c r="A689" s="28" t="str">
        <f>IF(Table_246[[#This Row],[Data]]="","",MONTH(Table_246[[#This Row],[Data]]))</f>
        <v/>
      </c>
      <c r="B689" s="32"/>
      <c r="C689" s="36"/>
      <c r="D689" s="43"/>
      <c r="E689" s="48"/>
      <c r="F689" s="48"/>
      <c r="G689" s="49" t="str">
        <f>IFERROR(VLOOKUP(C689,PROD!$A$2:$E$1204,5,0),"0")</f>
        <v>0</v>
      </c>
      <c r="H689" s="10">
        <f>Table_246[[#This Row],[QT]]*Table_246[[#This Row],[Custo 
Un]]</f>
        <v>0</v>
      </c>
      <c r="I689" s="52"/>
      <c r="J689" s="263">
        <f t="shared" si="36"/>
        <v>0</v>
      </c>
      <c r="K689" s="10">
        <f t="shared" si="35"/>
        <v>0</v>
      </c>
      <c r="L689" s="50">
        <f>Table_246[[#This Row],[Valor da 
venda]]-Table_246[[#This Row],[Valor gasto]]</f>
        <v>0</v>
      </c>
      <c r="M689" s="111">
        <f t="shared" si="37"/>
        <v>0</v>
      </c>
      <c r="N689" s="52"/>
      <c r="O689" s="114" t="str">
        <f>IF([1]!Table_246[[#This Row],[Coluna2]]&gt;0.5, "🔥 Excelente", IF([1]!Table_246[[#This Row],[Coluna2]]&gt;0.4, "👍 Bom", "⚠️ Baixo"))</f>
        <v>⚠️ Baixo</v>
      </c>
    </row>
    <row r="690" spans="1:15" ht="15" customHeight="1">
      <c r="A690" s="28" t="str">
        <f>IF(Table_246[[#This Row],[Data]]="","",MONTH(Table_246[[#This Row],[Data]]))</f>
        <v/>
      </c>
      <c r="B690" s="32"/>
      <c r="C690" s="36"/>
      <c r="D690" s="43"/>
      <c r="E690" s="48"/>
      <c r="F690" s="48"/>
      <c r="G690" s="49" t="str">
        <f>IFERROR(VLOOKUP(C690,PROD!$A$2:$E$1204,5,0),"0")</f>
        <v>0</v>
      </c>
      <c r="H690" s="10">
        <f>Table_246[[#This Row],[QT]]*Table_246[[#This Row],[Custo 
Un]]</f>
        <v>0</v>
      </c>
      <c r="I690" s="52"/>
      <c r="J690" s="263">
        <f t="shared" si="36"/>
        <v>0</v>
      </c>
      <c r="K690" s="10">
        <f t="shared" si="35"/>
        <v>0</v>
      </c>
      <c r="L690" s="50">
        <f>Table_246[[#This Row],[Valor da 
venda]]-Table_246[[#This Row],[Valor gasto]]</f>
        <v>0</v>
      </c>
      <c r="M690" s="111">
        <f t="shared" si="37"/>
        <v>0</v>
      </c>
      <c r="N690" s="52"/>
      <c r="O690" s="114" t="str">
        <f>IF([1]!Table_246[[#This Row],[Coluna2]]&gt;0.5, "🔥 Excelente", IF([1]!Table_246[[#This Row],[Coluna2]]&gt;0.4, "👍 Bom", "⚠️ Baixo"))</f>
        <v>⚠️ Baixo</v>
      </c>
    </row>
    <row r="691" spans="1:15" ht="15" customHeight="1">
      <c r="A691" s="28" t="str">
        <f>IF(Table_246[[#This Row],[Data]]="","",MONTH(Table_246[[#This Row],[Data]]))</f>
        <v/>
      </c>
      <c r="B691" s="32"/>
      <c r="C691" s="36"/>
      <c r="D691" s="43"/>
      <c r="E691" s="48"/>
      <c r="F691" s="48"/>
      <c r="G691" s="49" t="str">
        <f>IFERROR(VLOOKUP(C691,PROD!$A$2:$E$1204,5,0),"0")</f>
        <v>0</v>
      </c>
      <c r="H691" s="10">
        <f>Table_246[[#This Row],[QT]]*Table_246[[#This Row],[Custo 
Un]]</f>
        <v>0</v>
      </c>
      <c r="I691" s="52"/>
      <c r="J691" s="263">
        <f t="shared" si="36"/>
        <v>0</v>
      </c>
      <c r="K691" s="10">
        <f t="shared" si="35"/>
        <v>0</v>
      </c>
      <c r="L691" s="50">
        <f>Table_246[[#This Row],[Valor da 
venda]]-Table_246[[#This Row],[Valor gasto]]</f>
        <v>0</v>
      </c>
      <c r="M691" s="111">
        <f t="shared" si="37"/>
        <v>0</v>
      </c>
      <c r="N691" s="52"/>
      <c r="O691" s="114" t="str">
        <f>IF([1]!Table_246[[#This Row],[Coluna2]]&gt;0.5, "🔥 Excelente", IF([1]!Table_246[[#This Row],[Coluna2]]&gt;0.4, "👍 Bom", "⚠️ Baixo"))</f>
        <v>⚠️ Baixo</v>
      </c>
    </row>
    <row r="692" spans="1:15" ht="15" customHeight="1">
      <c r="A692" s="28" t="str">
        <f>IF(Table_246[[#This Row],[Data]]="","",MONTH(Table_246[[#This Row],[Data]]))</f>
        <v/>
      </c>
      <c r="B692" s="32"/>
      <c r="C692" s="36"/>
      <c r="D692" s="43"/>
      <c r="E692" s="48"/>
      <c r="F692" s="48"/>
      <c r="G692" s="49" t="str">
        <f>IFERROR(VLOOKUP(C692,PROD!$A$2:$E$1204,5,0),"0")</f>
        <v>0</v>
      </c>
      <c r="H692" s="10">
        <f>Table_246[[#This Row],[QT]]*Table_246[[#This Row],[Custo 
Un]]</f>
        <v>0</v>
      </c>
      <c r="I692" s="52"/>
      <c r="J692" s="263">
        <f t="shared" si="36"/>
        <v>0</v>
      </c>
      <c r="K692" s="10">
        <f t="shared" ref="K692:K755" si="38">I692*D692</f>
        <v>0</v>
      </c>
      <c r="L692" s="50">
        <f>Table_246[[#This Row],[Valor da 
venda]]-Table_246[[#This Row],[Valor gasto]]</f>
        <v>0</v>
      </c>
      <c r="M692" s="111">
        <f t="shared" si="37"/>
        <v>0</v>
      </c>
      <c r="N692" s="52"/>
      <c r="O692" s="114" t="str">
        <f>IF([1]!Table_246[[#This Row],[Coluna2]]&gt;0.5, "🔥 Excelente", IF([1]!Table_246[[#This Row],[Coluna2]]&gt;0.4, "👍 Bom", "⚠️ Baixo"))</f>
        <v>⚠️ Baixo</v>
      </c>
    </row>
    <row r="693" spans="1:15" ht="15" customHeight="1">
      <c r="A693" s="28" t="str">
        <f>IF(Table_246[[#This Row],[Data]]="","",MONTH(Table_246[[#This Row],[Data]]))</f>
        <v/>
      </c>
      <c r="B693" s="32"/>
      <c r="C693" s="36"/>
      <c r="D693" s="43"/>
      <c r="E693" s="48"/>
      <c r="F693" s="48"/>
      <c r="G693" s="49" t="str">
        <f>IFERROR(VLOOKUP(C693,PROD!$A$2:$E$1204,5,0),"0")</f>
        <v>0</v>
      </c>
      <c r="H693" s="10">
        <f>Table_246[[#This Row],[QT]]*Table_246[[#This Row],[Custo 
Un]]</f>
        <v>0</v>
      </c>
      <c r="I693" s="52"/>
      <c r="J693" s="263">
        <f t="shared" si="36"/>
        <v>0</v>
      </c>
      <c r="K693" s="10">
        <f t="shared" si="38"/>
        <v>0</v>
      </c>
      <c r="L693" s="50">
        <f>Table_246[[#This Row],[Valor da 
venda]]-Table_246[[#This Row],[Valor gasto]]</f>
        <v>0</v>
      </c>
      <c r="M693" s="111">
        <f t="shared" si="37"/>
        <v>0</v>
      </c>
      <c r="N693" s="52"/>
      <c r="O693" s="114" t="str">
        <f>IF([1]!Table_246[[#This Row],[Coluna2]]&gt;0.5, "🔥 Excelente", IF([1]!Table_246[[#This Row],[Coluna2]]&gt;0.4, "👍 Bom", "⚠️ Baixo"))</f>
        <v>⚠️ Baixo</v>
      </c>
    </row>
    <row r="694" spans="1:15" ht="15" customHeight="1">
      <c r="A694" s="28" t="str">
        <f>IF(Table_246[[#This Row],[Data]]="","",MONTH(Table_246[[#This Row],[Data]]))</f>
        <v/>
      </c>
      <c r="B694" s="32"/>
      <c r="C694" s="36"/>
      <c r="D694" s="43"/>
      <c r="E694" s="48"/>
      <c r="F694" s="48"/>
      <c r="G694" s="49" t="str">
        <f>IFERROR(VLOOKUP(C694,PROD!$A$2:$E$1204,5,0),"0")</f>
        <v>0</v>
      </c>
      <c r="H694" s="10">
        <f>Table_246[[#This Row],[QT]]*Table_246[[#This Row],[Custo 
Un]]</f>
        <v>0</v>
      </c>
      <c r="I694" s="52"/>
      <c r="J694" s="263">
        <f t="shared" si="36"/>
        <v>0</v>
      </c>
      <c r="K694" s="10">
        <f t="shared" si="38"/>
        <v>0</v>
      </c>
      <c r="L694" s="50">
        <f>Table_246[[#This Row],[Valor da 
venda]]-Table_246[[#This Row],[Valor gasto]]</f>
        <v>0</v>
      </c>
      <c r="M694" s="111">
        <f t="shared" si="37"/>
        <v>0</v>
      </c>
      <c r="N694" s="52"/>
      <c r="O694" s="114" t="str">
        <f>IF([1]!Table_246[[#This Row],[Coluna2]]&gt;0.5, "🔥 Excelente", IF([1]!Table_246[[#This Row],[Coluna2]]&gt;0.4, "👍 Bom", "⚠️ Baixo"))</f>
        <v>⚠️ Baixo</v>
      </c>
    </row>
    <row r="695" spans="1:15" ht="15" customHeight="1">
      <c r="A695" s="28" t="str">
        <f>IF(Table_246[[#This Row],[Data]]="","",MONTH(Table_246[[#This Row],[Data]]))</f>
        <v/>
      </c>
      <c r="B695" s="32"/>
      <c r="C695" s="36"/>
      <c r="D695" s="43"/>
      <c r="E695" s="48"/>
      <c r="F695" s="48"/>
      <c r="G695" s="49" t="str">
        <f>IFERROR(VLOOKUP(C695,PROD!$A$2:$E$1204,5,0),"0")</f>
        <v>0</v>
      </c>
      <c r="H695" s="10">
        <f>Table_246[[#This Row],[QT]]*Table_246[[#This Row],[Custo 
Un]]</f>
        <v>0</v>
      </c>
      <c r="I695" s="52"/>
      <c r="J695" s="263">
        <f t="shared" si="36"/>
        <v>0</v>
      </c>
      <c r="K695" s="10">
        <f t="shared" si="38"/>
        <v>0</v>
      </c>
      <c r="L695" s="50">
        <f>Table_246[[#This Row],[Valor da 
venda]]-Table_246[[#This Row],[Valor gasto]]</f>
        <v>0</v>
      </c>
      <c r="M695" s="111">
        <f t="shared" si="37"/>
        <v>0</v>
      </c>
      <c r="N695" s="52"/>
      <c r="O695" s="114" t="str">
        <f>IF([1]!Table_246[[#This Row],[Coluna2]]&gt;0.5, "🔥 Excelente", IF([1]!Table_246[[#This Row],[Coluna2]]&gt;0.4, "👍 Bom", "⚠️ Baixo"))</f>
        <v>⚠️ Baixo</v>
      </c>
    </row>
    <row r="696" spans="1:15" ht="15" customHeight="1">
      <c r="A696" s="28" t="str">
        <f>IF(Table_246[[#This Row],[Data]]="","",MONTH(Table_246[[#This Row],[Data]]))</f>
        <v/>
      </c>
      <c r="B696" s="32"/>
      <c r="C696" s="36"/>
      <c r="D696" s="43"/>
      <c r="E696" s="48"/>
      <c r="F696" s="48"/>
      <c r="G696" s="49" t="str">
        <f>IFERROR(VLOOKUP(C696,PROD!$A$2:$E$1204,5,0),"0")</f>
        <v>0</v>
      </c>
      <c r="H696" s="10">
        <f>Table_246[[#This Row],[QT]]*Table_246[[#This Row],[Custo 
Un]]</f>
        <v>0</v>
      </c>
      <c r="I696" s="52"/>
      <c r="J696" s="263">
        <f t="shared" si="36"/>
        <v>0</v>
      </c>
      <c r="K696" s="10">
        <f t="shared" si="38"/>
        <v>0</v>
      </c>
      <c r="L696" s="50">
        <f>Table_246[[#This Row],[Valor da 
venda]]-Table_246[[#This Row],[Valor gasto]]</f>
        <v>0</v>
      </c>
      <c r="M696" s="111">
        <f t="shared" si="37"/>
        <v>0</v>
      </c>
      <c r="N696" s="52"/>
      <c r="O696" s="114" t="str">
        <f>IF([1]!Table_246[[#This Row],[Coluna2]]&gt;0.5, "🔥 Excelente", IF([1]!Table_246[[#This Row],[Coluna2]]&gt;0.4, "👍 Bom", "⚠️ Baixo"))</f>
        <v>⚠️ Baixo</v>
      </c>
    </row>
    <row r="697" spans="1:15" ht="15" customHeight="1">
      <c r="A697" s="28" t="str">
        <f>IF(Table_246[[#This Row],[Data]]="","",MONTH(Table_246[[#This Row],[Data]]))</f>
        <v/>
      </c>
      <c r="B697" s="32"/>
      <c r="C697" s="36"/>
      <c r="D697" s="43"/>
      <c r="E697" s="48"/>
      <c r="F697" s="48"/>
      <c r="G697" s="49" t="str">
        <f>IFERROR(VLOOKUP(C697,PROD!$A$2:$E$1204,5,0),"0")</f>
        <v>0</v>
      </c>
      <c r="H697" s="10">
        <f>Table_246[[#This Row],[QT]]*Table_246[[#This Row],[Custo 
Un]]</f>
        <v>0</v>
      </c>
      <c r="I697" s="52"/>
      <c r="J697" s="263">
        <f t="shared" si="36"/>
        <v>0</v>
      </c>
      <c r="K697" s="10">
        <f t="shared" si="38"/>
        <v>0</v>
      </c>
      <c r="L697" s="50">
        <f>Table_246[[#This Row],[Valor da 
venda]]-Table_246[[#This Row],[Valor gasto]]</f>
        <v>0</v>
      </c>
      <c r="M697" s="111">
        <f t="shared" si="37"/>
        <v>0</v>
      </c>
      <c r="N697" s="52"/>
      <c r="O697" s="114" t="str">
        <f>IF([1]!Table_246[[#This Row],[Coluna2]]&gt;0.5, "🔥 Excelente", IF([1]!Table_246[[#This Row],[Coluna2]]&gt;0.4, "👍 Bom", "⚠️ Baixo"))</f>
        <v>⚠️ Baixo</v>
      </c>
    </row>
    <row r="698" spans="1:15" ht="15" customHeight="1">
      <c r="A698" s="28" t="str">
        <f>IF(Table_246[[#This Row],[Data]]="","",MONTH(Table_246[[#This Row],[Data]]))</f>
        <v/>
      </c>
      <c r="B698" s="32"/>
      <c r="C698" s="36"/>
      <c r="D698" s="43"/>
      <c r="E698" s="48"/>
      <c r="F698" s="48"/>
      <c r="G698" s="49" t="str">
        <f>IFERROR(VLOOKUP(C698,PROD!$A$2:$E$1204,5,0),"0")</f>
        <v>0</v>
      </c>
      <c r="H698" s="10">
        <f>Table_246[[#This Row],[QT]]*Table_246[[#This Row],[Custo 
Un]]</f>
        <v>0</v>
      </c>
      <c r="I698" s="52"/>
      <c r="J698" s="263">
        <f t="shared" si="36"/>
        <v>0</v>
      </c>
      <c r="K698" s="10">
        <f t="shared" si="38"/>
        <v>0</v>
      </c>
      <c r="L698" s="50">
        <f>Table_246[[#This Row],[Valor da 
venda]]-Table_246[[#This Row],[Valor gasto]]</f>
        <v>0</v>
      </c>
      <c r="M698" s="111">
        <f t="shared" si="37"/>
        <v>0</v>
      </c>
      <c r="N698" s="52"/>
      <c r="O698" s="114" t="str">
        <f>IF([1]!Table_246[[#This Row],[Coluna2]]&gt;0.5, "🔥 Excelente", IF([1]!Table_246[[#This Row],[Coluna2]]&gt;0.4, "👍 Bom", "⚠️ Baixo"))</f>
        <v>⚠️ Baixo</v>
      </c>
    </row>
    <row r="699" spans="1:15" ht="15" customHeight="1">
      <c r="A699" s="28" t="str">
        <f>IF(Table_246[[#This Row],[Data]]="","",MONTH(Table_246[[#This Row],[Data]]))</f>
        <v/>
      </c>
      <c r="B699" s="32"/>
      <c r="C699" s="36"/>
      <c r="D699" s="43"/>
      <c r="E699" s="48"/>
      <c r="F699" s="48"/>
      <c r="G699" s="49" t="str">
        <f>IFERROR(VLOOKUP(C699,PROD!$A$2:$E$1204,5,0),"0")</f>
        <v>0</v>
      </c>
      <c r="H699" s="10">
        <f>Table_246[[#This Row],[QT]]*Table_246[[#This Row],[Custo 
Un]]</f>
        <v>0</v>
      </c>
      <c r="I699" s="52"/>
      <c r="J699" s="263">
        <f t="shared" si="36"/>
        <v>0</v>
      </c>
      <c r="K699" s="10">
        <f t="shared" si="38"/>
        <v>0</v>
      </c>
      <c r="L699" s="50">
        <f>Table_246[[#This Row],[Valor da 
venda]]-Table_246[[#This Row],[Valor gasto]]</f>
        <v>0</v>
      </c>
      <c r="M699" s="111">
        <f t="shared" si="37"/>
        <v>0</v>
      </c>
      <c r="N699" s="52"/>
      <c r="O699" s="114" t="str">
        <f>IF([1]!Table_246[[#This Row],[Coluna2]]&gt;0.5, "🔥 Excelente", IF([1]!Table_246[[#This Row],[Coluna2]]&gt;0.4, "👍 Bom", "⚠️ Baixo"))</f>
        <v>⚠️ Baixo</v>
      </c>
    </row>
    <row r="700" spans="1:15" ht="15" customHeight="1">
      <c r="A700" s="28" t="str">
        <f>IF(Table_246[[#This Row],[Data]]="","",MONTH(Table_246[[#This Row],[Data]]))</f>
        <v/>
      </c>
      <c r="B700" s="32"/>
      <c r="C700" s="36"/>
      <c r="D700" s="43"/>
      <c r="E700" s="48"/>
      <c r="F700" s="48"/>
      <c r="G700" s="49" t="str">
        <f>IFERROR(VLOOKUP(C700,PROD!$A$2:$E$1204,5,0),"0")</f>
        <v>0</v>
      </c>
      <c r="H700" s="10">
        <f>Table_246[[#This Row],[QT]]*Table_246[[#This Row],[Custo 
Un]]</f>
        <v>0</v>
      </c>
      <c r="I700" s="52"/>
      <c r="J700" s="263">
        <f t="shared" si="36"/>
        <v>0</v>
      </c>
      <c r="K700" s="10">
        <f t="shared" si="38"/>
        <v>0</v>
      </c>
      <c r="L700" s="50">
        <f>Table_246[[#This Row],[Valor da 
venda]]-Table_246[[#This Row],[Valor gasto]]</f>
        <v>0</v>
      </c>
      <c r="M700" s="111">
        <f t="shared" si="37"/>
        <v>0</v>
      </c>
      <c r="N700" s="52"/>
      <c r="O700" s="114" t="str">
        <f>IF([1]!Table_246[[#This Row],[Coluna2]]&gt;0.5, "🔥 Excelente", IF([1]!Table_246[[#This Row],[Coluna2]]&gt;0.4, "👍 Bom", "⚠️ Baixo"))</f>
        <v>⚠️ Baixo</v>
      </c>
    </row>
    <row r="701" spans="1:15" ht="15" customHeight="1">
      <c r="A701" s="28" t="str">
        <f>IF(Table_246[[#This Row],[Data]]="","",MONTH(Table_246[[#This Row],[Data]]))</f>
        <v/>
      </c>
      <c r="B701" s="32"/>
      <c r="C701" s="36"/>
      <c r="D701" s="43"/>
      <c r="E701" s="48"/>
      <c r="F701" s="48"/>
      <c r="G701" s="49" t="str">
        <f>IFERROR(VLOOKUP(C701,PROD!$A$2:$E$1204,5,0),"0")</f>
        <v>0</v>
      </c>
      <c r="H701" s="10">
        <f>Table_246[[#This Row],[QT]]*Table_246[[#This Row],[Custo 
Un]]</f>
        <v>0</v>
      </c>
      <c r="I701" s="52"/>
      <c r="J701" s="263">
        <f t="shared" si="36"/>
        <v>0</v>
      </c>
      <c r="K701" s="10">
        <f t="shared" si="38"/>
        <v>0</v>
      </c>
      <c r="L701" s="50">
        <f>Table_246[[#This Row],[Valor da 
venda]]-Table_246[[#This Row],[Valor gasto]]</f>
        <v>0</v>
      </c>
      <c r="M701" s="111">
        <f t="shared" si="37"/>
        <v>0</v>
      </c>
      <c r="N701" s="52"/>
      <c r="O701" s="114" t="str">
        <f>IF([1]!Table_246[[#This Row],[Coluna2]]&gt;0.5, "🔥 Excelente", IF([1]!Table_246[[#This Row],[Coluna2]]&gt;0.4, "👍 Bom", "⚠️ Baixo"))</f>
        <v>⚠️ Baixo</v>
      </c>
    </row>
    <row r="702" spans="1:15" ht="15" customHeight="1">
      <c r="A702" s="28" t="str">
        <f>IF(Table_246[[#This Row],[Data]]="","",MONTH(Table_246[[#This Row],[Data]]))</f>
        <v/>
      </c>
      <c r="B702" s="32"/>
      <c r="C702" s="36"/>
      <c r="D702" s="43"/>
      <c r="E702" s="48"/>
      <c r="F702" s="48"/>
      <c r="G702" s="49" t="str">
        <f>IFERROR(VLOOKUP(C702,PROD!$A$2:$E$1204,5,0),"0")</f>
        <v>0</v>
      </c>
      <c r="H702" s="10">
        <f>Table_246[[#This Row],[QT]]*Table_246[[#This Row],[Custo 
Un]]</f>
        <v>0</v>
      </c>
      <c r="I702" s="52"/>
      <c r="J702" s="263">
        <f t="shared" si="36"/>
        <v>0</v>
      </c>
      <c r="K702" s="10">
        <f t="shared" si="38"/>
        <v>0</v>
      </c>
      <c r="L702" s="50">
        <f>Table_246[[#This Row],[Valor da 
venda]]-Table_246[[#This Row],[Valor gasto]]</f>
        <v>0</v>
      </c>
      <c r="M702" s="111">
        <f t="shared" si="37"/>
        <v>0</v>
      </c>
      <c r="N702" s="52"/>
      <c r="O702" s="114" t="str">
        <f>IF([1]!Table_246[[#This Row],[Coluna2]]&gt;0.5, "🔥 Excelente", IF([1]!Table_246[[#This Row],[Coluna2]]&gt;0.4, "👍 Bom", "⚠️ Baixo"))</f>
        <v>⚠️ Baixo</v>
      </c>
    </row>
    <row r="703" spans="1:15" ht="15" customHeight="1">
      <c r="A703" s="28" t="str">
        <f>IF(Table_246[[#This Row],[Data]]="","",MONTH(Table_246[[#This Row],[Data]]))</f>
        <v/>
      </c>
      <c r="B703" s="32"/>
      <c r="C703" s="36"/>
      <c r="D703" s="43"/>
      <c r="E703" s="48"/>
      <c r="F703" s="48"/>
      <c r="G703" s="49" t="str">
        <f>IFERROR(VLOOKUP(C703,PROD!$A$2:$E$1204,5,0),"0")</f>
        <v>0</v>
      </c>
      <c r="H703" s="10">
        <f>Table_246[[#This Row],[QT]]*Table_246[[#This Row],[Custo 
Un]]</f>
        <v>0</v>
      </c>
      <c r="I703" s="52"/>
      <c r="J703" s="263">
        <f t="shared" si="36"/>
        <v>0</v>
      </c>
      <c r="K703" s="10">
        <f t="shared" si="38"/>
        <v>0</v>
      </c>
      <c r="L703" s="50">
        <f>Table_246[[#This Row],[Valor da 
venda]]-Table_246[[#This Row],[Valor gasto]]</f>
        <v>0</v>
      </c>
      <c r="M703" s="111">
        <f t="shared" si="37"/>
        <v>0</v>
      </c>
      <c r="N703" s="52"/>
      <c r="O703" s="114" t="str">
        <f>IF([1]!Table_246[[#This Row],[Coluna2]]&gt;0.5, "🔥 Excelente", IF([1]!Table_246[[#This Row],[Coluna2]]&gt;0.4, "👍 Bom", "⚠️ Baixo"))</f>
        <v>⚠️ Baixo</v>
      </c>
    </row>
    <row r="704" spans="1:15" ht="15" customHeight="1">
      <c r="A704" s="28" t="str">
        <f>IF(Table_246[[#This Row],[Data]]="","",MONTH(Table_246[[#This Row],[Data]]))</f>
        <v/>
      </c>
      <c r="B704" s="32"/>
      <c r="C704" s="36"/>
      <c r="D704" s="43"/>
      <c r="E704" s="48"/>
      <c r="F704" s="48"/>
      <c r="G704" s="49" t="str">
        <f>IFERROR(VLOOKUP(C704,PROD!$A$2:$E$1204,5,0),"0")</f>
        <v>0</v>
      </c>
      <c r="H704" s="10">
        <f>Table_246[[#This Row],[QT]]*Table_246[[#This Row],[Custo 
Un]]</f>
        <v>0</v>
      </c>
      <c r="I704" s="52"/>
      <c r="J704" s="263">
        <f t="shared" si="36"/>
        <v>0</v>
      </c>
      <c r="K704" s="10">
        <f t="shared" si="38"/>
        <v>0</v>
      </c>
      <c r="L704" s="50">
        <f>Table_246[[#This Row],[Valor da 
venda]]-Table_246[[#This Row],[Valor gasto]]</f>
        <v>0</v>
      </c>
      <c r="M704" s="111">
        <f t="shared" si="37"/>
        <v>0</v>
      </c>
      <c r="N704" s="52"/>
      <c r="O704" s="114" t="str">
        <f>IF([1]!Table_246[[#This Row],[Coluna2]]&gt;0.5, "🔥 Excelente", IF([1]!Table_246[[#This Row],[Coluna2]]&gt;0.4, "👍 Bom", "⚠️ Baixo"))</f>
        <v>⚠️ Baixo</v>
      </c>
    </row>
    <row r="705" spans="1:15" ht="15" customHeight="1">
      <c r="A705" s="28" t="str">
        <f>IF(Table_246[[#This Row],[Data]]="","",MONTH(Table_246[[#This Row],[Data]]))</f>
        <v/>
      </c>
      <c r="B705" s="32"/>
      <c r="C705" s="36"/>
      <c r="D705" s="43"/>
      <c r="E705" s="48"/>
      <c r="F705" s="48"/>
      <c r="G705" s="49" t="str">
        <f>IFERROR(VLOOKUP(C705,PROD!$A$2:$E$1204,5,0),"0")</f>
        <v>0</v>
      </c>
      <c r="H705" s="10">
        <f>Table_246[[#This Row],[QT]]*Table_246[[#This Row],[Custo 
Un]]</f>
        <v>0</v>
      </c>
      <c r="I705" s="52"/>
      <c r="J705" s="263">
        <f t="shared" si="36"/>
        <v>0</v>
      </c>
      <c r="K705" s="10">
        <f t="shared" si="38"/>
        <v>0</v>
      </c>
      <c r="L705" s="50">
        <f>Table_246[[#This Row],[Valor da 
venda]]-Table_246[[#This Row],[Valor gasto]]</f>
        <v>0</v>
      </c>
      <c r="M705" s="111">
        <f t="shared" si="37"/>
        <v>0</v>
      </c>
      <c r="N705" s="52"/>
      <c r="O705" s="114" t="str">
        <f>IF([1]!Table_246[[#This Row],[Coluna2]]&gt;0.5, "🔥 Excelente", IF([1]!Table_246[[#This Row],[Coluna2]]&gt;0.4, "👍 Bom", "⚠️ Baixo"))</f>
        <v>⚠️ Baixo</v>
      </c>
    </row>
    <row r="706" spans="1:15" ht="15" customHeight="1">
      <c r="A706" s="28" t="str">
        <f>IF(Table_246[[#This Row],[Data]]="","",MONTH(Table_246[[#This Row],[Data]]))</f>
        <v/>
      </c>
      <c r="B706" s="32"/>
      <c r="C706" s="36"/>
      <c r="D706" s="43"/>
      <c r="E706" s="48"/>
      <c r="F706" s="48"/>
      <c r="G706" s="49" t="str">
        <f>IFERROR(VLOOKUP(C706,PROD!$A$2:$E$1204,5,0),"0")</f>
        <v>0</v>
      </c>
      <c r="H706" s="10">
        <f>Table_246[[#This Row],[QT]]*Table_246[[#This Row],[Custo 
Un]]</f>
        <v>0</v>
      </c>
      <c r="I706" s="52"/>
      <c r="J706" s="263">
        <f t="shared" ref="J706:J769" si="39">I706*D706</f>
        <v>0</v>
      </c>
      <c r="K706" s="10">
        <f t="shared" si="38"/>
        <v>0</v>
      </c>
      <c r="L706" s="50">
        <f>Table_246[[#This Row],[Valor da 
venda]]-Table_246[[#This Row],[Valor gasto]]</f>
        <v>0</v>
      </c>
      <c r="M706" s="111">
        <f t="shared" si="37"/>
        <v>0</v>
      </c>
      <c r="N706" s="52"/>
      <c r="O706" s="114" t="str">
        <f>IF([1]!Table_246[[#This Row],[Coluna2]]&gt;0.5, "🔥 Excelente", IF([1]!Table_246[[#This Row],[Coluna2]]&gt;0.4, "👍 Bom", "⚠️ Baixo"))</f>
        <v>⚠️ Baixo</v>
      </c>
    </row>
    <row r="707" spans="1:15" ht="15" customHeight="1">
      <c r="A707" s="28" t="str">
        <f>IF(Table_246[[#This Row],[Data]]="","",MONTH(Table_246[[#This Row],[Data]]))</f>
        <v/>
      </c>
      <c r="B707" s="32"/>
      <c r="C707" s="36"/>
      <c r="D707" s="43"/>
      <c r="E707" s="48"/>
      <c r="F707" s="48"/>
      <c r="G707" s="49" t="str">
        <f>IFERROR(VLOOKUP(C707,PROD!$A$2:$E$1204,5,0),"0")</f>
        <v>0</v>
      </c>
      <c r="H707" s="10">
        <f>Table_246[[#This Row],[QT]]*Table_246[[#This Row],[Custo 
Un]]</f>
        <v>0</v>
      </c>
      <c r="I707" s="52"/>
      <c r="J707" s="263">
        <f t="shared" si="39"/>
        <v>0</v>
      </c>
      <c r="K707" s="10">
        <f t="shared" si="38"/>
        <v>0</v>
      </c>
      <c r="L707" s="50">
        <f>Table_246[[#This Row],[Valor da 
venda]]-Table_246[[#This Row],[Valor gasto]]</f>
        <v>0</v>
      </c>
      <c r="M707" s="111">
        <f t="shared" si="37"/>
        <v>0</v>
      </c>
      <c r="N707" s="52"/>
      <c r="O707" s="114" t="str">
        <f>IF([1]!Table_246[[#This Row],[Coluna2]]&gt;0.5, "🔥 Excelente", IF([1]!Table_246[[#This Row],[Coluna2]]&gt;0.4, "👍 Bom", "⚠️ Baixo"))</f>
        <v>⚠️ Baixo</v>
      </c>
    </row>
    <row r="708" spans="1:15" ht="15" customHeight="1">
      <c r="A708" s="28" t="str">
        <f>IF(Table_246[[#This Row],[Data]]="","",MONTH(Table_246[[#This Row],[Data]]))</f>
        <v/>
      </c>
      <c r="B708" s="32"/>
      <c r="C708" s="36"/>
      <c r="D708" s="43"/>
      <c r="E708" s="48"/>
      <c r="F708" s="48"/>
      <c r="G708" s="49" t="str">
        <f>IFERROR(VLOOKUP(C708,PROD!$A$2:$E$1204,5,0),"0")</f>
        <v>0</v>
      </c>
      <c r="H708" s="10">
        <f>Table_246[[#This Row],[QT]]*Table_246[[#This Row],[Custo 
Un]]</f>
        <v>0</v>
      </c>
      <c r="I708" s="52"/>
      <c r="J708" s="263">
        <f t="shared" si="39"/>
        <v>0</v>
      </c>
      <c r="K708" s="10">
        <f t="shared" si="38"/>
        <v>0</v>
      </c>
      <c r="L708" s="50">
        <f>Table_246[[#This Row],[Valor da 
venda]]-Table_246[[#This Row],[Valor gasto]]</f>
        <v>0</v>
      </c>
      <c r="M708" s="111">
        <f t="shared" si="37"/>
        <v>0</v>
      </c>
      <c r="N708" s="52"/>
      <c r="O708" s="114" t="str">
        <f>IF([1]!Table_246[[#This Row],[Coluna2]]&gt;0.5, "🔥 Excelente", IF([1]!Table_246[[#This Row],[Coluna2]]&gt;0.4, "👍 Bom", "⚠️ Baixo"))</f>
        <v>⚠️ Baixo</v>
      </c>
    </row>
    <row r="709" spans="1:15" ht="15" customHeight="1">
      <c r="A709" s="28" t="str">
        <f>IF(Table_246[[#This Row],[Data]]="","",MONTH(Table_246[[#This Row],[Data]]))</f>
        <v/>
      </c>
      <c r="B709" s="32"/>
      <c r="C709" s="36"/>
      <c r="D709" s="43"/>
      <c r="E709" s="48"/>
      <c r="F709" s="48"/>
      <c r="G709" s="49" t="str">
        <f>IFERROR(VLOOKUP(C709,PROD!$A$2:$E$1204,5,0),"0")</f>
        <v>0</v>
      </c>
      <c r="H709" s="10">
        <f>Table_246[[#This Row],[QT]]*Table_246[[#This Row],[Custo 
Un]]</f>
        <v>0</v>
      </c>
      <c r="I709" s="52"/>
      <c r="J709" s="263">
        <f t="shared" si="39"/>
        <v>0</v>
      </c>
      <c r="K709" s="10">
        <f t="shared" si="38"/>
        <v>0</v>
      </c>
      <c r="L709" s="50">
        <f>Table_246[[#This Row],[Valor da 
venda]]-Table_246[[#This Row],[Valor gasto]]</f>
        <v>0</v>
      </c>
      <c r="M709" s="111">
        <f t="shared" ref="M709:M772" si="40">IFERROR(L709/K709, 0)</f>
        <v>0</v>
      </c>
      <c r="N709" s="52"/>
      <c r="O709" s="114" t="str">
        <f>IF([1]!Table_246[[#This Row],[Coluna2]]&gt;0.5, "🔥 Excelente", IF([1]!Table_246[[#This Row],[Coluna2]]&gt;0.4, "👍 Bom", "⚠️ Baixo"))</f>
        <v>⚠️ Baixo</v>
      </c>
    </row>
    <row r="710" spans="1:15" ht="15" customHeight="1">
      <c r="A710" s="28" t="str">
        <f>IF(Table_246[[#This Row],[Data]]="","",MONTH(Table_246[[#This Row],[Data]]))</f>
        <v/>
      </c>
      <c r="B710" s="32"/>
      <c r="C710" s="36"/>
      <c r="D710" s="43"/>
      <c r="E710" s="48"/>
      <c r="F710" s="48"/>
      <c r="G710" s="49" t="str">
        <f>IFERROR(VLOOKUP(C710,PROD!$A$2:$E$1204,5,0),"0")</f>
        <v>0</v>
      </c>
      <c r="H710" s="10">
        <f>Table_246[[#This Row],[QT]]*Table_246[[#This Row],[Custo 
Un]]</f>
        <v>0</v>
      </c>
      <c r="I710" s="52"/>
      <c r="J710" s="263">
        <f t="shared" si="39"/>
        <v>0</v>
      </c>
      <c r="K710" s="10">
        <f t="shared" si="38"/>
        <v>0</v>
      </c>
      <c r="L710" s="50">
        <f>Table_246[[#This Row],[Valor da 
venda]]-Table_246[[#This Row],[Valor gasto]]</f>
        <v>0</v>
      </c>
      <c r="M710" s="111">
        <f t="shared" si="40"/>
        <v>0</v>
      </c>
      <c r="N710" s="52"/>
      <c r="O710" s="114" t="str">
        <f>IF([1]!Table_246[[#This Row],[Coluna2]]&gt;0.5, "🔥 Excelente", IF([1]!Table_246[[#This Row],[Coluna2]]&gt;0.4, "👍 Bom", "⚠️ Baixo"))</f>
        <v>⚠️ Baixo</v>
      </c>
    </row>
    <row r="711" spans="1:15" ht="15" customHeight="1">
      <c r="A711" s="28" t="str">
        <f>IF(Table_246[[#This Row],[Data]]="","",MONTH(Table_246[[#This Row],[Data]]))</f>
        <v/>
      </c>
      <c r="B711" s="32"/>
      <c r="C711" s="36"/>
      <c r="D711" s="43"/>
      <c r="E711" s="48"/>
      <c r="F711" s="48"/>
      <c r="G711" s="49" t="str">
        <f>IFERROR(VLOOKUP(C711,PROD!$A$2:$E$1204,5,0),"0")</f>
        <v>0</v>
      </c>
      <c r="H711" s="10">
        <f>Table_246[[#This Row],[QT]]*Table_246[[#This Row],[Custo 
Un]]</f>
        <v>0</v>
      </c>
      <c r="I711" s="52"/>
      <c r="J711" s="263">
        <f t="shared" si="39"/>
        <v>0</v>
      </c>
      <c r="K711" s="10">
        <f t="shared" si="38"/>
        <v>0</v>
      </c>
      <c r="L711" s="50">
        <f>Table_246[[#This Row],[Valor da 
venda]]-Table_246[[#This Row],[Valor gasto]]</f>
        <v>0</v>
      </c>
      <c r="M711" s="111">
        <f t="shared" si="40"/>
        <v>0</v>
      </c>
      <c r="N711" s="52"/>
      <c r="O711" s="114" t="str">
        <f>IF([1]!Table_246[[#This Row],[Coluna2]]&gt;0.5, "🔥 Excelente", IF([1]!Table_246[[#This Row],[Coluna2]]&gt;0.4, "👍 Bom", "⚠️ Baixo"))</f>
        <v>⚠️ Baixo</v>
      </c>
    </row>
    <row r="712" spans="1:15" ht="15" customHeight="1">
      <c r="A712" s="28" t="str">
        <f>IF(Table_246[[#This Row],[Data]]="","",MONTH(Table_246[[#This Row],[Data]]))</f>
        <v/>
      </c>
      <c r="B712" s="32"/>
      <c r="C712" s="36"/>
      <c r="D712" s="43"/>
      <c r="E712" s="48"/>
      <c r="F712" s="48"/>
      <c r="G712" s="49" t="str">
        <f>IFERROR(VLOOKUP(C712,PROD!$A$2:$E$1204,5,0),"0")</f>
        <v>0</v>
      </c>
      <c r="H712" s="10">
        <f>Table_246[[#This Row],[QT]]*Table_246[[#This Row],[Custo 
Un]]</f>
        <v>0</v>
      </c>
      <c r="I712" s="52"/>
      <c r="J712" s="263">
        <f t="shared" si="39"/>
        <v>0</v>
      </c>
      <c r="K712" s="10">
        <f t="shared" si="38"/>
        <v>0</v>
      </c>
      <c r="L712" s="50">
        <f>Table_246[[#This Row],[Valor da 
venda]]-Table_246[[#This Row],[Valor gasto]]</f>
        <v>0</v>
      </c>
      <c r="M712" s="111">
        <f t="shared" si="40"/>
        <v>0</v>
      </c>
      <c r="N712" s="52"/>
      <c r="O712" s="114" t="str">
        <f>IF([1]!Table_246[[#This Row],[Coluna2]]&gt;0.5, "🔥 Excelente", IF([1]!Table_246[[#This Row],[Coluna2]]&gt;0.4, "👍 Bom", "⚠️ Baixo"))</f>
        <v>⚠️ Baixo</v>
      </c>
    </row>
    <row r="713" spans="1:15" ht="15" customHeight="1">
      <c r="A713" s="28" t="str">
        <f>IF(Table_246[[#This Row],[Data]]="","",MONTH(Table_246[[#This Row],[Data]]))</f>
        <v/>
      </c>
      <c r="B713" s="32"/>
      <c r="C713" s="36"/>
      <c r="D713" s="43"/>
      <c r="E713" s="48"/>
      <c r="F713" s="48"/>
      <c r="G713" s="49" t="str">
        <f>IFERROR(VLOOKUP(C713,PROD!$A$2:$E$1204,5,0),"0")</f>
        <v>0</v>
      </c>
      <c r="H713" s="10">
        <f>Table_246[[#This Row],[QT]]*Table_246[[#This Row],[Custo 
Un]]</f>
        <v>0</v>
      </c>
      <c r="I713" s="52"/>
      <c r="J713" s="263">
        <f t="shared" si="39"/>
        <v>0</v>
      </c>
      <c r="K713" s="10">
        <f t="shared" si="38"/>
        <v>0</v>
      </c>
      <c r="L713" s="50">
        <f>Table_246[[#This Row],[Valor da 
venda]]-Table_246[[#This Row],[Valor gasto]]</f>
        <v>0</v>
      </c>
      <c r="M713" s="111">
        <f t="shared" si="40"/>
        <v>0</v>
      </c>
      <c r="N713" s="52"/>
      <c r="O713" s="114" t="str">
        <f>IF([1]!Table_246[[#This Row],[Coluna2]]&gt;0.5, "🔥 Excelente", IF([1]!Table_246[[#This Row],[Coluna2]]&gt;0.4, "👍 Bom", "⚠️ Baixo"))</f>
        <v>⚠️ Baixo</v>
      </c>
    </row>
    <row r="714" spans="1:15" ht="15" customHeight="1">
      <c r="A714" s="28" t="str">
        <f>IF(Table_246[[#This Row],[Data]]="","",MONTH(Table_246[[#This Row],[Data]]))</f>
        <v/>
      </c>
      <c r="B714" s="32"/>
      <c r="C714" s="36"/>
      <c r="D714" s="43"/>
      <c r="E714" s="48"/>
      <c r="F714" s="48"/>
      <c r="G714" s="49" t="str">
        <f>IFERROR(VLOOKUP(C714,PROD!$A$2:$E$1204,5,0),"0")</f>
        <v>0</v>
      </c>
      <c r="H714" s="10">
        <f>Table_246[[#This Row],[QT]]*Table_246[[#This Row],[Custo 
Un]]</f>
        <v>0</v>
      </c>
      <c r="I714" s="52"/>
      <c r="J714" s="263">
        <f t="shared" si="39"/>
        <v>0</v>
      </c>
      <c r="K714" s="10">
        <f t="shared" si="38"/>
        <v>0</v>
      </c>
      <c r="L714" s="50">
        <f>Table_246[[#This Row],[Valor da 
venda]]-Table_246[[#This Row],[Valor gasto]]</f>
        <v>0</v>
      </c>
      <c r="M714" s="111">
        <f t="shared" si="40"/>
        <v>0</v>
      </c>
      <c r="N714" s="112"/>
      <c r="O714" s="114" t="str">
        <f>IF([1]!Table_246[[#This Row],[Coluna2]]&gt;0.5, "🔥 Excelente", IF([1]!Table_246[[#This Row],[Coluna2]]&gt;0.4, "👍 Bom", "⚠️ Baixo"))</f>
        <v>⚠️ Baixo</v>
      </c>
    </row>
    <row r="715" spans="1:15" ht="15" customHeight="1">
      <c r="A715" s="28" t="str">
        <f>IF(Table_246[[#This Row],[Data]]="","",MONTH(Table_246[[#This Row],[Data]]))</f>
        <v/>
      </c>
      <c r="B715" s="32"/>
      <c r="C715" s="36"/>
      <c r="D715" s="43"/>
      <c r="E715" s="48"/>
      <c r="F715" s="48"/>
      <c r="G715" s="49" t="str">
        <f>IFERROR(VLOOKUP(C715,PROD!$A$2:$E$1204,5,0),"0")</f>
        <v>0</v>
      </c>
      <c r="H715" s="10">
        <f>Table_246[[#This Row],[QT]]*Table_246[[#This Row],[Custo 
Un]]</f>
        <v>0</v>
      </c>
      <c r="I715" s="52"/>
      <c r="J715" s="263">
        <f t="shared" si="39"/>
        <v>0</v>
      </c>
      <c r="K715" s="10">
        <f t="shared" si="38"/>
        <v>0</v>
      </c>
      <c r="L715" s="50">
        <f>Table_246[[#This Row],[Valor da 
venda]]-Table_246[[#This Row],[Valor gasto]]</f>
        <v>0</v>
      </c>
      <c r="M715" s="111">
        <f t="shared" si="40"/>
        <v>0</v>
      </c>
      <c r="N715" s="112"/>
      <c r="O715" s="114" t="str">
        <f>IF([1]!Table_246[[#This Row],[Coluna2]]&gt;0.5, "🔥 Excelente", IF([1]!Table_246[[#This Row],[Coluna2]]&gt;0.4, "👍 Bom", "⚠️ Baixo"))</f>
        <v>⚠️ Baixo</v>
      </c>
    </row>
    <row r="716" spans="1:15" ht="15" customHeight="1">
      <c r="A716" s="28" t="str">
        <f>IF(Table_246[[#This Row],[Data]]="","",MONTH(Table_246[[#This Row],[Data]]))</f>
        <v/>
      </c>
      <c r="B716" s="32"/>
      <c r="C716" s="36"/>
      <c r="D716" s="43"/>
      <c r="E716" s="48"/>
      <c r="F716" s="48"/>
      <c r="G716" s="49" t="str">
        <f>IFERROR(VLOOKUP(C716,PROD!$A$2:$E$1204,5,0),"0")</f>
        <v>0</v>
      </c>
      <c r="H716" s="10">
        <f>Table_246[[#This Row],[QT]]*Table_246[[#This Row],[Custo 
Un]]</f>
        <v>0</v>
      </c>
      <c r="I716" s="52"/>
      <c r="J716" s="263">
        <f t="shared" si="39"/>
        <v>0</v>
      </c>
      <c r="K716" s="10">
        <f t="shared" si="38"/>
        <v>0</v>
      </c>
      <c r="L716" s="50">
        <f>Table_246[[#This Row],[Valor da 
venda]]-Table_246[[#This Row],[Valor gasto]]</f>
        <v>0</v>
      </c>
      <c r="M716" s="111">
        <f t="shared" si="40"/>
        <v>0</v>
      </c>
      <c r="N716" s="112"/>
      <c r="O716" s="114" t="str">
        <f>IF([1]!Table_246[[#This Row],[Coluna2]]&gt;0.5, "🔥 Excelente", IF([1]!Table_246[[#This Row],[Coluna2]]&gt;0.4, "👍 Bom", "⚠️ Baixo"))</f>
        <v>⚠️ Baixo</v>
      </c>
    </row>
    <row r="717" spans="1:15" ht="15" customHeight="1">
      <c r="A717" s="28" t="str">
        <f>IF(Table_246[[#This Row],[Data]]="","",MONTH(Table_246[[#This Row],[Data]]))</f>
        <v/>
      </c>
      <c r="B717" s="32"/>
      <c r="C717" s="36"/>
      <c r="D717" s="43"/>
      <c r="E717" s="48"/>
      <c r="F717" s="48"/>
      <c r="G717" s="49" t="str">
        <f>IFERROR(VLOOKUP(C717,PROD!$A$2:$E$1204,5,0),"0")</f>
        <v>0</v>
      </c>
      <c r="H717" s="10">
        <f>Table_246[[#This Row],[QT]]*Table_246[[#This Row],[Custo 
Un]]</f>
        <v>0</v>
      </c>
      <c r="I717" s="52"/>
      <c r="J717" s="263">
        <f t="shared" si="39"/>
        <v>0</v>
      </c>
      <c r="K717" s="10">
        <f t="shared" si="38"/>
        <v>0</v>
      </c>
      <c r="L717" s="50">
        <f>Table_246[[#This Row],[Valor da 
venda]]-Table_246[[#This Row],[Valor gasto]]</f>
        <v>0</v>
      </c>
      <c r="M717" s="111">
        <f t="shared" si="40"/>
        <v>0</v>
      </c>
      <c r="N717" s="112"/>
      <c r="O717" s="114" t="str">
        <f>IF([1]!Table_246[[#This Row],[Coluna2]]&gt;0.5, "🔥 Excelente", IF([1]!Table_246[[#This Row],[Coluna2]]&gt;0.4, "👍 Bom", "⚠️ Baixo"))</f>
        <v>⚠️ Baixo</v>
      </c>
    </row>
    <row r="718" spans="1:15" ht="15" customHeight="1">
      <c r="A718" s="28" t="str">
        <f>IF(Table_246[[#This Row],[Data]]="","",MONTH(Table_246[[#This Row],[Data]]))</f>
        <v/>
      </c>
      <c r="B718" s="32"/>
      <c r="C718" s="36"/>
      <c r="D718" s="43"/>
      <c r="E718" s="48"/>
      <c r="F718" s="48"/>
      <c r="G718" s="49" t="str">
        <f>IFERROR(VLOOKUP(C718,PROD!$A$2:$E$1204,5,0),"0")</f>
        <v>0</v>
      </c>
      <c r="H718" s="10">
        <f>Table_246[[#This Row],[QT]]*Table_246[[#This Row],[Custo 
Un]]</f>
        <v>0</v>
      </c>
      <c r="I718" s="52"/>
      <c r="J718" s="263">
        <f t="shared" si="39"/>
        <v>0</v>
      </c>
      <c r="K718" s="10">
        <f t="shared" si="38"/>
        <v>0</v>
      </c>
      <c r="L718" s="50">
        <f>Table_246[[#This Row],[Valor da 
venda]]-Table_246[[#This Row],[Valor gasto]]</f>
        <v>0</v>
      </c>
      <c r="M718" s="111">
        <f t="shared" si="40"/>
        <v>0</v>
      </c>
      <c r="N718" s="112"/>
      <c r="O718" s="114" t="str">
        <f>IF([1]!Table_246[[#This Row],[Coluna2]]&gt;0.5, "🔥 Excelente", IF([1]!Table_246[[#This Row],[Coluna2]]&gt;0.4, "👍 Bom", "⚠️ Baixo"))</f>
        <v>⚠️ Baixo</v>
      </c>
    </row>
    <row r="719" spans="1:15" ht="15" customHeight="1">
      <c r="A719" s="28" t="str">
        <f>IF(Table_246[[#This Row],[Data]]="","",MONTH(Table_246[[#This Row],[Data]]))</f>
        <v/>
      </c>
      <c r="B719" s="32"/>
      <c r="C719" s="36"/>
      <c r="D719" s="43"/>
      <c r="E719" s="48"/>
      <c r="F719" s="48"/>
      <c r="G719" s="49" t="str">
        <f>IFERROR(VLOOKUP(C719,PROD!$A$2:$E$1204,5,0),"0")</f>
        <v>0</v>
      </c>
      <c r="H719" s="10">
        <f>Table_246[[#This Row],[QT]]*Table_246[[#This Row],[Custo 
Un]]</f>
        <v>0</v>
      </c>
      <c r="I719" s="52"/>
      <c r="J719" s="263">
        <f t="shared" si="39"/>
        <v>0</v>
      </c>
      <c r="K719" s="10">
        <f t="shared" si="38"/>
        <v>0</v>
      </c>
      <c r="L719" s="50">
        <f>Table_246[[#This Row],[Valor da 
venda]]-Table_246[[#This Row],[Valor gasto]]</f>
        <v>0</v>
      </c>
      <c r="M719" s="111">
        <f t="shared" si="40"/>
        <v>0</v>
      </c>
      <c r="N719" s="112"/>
      <c r="O719" s="114" t="str">
        <f>IF([1]!Table_246[[#This Row],[Coluna2]]&gt;0.5, "🔥 Excelente", IF([1]!Table_246[[#This Row],[Coluna2]]&gt;0.4, "👍 Bom", "⚠️ Baixo"))</f>
        <v>⚠️ Baixo</v>
      </c>
    </row>
    <row r="720" spans="1:15" ht="15" customHeight="1">
      <c r="A720" s="28" t="str">
        <f>IF(Table_246[[#This Row],[Data]]="","",MONTH(Table_246[[#This Row],[Data]]))</f>
        <v/>
      </c>
      <c r="B720" s="32"/>
      <c r="C720" s="36"/>
      <c r="D720" s="43"/>
      <c r="E720" s="48"/>
      <c r="F720" s="48"/>
      <c r="G720" s="49" t="str">
        <f>IFERROR(VLOOKUP(C720,PROD!$A$2:$E$1204,5,0),"0")</f>
        <v>0</v>
      </c>
      <c r="H720" s="10">
        <f>Table_246[[#This Row],[QT]]*Table_246[[#This Row],[Custo 
Un]]</f>
        <v>0</v>
      </c>
      <c r="I720" s="52"/>
      <c r="J720" s="263">
        <f t="shared" si="39"/>
        <v>0</v>
      </c>
      <c r="K720" s="10">
        <f t="shared" si="38"/>
        <v>0</v>
      </c>
      <c r="L720" s="50">
        <f>Table_246[[#This Row],[Valor da 
venda]]-Table_246[[#This Row],[Valor gasto]]</f>
        <v>0</v>
      </c>
      <c r="M720" s="111">
        <f t="shared" si="40"/>
        <v>0</v>
      </c>
      <c r="N720" s="112"/>
      <c r="O720" s="114" t="str">
        <f>IF([1]!Table_246[[#This Row],[Coluna2]]&gt;0.5, "🔥 Excelente", IF([1]!Table_246[[#This Row],[Coluna2]]&gt;0.4, "👍 Bom", "⚠️ Baixo"))</f>
        <v>⚠️ Baixo</v>
      </c>
    </row>
    <row r="721" spans="1:15" ht="15" customHeight="1">
      <c r="A721" s="28" t="str">
        <f>IF(Table_246[[#This Row],[Data]]="","",MONTH(Table_246[[#This Row],[Data]]))</f>
        <v/>
      </c>
      <c r="B721" s="32"/>
      <c r="C721" s="36"/>
      <c r="D721" s="43"/>
      <c r="E721" s="48"/>
      <c r="F721" s="48"/>
      <c r="G721" s="49" t="str">
        <f>IFERROR(VLOOKUP(C721,PROD!$A$2:$E$1204,5,0),"0")</f>
        <v>0</v>
      </c>
      <c r="H721" s="10">
        <f>Table_246[[#This Row],[QT]]*Table_246[[#This Row],[Custo 
Un]]</f>
        <v>0</v>
      </c>
      <c r="I721" s="52"/>
      <c r="J721" s="263">
        <f t="shared" si="39"/>
        <v>0</v>
      </c>
      <c r="K721" s="10">
        <f t="shared" si="38"/>
        <v>0</v>
      </c>
      <c r="L721" s="50">
        <f>Table_246[[#This Row],[Valor da 
venda]]-Table_246[[#This Row],[Valor gasto]]</f>
        <v>0</v>
      </c>
      <c r="M721" s="111">
        <f t="shared" si="40"/>
        <v>0</v>
      </c>
      <c r="N721" s="112"/>
      <c r="O721" s="114" t="str">
        <f>IF([1]!Table_246[[#This Row],[Coluna2]]&gt;0.5, "🔥 Excelente", IF([1]!Table_246[[#This Row],[Coluna2]]&gt;0.4, "👍 Bom", "⚠️ Baixo"))</f>
        <v>⚠️ Baixo</v>
      </c>
    </row>
    <row r="722" spans="1:15" ht="15" customHeight="1">
      <c r="A722" s="28" t="str">
        <f>IF(Table_246[[#This Row],[Data]]="","",MONTH(Table_246[[#This Row],[Data]]))</f>
        <v/>
      </c>
      <c r="B722" s="32"/>
      <c r="C722" s="36"/>
      <c r="D722" s="43"/>
      <c r="E722" s="48"/>
      <c r="F722" s="48"/>
      <c r="G722" s="49" t="str">
        <f>IFERROR(VLOOKUP(C722,PROD!$A$2:$E$1204,5,0),"0")</f>
        <v>0</v>
      </c>
      <c r="H722" s="10">
        <f>Table_246[[#This Row],[QT]]*Table_246[[#This Row],[Custo 
Un]]</f>
        <v>0</v>
      </c>
      <c r="I722" s="52"/>
      <c r="J722" s="263">
        <f t="shared" si="39"/>
        <v>0</v>
      </c>
      <c r="K722" s="10">
        <f t="shared" si="38"/>
        <v>0</v>
      </c>
      <c r="L722" s="50">
        <f>Table_246[[#This Row],[Valor da 
venda]]-Table_246[[#This Row],[Valor gasto]]</f>
        <v>0</v>
      </c>
      <c r="M722" s="111">
        <f t="shared" si="40"/>
        <v>0</v>
      </c>
      <c r="N722" s="112"/>
      <c r="O722" s="114" t="str">
        <f>IF([1]!Table_246[[#This Row],[Coluna2]]&gt;0.5, "🔥 Excelente", IF([1]!Table_246[[#This Row],[Coluna2]]&gt;0.4, "👍 Bom", "⚠️ Baixo"))</f>
        <v>⚠️ Baixo</v>
      </c>
    </row>
    <row r="723" spans="1:15" ht="15" customHeight="1">
      <c r="A723" s="28" t="str">
        <f>IF(Table_246[[#This Row],[Data]]="","",MONTH(Table_246[[#This Row],[Data]]))</f>
        <v/>
      </c>
      <c r="B723" s="32"/>
      <c r="C723" s="36"/>
      <c r="D723" s="43"/>
      <c r="E723" s="48"/>
      <c r="F723" s="48"/>
      <c r="G723" s="49" t="str">
        <f>IFERROR(VLOOKUP(C723,PROD!$A$2:$E$1204,5,0),"0")</f>
        <v>0</v>
      </c>
      <c r="H723" s="10">
        <f>Table_246[[#This Row],[QT]]*Table_246[[#This Row],[Custo 
Un]]</f>
        <v>0</v>
      </c>
      <c r="I723" s="52"/>
      <c r="J723" s="263">
        <f t="shared" si="39"/>
        <v>0</v>
      </c>
      <c r="K723" s="10">
        <f t="shared" si="38"/>
        <v>0</v>
      </c>
      <c r="L723" s="50">
        <f>Table_246[[#This Row],[Valor da 
venda]]-Table_246[[#This Row],[Valor gasto]]</f>
        <v>0</v>
      </c>
      <c r="M723" s="111">
        <f t="shared" si="40"/>
        <v>0</v>
      </c>
      <c r="N723" s="112"/>
      <c r="O723" s="114" t="str">
        <f>IF([1]!Table_246[[#This Row],[Coluna2]]&gt;0.5, "🔥 Excelente", IF([1]!Table_246[[#This Row],[Coluna2]]&gt;0.4, "👍 Bom", "⚠️ Baixo"))</f>
        <v>⚠️ Baixo</v>
      </c>
    </row>
    <row r="724" spans="1:15" ht="15" customHeight="1">
      <c r="A724" s="28" t="str">
        <f>IF(Table_246[[#This Row],[Data]]="","",MONTH(Table_246[[#This Row],[Data]]))</f>
        <v/>
      </c>
      <c r="B724" s="32"/>
      <c r="C724" s="36"/>
      <c r="D724" s="43"/>
      <c r="E724" s="48"/>
      <c r="F724" s="48"/>
      <c r="G724" s="49" t="str">
        <f>IFERROR(VLOOKUP(C724,PROD!$A$2:$E$1204,5,0),"0")</f>
        <v>0</v>
      </c>
      <c r="H724" s="10">
        <f>Table_246[[#This Row],[QT]]*Table_246[[#This Row],[Custo 
Un]]</f>
        <v>0</v>
      </c>
      <c r="I724" s="52"/>
      <c r="J724" s="263">
        <f t="shared" si="39"/>
        <v>0</v>
      </c>
      <c r="K724" s="10">
        <f t="shared" si="38"/>
        <v>0</v>
      </c>
      <c r="L724" s="50">
        <f>Table_246[[#This Row],[Valor da 
venda]]-Table_246[[#This Row],[Valor gasto]]</f>
        <v>0</v>
      </c>
      <c r="M724" s="111">
        <f t="shared" si="40"/>
        <v>0</v>
      </c>
      <c r="N724" s="112"/>
      <c r="O724" s="114" t="str">
        <f>IF([1]!Table_246[[#This Row],[Coluna2]]&gt;0.5, "🔥 Excelente", IF([1]!Table_246[[#This Row],[Coluna2]]&gt;0.4, "👍 Bom", "⚠️ Baixo"))</f>
        <v>⚠️ Baixo</v>
      </c>
    </row>
    <row r="725" spans="1:15" ht="15" customHeight="1">
      <c r="A725" s="28" t="str">
        <f>IF(Table_246[[#This Row],[Data]]="","",MONTH(Table_246[[#This Row],[Data]]))</f>
        <v/>
      </c>
      <c r="B725" s="32"/>
      <c r="C725" s="36"/>
      <c r="D725" s="43"/>
      <c r="E725" s="48"/>
      <c r="F725" s="48"/>
      <c r="G725" s="49" t="str">
        <f>IFERROR(VLOOKUP(C725,PROD!$A$2:$E$1204,5,0),"0")</f>
        <v>0</v>
      </c>
      <c r="H725" s="10">
        <f>Table_246[[#This Row],[QT]]*Table_246[[#This Row],[Custo 
Un]]</f>
        <v>0</v>
      </c>
      <c r="I725" s="52"/>
      <c r="J725" s="263">
        <f t="shared" si="39"/>
        <v>0</v>
      </c>
      <c r="K725" s="10">
        <f t="shared" si="38"/>
        <v>0</v>
      </c>
      <c r="L725" s="50">
        <f>Table_246[[#This Row],[Valor da 
venda]]-Table_246[[#This Row],[Valor gasto]]</f>
        <v>0</v>
      </c>
      <c r="M725" s="111">
        <f t="shared" si="40"/>
        <v>0</v>
      </c>
      <c r="N725" s="112"/>
      <c r="O725" s="114" t="str">
        <f>IF([1]!Table_246[[#This Row],[Coluna2]]&gt;0.5, "🔥 Excelente", IF([1]!Table_246[[#This Row],[Coluna2]]&gt;0.4, "👍 Bom", "⚠️ Baixo"))</f>
        <v>⚠️ Baixo</v>
      </c>
    </row>
    <row r="726" spans="1:15" ht="15" customHeight="1">
      <c r="A726" s="28" t="str">
        <f>IF(Table_246[[#This Row],[Data]]="","",MONTH(Table_246[[#This Row],[Data]]))</f>
        <v/>
      </c>
      <c r="B726" s="32"/>
      <c r="C726" s="36"/>
      <c r="D726" s="43"/>
      <c r="E726" s="48"/>
      <c r="F726" s="48"/>
      <c r="G726" s="49" t="str">
        <f>IFERROR(VLOOKUP(C726,PROD!$A$2:$E$1204,5,0),"0")</f>
        <v>0</v>
      </c>
      <c r="H726" s="10">
        <f>Table_246[[#This Row],[QT]]*Table_246[[#This Row],[Custo 
Un]]</f>
        <v>0</v>
      </c>
      <c r="I726" s="52"/>
      <c r="J726" s="263">
        <f t="shared" si="39"/>
        <v>0</v>
      </c>
      <c r="K726" s="10">
        <f t="shared" si="38"/>
        <v>0</v>
      </c>
      <c r="L726" s="50">
        <f>Table_246[[#This Row],[Valor da 
venda]]-Table_246[[#This Row],[Valor gasto]]</f>
        <v>0</v>
      </c>
      <c r="M726" s="111">
        <f t="shared" si="40"/>
        <v>0</v>
      </c>
      <c r="N726" s="112"/>
      <c r="O726" s="114" t="str">
        <f>IF([1]!Table_246[[#This Row],[Coluna2]]&gt;0.5, "🔥 Excelente", IF([1]!Table_246[[#This Row],[Coluna2]]&gt;0.4, "👍 Bom", "⚠️ Baixo"))</f>
        <v>⚠️ Baixo</v>
      </c>
    </row>
    <row r="727" spans="1:15" ht="15" customHeight="1">
      <c r="A727" s="28" t="str">
        <f>IF(Table_246[[#This Row],[Data]]="","",MONTH(Table_246[[#This Row],[Data]]))</f>
        <v/>
      </c>
      <c r="B727" s="32"/>
      <c r="C727" s="36"/>
      <c r="D727" s="43"/>
      <c r="E727" s="48"/>
      <c r="F727" s="48"/>
      <c r="G727" s="49" t="str">
        <f>IFERROR(VLOOKUP(C727,PROD!$A$2:$E$1204,5,0),"0")</f>
        <v>0</v>
      </c>
      <c r="H727" s="10">
        <f>Table_246[[#This Row],[QT]]*Table_246[[#This Row],[Custo 
Un]]</f>
        <v>0</v>
      </c>
      <c r="I727" s="52"/>
      <c r="J727" s="263">
        <f t="shared" si="39"/>
        <v>0</v>
      </c>
      <c r="K727" s="10">
        <f t="shared" si="38"/>
        <v>0</v>
      </c>
      <c r="L727" s="50">
        <f>Table_246[[#This Row],[Valor da 
venda]]-Table_246[[#This Row],[Valor gasto]]</f>
        <v>0</v>
      </c>
      <c r="M727" s="111">
        <f t="shared" si="40"/>
        <v>0</v>
      </c>
      <c r="N727" s="112"/>
      <c r="O727" s="114" t="str">
        <f>IF([1]!Table_246[[#This Row],[Coluna2]]&gt;0.5, "🔥 Excelente", IF([1]!Table_246[[#This Row],[Coluna2]]&gt;0.4, "👍 Bom", "⚠️ Baixo"))</f>
        <v>⚠️ Baixo</v>
      </c>
    </row>
    <row r="728" spans="1:15" ht="15" customHeight="1">
      <c r="A728" s="28" t="str">
        <f>IF(Table_246[[#This Row],[Data]]="","",MONTH(Table_246[[#This Row],[Data]]))</f>
        <v/>
      </c>
      <c r="B728" s="32"/>
      <c r="C728" s="36"/>
      <c r="D728" s="43"/>
      <c r="E728" s="48"/>
      <c r="F728" s="48"/>
      <c r="G728" s="49" t="str">
        <f>IFERROR(VLOOKUP(C728,PROD!$A$2:$E$1204,5,0),"0")</f>
        <v>0</v>
      </c>
      <c r="H728" s="10">
        <f>Table_246[[#This Row],[QT]]*Table_246[[#This Row],[Custo 
Un]]</f>
        <v>0</v>
      </c>
      <c r="I728" s="52"/>
      <c r="J728" s="263">
        <f t="shared" si="39"/>
        <v>0</v>
      </c>
      <c r="K728" s="10">
        <f t="shared" si="38"/>
        <v>0</v>
      </c>
      <c r="L728" s="50">
        <f>Table_246[[#This Row],[Valor da 
venda]]-Table_246[[#This Row],[Valor gasto]]</f>
        <v>0</v>
      </c>
      <c r="M728" s="111">
        <f t="shared" si="40"/>
        <v>0</v>
      </c>
      <c r="N728" s="112"/>
      <c r="O728" s="114" t="str">
        <f>IF([1]!Table_246[[#This Row],[Coluna2]]&gt;0.5, "🔥 Excelente", IF([1]!Table_246[[#This Row],[Coluna2]]&gt;0.4, "👍 Bom", "⚠️ Baixo"))</f>
        <v>⚠️ Baixo</v>
      </c>
    </row>
    <row r="729" spans="1:15" ht="15" customHeight="1">
      <c r="A729" s="28" t="str">
        <f>IF(Table_246[[#This Row],[Data]]="","",MONTH(Table_246[[#This Row],[Data]]))</f>
        <v/>
      </c>
      <c r="B729" s="32"/>
      <c r="C729" s="36"/>
      <c r="D729" s="43"/>
      <c r="E729" s="48"/>
      <c r="F729" s="48"/>
      <c r="G729" s="49" t="str">
        <f>IFERROR(VLOOKUP(C729,PROD!$A$2:$E$1204,5,0),"0")</f>
        <v>0</v>
      </c>
      <c r="H729" s="10">
        <f>Table_246[[#This Row],[QT]]*Table_246[[#This Row],[Custo 
Un]]</f>
        <v>0</v>
      </c>
      <c r="I729" s="52"/>
      <c r="J729" s="263">
        <f t="shared" si="39"/>
        <v>0</v>
      </c>
      <c r="K729" s="10">
        <f t="shared" si="38"/>
        <v>0</v>
      </c>
      <c r="L729" s="50">
        <f>Table_246[[#This Row],[Valor da 
venda]]-Table_246[[#This Row],[Valor gasto]]</f>
        <v>0</v>
      </c>
      <c r="M729" s="111">
        <f t="shared" si="40"/>
        <v>0</v>
      </c>
      <c r="N729" s="112"/>
      <c r="O729" s="114" t="str">
        <f>IF([1]!Table_246[[#This Row],[Coluna2]]&gt;0.5, "🔥 Excelente", IF([1]!Table_246[[#This Row],[Coluna2]]&gt;0.4, "👍 Bom", "⚠️ Baixo"))</f>
        <v>⚠️ Baixo</v>
      </c>
    </row>
    <row r="730" spans="1:15" ht="15" customHeight="1">
      <c r="A730" s="28" t="str">
        <f>IF(Table_246[[#This Row],[Data]]="","",MONTH(Table_246[[#This Row],[Data]]))</f>
        <v/>
      </c>
      <c r="B730" s="32"/>
      <c r="C730" s="36"/>
      <c r="D730" s="43"/>
      <c r="E730" s="48"/>
      <c r="F730" s="48"/>
      <c r="G730" s="49" t="str">
        <f>IFERROR(VLOOKUP(C730,PROD!$A$2:$E$1204,5,0),"0")</f>
        <v>0</v>
      </c>
      <c r="H730" s="10">
        <f>Table_246[[#This Row],[QT]]*Table_246[[#This Row],[Custo 
Un]]</f>
        <v>0</v>
      </c>
      <c r="I730" s="52"/>
      <c r="J730" s="263">
        <f t="shared" si="39"/>
        <v>0</v>
      </c>
      <c r="K730" s="10">
        <f t="shared" si="38"/>
        <v>0</v>
      </c>
      <c r="L730" s="50">
        <f>Table_246[[#This Row],[Valor da 
venda]]-Table_246[[#This Row],[Valor gasto]]</f>
        <v>0</v>
      </c>
      <c r="M730" s="111">
        <f t="shared" si="40"/>
        <v>0</v>
      </c>
      <c r="N730" s="112"/>
      <c r="O730" s="114" t="str">
        <f>IF([1]!Table_246[[#This Row],[Coluna2]]&gt;0.5, "🔥 Excelente", IF([1]!Table_246[[#This Row],[Coluna2]]&gt;0.4, "👍 Bom", "⚠️ Baixo"))</f>
        <v>⚠️ Baixo</v>
      </c>
    </row>
    <row r="731" spans="1:15" ht="15" customHeight="1">
      <c r="A731" s="28" t="str">
        <f>IF(Table_246[[#This Row],[Data]]="","",MONTH(Table_246[[#This Row],[Data]]))</f>
        <v/>
      </c>
      <c r="B731" s="32"/>
      <c r="C731" s="36"/>
      <c r="D731" s="43"/>
      <c r="E731" s="48"/>
      <c r="F731" s="48"/>
      <c r="G731" s="49" t="str">
        <f>IFERROR(VLOOKUP(C731,PROD!$A$2:$E$1204,5,0),"0")</f>
        <v>0</v>
      </c>
      <c r="H731" s="10">
        <f>Table_246[[#This Row],[QT]]*Table_246[[#This Row],[Custo 
Un]]</f>
        <v>0</v>
      </c>
      <c r="I731" s="52"/>
      <c r="J731" s="263">
        <f t="shared" si="39"/>
        <v>0</v>
      </c>
      <c r="K731" s="10">
        <f t="shared" si="38"/>
        <v>0</v>
      </c>
      <c r="L731" s="50">
        <f>Table_246[[#This Row],[Valor da 
venda]]-Table_246[[#This Row],[Valor gasto]]</f>
        <v>0</v>
      </c>
      <c r="M731" s="111">
        <f t="shared" si="40"/>
        <v>0</v>
      </c>
      <c r="N731" s="112"/>
      <c r="O731" s="114" t="str">
        <f>IF([1]!Table_246[[#This Row],[Coluna2]]&gt;0.5, "🔥 Excelente", IF([1]!Table_246[[#This Row],[Coluna2]]&gt;0.4, "👍 Bom", "⚠️ Baixo"))</f>
        <v>⚠️ Baixo</v>
      </c>
    </row>
    <row r="732" spans="1:15" ht="15" customHeight="1">
      <c r="A732" s="28" t="str">
        <f>IF(Table_246[[#This Row],[Data]]="","",MONTH(Table_246[[#This Row],[Data]]))</f>
        <v/>
      </c>
      <c r="B732" s="32"/>
      <c r="C732" s="36"/>
      <c r="D732" s="43"/>
      <c r="E732" s="48"/>
      <c r="F732" s="48"/>
      <c r="G732" s="49" t="str">
        <f>IFERROR(VLOOKUP(C732,PROD!$A$2:$E$1204,5,0),"0")</f>
        <v>0</v>
      </c>
      <c r="H732" s="10">
        <f>Table_246[[#This Row],[QT]]*Table_246[[#This Row],[Custo 
Un]]</f>
        <v>0</v>
      </c>
      <c r="I732" s="52"/>
      <c r="J732" s="263">
        <f t="shared" si="39"/>
        <v>0</v>
      </c>
      <c r="K732" s="10">
        <f t="shared" si="38"/>
        <v>0</v>
      </c>
      <c r="L732" s="50">
        <f>Table_246[[#This Row],[Valor da 
venda]]-Table_246[[#This Row],[Valor gasto]]</f>
        <v>0</v>
      </c>
      <c r="M732" s="111">
        <f t="shared" si="40"/>
        <v>0</v>
      </c>
      <c r="N732" s="112"/>
      <c r="O732" s="114" t="str">
        <f>IF([1]!Table_246[[#This Row],[Coluna2]]&gt;0.5, "🔥 Excelente", IF([1]!Table_246[[#This Row],[Coluna2]]&gt;0.4, "👍 Bom", "⚠️ Baixo"))</f>
        <v>⚠️ Baixo</v>
      </c>
    </row>
    <row r="733" spans="1:15" ht="15" customHeight="1">
      <c r="A733" s="28" t="str">
        <f>IF(Table_246[[#This Row],[Data]]="","",MONTH(Table_246[[#This Row],[Data]]))</f>
        <v/>
      </c>
      <c r="B733" s="32"/>
      <c r="C733" s="36"/>
      <c r="D733" s="43"/>
      <c r="E733" s="48"/>
      <c r="F733" s="48"/>
      <c r="G733" s="49" t="str">
        <f>IFERROR(VLOOKUP(C733,PROD!$A$2:$E$1204,5,0),"0")</f>
        <v>0</v>
      </c>
      <c r="H733" s="10">
        <f>Table_246[[#This Row],[QT]]*Table_246[[#This Row],[Custo 
Un]]</f>
        <v>0</v>
      </c>
      <c r="I733" s="52"/>
      <c r="J733" s="263">
        <f t="shared" si="39"/>
        <v>0</v>
      </c>
      <c r="K733" s="10">
        <f t="shared" si="38"/>
        <v>0</v>
      </c>
      <c r="L733" s="50">
        <f>Table_246[[#This Row],[Valor da 
venda]]-Table_246[[#This Row],[Valor gasto]]</f>
        <v>0</v>
      </c>
      <c r="M733" s="111">
        <f t="shared" si="40"/>
        <v>0</v>
      </c>
      <c r="N733" s="112"/>
      <c r="O733" s="114" t="str">
        <f>IF([1]!Table_246[[#This Row],[Coluna2]]&gt;0.5, "🔥 Excelente", IF([1]!Table_246[[#This Row],[Coluna2]]&gt;0.4, "👍 Bom", "⚠️ Baixo"))</f>
        <v>⚠️ Baixo</v>
      </c>
    </row>
    <row r="734" spans="1:15" ht="15" customHeight="1">
      <c r="A734" s="28" t="str">
        <f>IF(Table_246[[#This Row],[Data]]="","",MONTH(Table_246[[#This Row],[Data]]))</f>
        <v/>
      </c>
      <c r="B734" s="32"/>
      <c r="C734" s="36"/>
      <c r="D734" s="43"/>
      <c r="E734" s="48"/>
      <c r="F734" s="48"/>
      <c r="G734" s="49" t="str">
        <f>IFERROR(VLOOKUP(C734,PROD!$A$2:$E$1204,5,0),"0")</f>
        <v>0</v>
      </c>
      <c r="H734" s="10">
        <f>Table_246[[#This Row],[QT]]*Table_246[[#This Row],[Custo 
Un]]</f>
        <v>0</v>
      </c>
      <c r="I734" s="52"/>
      <c r="J734" s="263">
        <f t="shared" si="39"/>
        <v>0</v>
      </c>
      <c r="K734" s="10">
        <f t="shared" si="38"/>
        <v>0</v>
      </c>
      <c r="L734" s="50">
        <f>Table_246[[#This Row],[Valor da 
venda]]-Table_246[[#This Row],[Valor gasto]]</f>
        <v>0</v>
      </c>
      <c r="M734" s="111">
        <f t="shared" si="40"/>
        <v>0</v>
      </c>
      <c r="N734" s="112"/>
      <c r="O734" s="114" t="str">
        <f>IF([1]!Table_246[[#This Row],[Coluna2]]&gt;0.5, "🔥 Excelente", IF([1]!Table_246[[#This Row],[Coluna2]]&gt;0.4, "👍 Bom", "⚠️ Baixo"))</f>
        <v>⚠️ Baixo</v>
      </c>
    </row>
    <row r="735" spans="1:15" ht="15" customHeight="1">
      <c r="A735" s="28" t="str">
        <f>IF(Table_246[[#This Row],[Data]]="","",MONTH(Table_246[[#This Row],[Data]]))</f>
        <v/>
      </c>
      <c r="B735" s="32"/>
      <c r="C735" s="36"/>
      <c r="D735" s="43"/>
      <c r="E735" s="48"/>
      <c r="F735" s="48"/>
      <c r="G735" s="49" t="str">
        <f>IFERROR(VLOOKUP(C735,PROD!$A$2:$E$1204,5,0),"0")</f>
        <v>0</v>
      </c>
      <c r="H735" s="10">
        <f>Table_246[[#This Row],[QT]]*Table_246[[#This Row],[Custo 
Un]]</f>
        <v>0</v>
      </c>
      <c r="I735" s="52"/>
      <c r="J735" s="263">
        <f t="shared" si="39"/>
        <v>0</v>
      </c>
      <c r="K735" s="10">
        <f t="shared" si="38"/>
        <v>0</v>
      </c>
      <c r="L735" s="50">
        <f>Table_246[[#This Row],[Valor da 
venda]]-Table_246[[#This Row],[Valor gasto]]</f>
        <v>0</v>
      </c>
      <c r="M735" s="111">
        <f t="shared" si="40"/>
        <v>0</v>
      </c>
      <c r="N735" s="112"/>
      <c r="O735" s="114" t="str">
        <f>IF([1]!Table_246[[#This Row],[Coluna2]]&gt;0.5, "🔥 Excelente", IF([1]!Table_246[[#This Row],[Coluna2]]&gt;0.4, "👍 Bom", "⚠️ Baixo"))</f>
        <v>⚠️ Baixo</v>
      </c>
    </row>
    <row r="736" spans="1:15" ht="15" customHeight="1">
      <c r="A736" s="28" t="str">
        <f>IF(Table_246[[#This Row],[Data]]="","",MONTH(Table_246[[#This Row],[Data]]))</f>
        <v/>
      </c>
      <c r="B736" s="32"/>
      <c r="C736" s="36"/>
      <c r="D736" s="43"/>
      <c r="E736" s="48"/>
      <c r="F736" s="48"/>
      <c r="G736" s="49" t="str">
        <f>IFERROR(VLOOKUP(C736,PROD!$A$2:$E$1204,5,0),"0")</f>
        <v>0</v>
      </c>
      <c r="H736" s="10">
        <f>Table_246[[#This Row],[QT]]*Table_246[[#This Row],[Custo 
Un]]</f>
        <v>0</v>
      </c>
      <c r="I736" s="52"/>
      <c r="J736" s="263">
        <f t="shared" si="39"/>
        <v>0</v>
      </c>
      <c r="K736" s="10">
        <f t="shared" si="38"/>
        <v>0</v>
      </c>
      <c r="L736" s="50">
        <f>Table_246[[#This Row],[Valor da 
venda]]-Table_246[[#This Row],[Valor gasto]]</f>
        <v>0</v>
      </c>
      <c r="M736" s="111">
        <f t="shared" si="40"/>
        <v>0</v>
      </c>
      <c r="N736" s="112"/>
      <c r="O736" s="114" t="str">
        <f>IF([1]!Table_246[[#This Row],[Coluna2]]&gt;0.5, "🔥 Excelente", IF([1]!Table_246[[#This Row],[Coluna2]]&gt;0.4, "👍 Bom", "⚠️ Baixo"))</f>
        <v>⚠️ Baixo</v>
      </c>
    </row>
    <row r="737" spans="1:15" ht="15" customHeight="1">
      <c r="A737" s="28" t="str">
        <f>IF(Table_246[[#This Row],[Data]]="","",MONTH(Table_246[[#This Row],[Data]]))</f>
        <v/>
      </c>
      <c r="B737" s="32"/>
      <c r="C737" s="36"/>
      <c r="D737" s="43"/>
      <c r="E737" s="48"/>
      <c r="F737" s="48"/>
      <c r="G737" s="49" t="str">
        <f>IFERROR(VLOOKUP(C737,PROD!$A$2:$E$1204,5,0),"0")</f>
        <v>0</v>
      </c>
      <c r="H737" s="10">
        <f>Table_246[[#This Row],[QT]]*Table_246[[#This Row],[Custo 
Un]]</f>
        <v>0</v>
      </c>
      <c r="I737" s="52"/>
      <c r="J737" s="263">
        <f t="shared" si="39"/>
        <v>0</v>
      </c>
      <c r="K737" s="10">
        <f t="shared" si="38"/>
        <v>0</v>
      </c>
      <c r="L737" s="50">
        <f>Table_246[[#This Row],[Valor da 
venda]]-Table_246[[#This Row],[Valor gasto]]</f>
        <v>0</v>
      </c>
      <c r="M737" s="111">
        <f t="shared" si="40"/>
        <v>0</v>
      </c>
      <c r="N737" s="112"/>
      <c r="O737" s="114" t="str">
        <f>IF([1]!Table_246[[#This Row],[Coluna2]]&gt;0.5, "🔥 Excelente", IF([1]!Table_246[[#This Row],[Coluna2]]&gt;0.4, "👍 Bom", "⚠️ Baixo"))</f>
        <v>⚠️ Baixo</v>
      </c>
    </row>
    <row r="738" spans="1:15" ht="15" customHeight="1">
      <c r="A738" s="28" t="str">
        <f>IF(Table_246[[#This Row],[Data]]="","",MONTH(Table_246[[#This Row],[Data]]))</f>
        <v/>
      </c>
      <c r="B738" s="32"/>
      <c r="C738" s="36"/>
      <c r="D738" s="43"/>
      <c r="E738" s="48"/>
      <c r="F738" s="48"/>
      <c r="G738" s="49" t="str">
        <f>IFERROR(VLOOKUP(C738,PROD!$A$2:$E$1204,5,0),"0")</f>
        <v>0</v>
      </c>
      <c r="H738" s="10">
        <f>Table_246[[#This Row],[QT]]*Table_246[[#This Row],[Custo 
Un]]</f>
        <v>0</v>
      </c>
      <c r="I738" s="52"/>
      <c r="J738" s="263">
        <f t="shared" si="39"/>
        <v>0</v>
      </c>
      <c r="K738" s="10">
        <f t="shared" si="38"/>
        <v>0</v>
      </c>
      <c r="L738" s="50">
        <f>Table_246[[#This Row],[Valor da 
venda]]-Table_246[[#This Row],[Valor gasto]]</f>
        <v>0</v>
      </c>
      <c r="M738" s="111">
        <f t="shared" si="40"/>
        <v>0</v>
      </c>
      <c r="N738" s="112"/>
      <c r="O738" s="114" t="str">
        <f>IF([1]!Table_246[[#This Row],[Coluna2]]&gt;0.5, "🔥 Excelente", IF([1]!Table_246[[#This Row],[Coluna2]]&gt;0.4, "👍 Bom", "⚠️ Baixo"))</f>
        <v>⚠️ Baixo</v>
      </c>
    </row>
    <row r="739" spans="1:15" ht="15" customHeight="1">
      <c r="A739" s="28" t="str">
        <f>IF(Table_246[[#This Row],[Data]]="","",MONTH(Table_246[[#This Row],[Data]]))</f>
        <v/>
      </c>
      <c r="B739" s="32"/>
      <c r="C739" s="36"/>
      <c r="D739" s="43"/>
      <c r="E739" s="48"/>
      <c r="F739" s="48"/>
      <c r="G739" s="49" t="str">
        <f>IFERROR(VLOOKUP(C739,PROD!$A$2:$E$1204,5,0),"0")</f>
        <v>0</v>
      </c>
      <c r="H739" s="10">
        <f>Table_246[[#This Row],[QT]]*Table_246[[#This Row],[Custo 
Un]]</f>
        <v>0</v>
      </c>
      <c r="I739" s="52"/>
      <c r="J739" s="263">
        <f t="shared" si="39"/>
        <v>0</v>
      </c>
      <c r="K739" s="10">
        <f t="shared" si="38"/>
        <v>0</v>
      </c>
      <c r="L739" s="50">
        <f>Table_246[[#This Row],[Valor da 
venda]]-Table_246[[#This Row],[Valor gasto]]</f>
        <v>0</v>
      </c>
      <c r="M739" s="111">
        <f t="shared" si="40"/>
        <v>0</v>
      </c>
      <c r="N739" s="112"/>
      <c r="O739" s="114" t="str">
        <f>IF([1]!Table_246[[#This Row],[Coluna2]]&gt;0.5, "🔥 Excelente", IF([1]!Table_246[[#This Row],[Coluna2]]&gt;0.4, "👍 Bom", "⚠️ Baixo"))</f>
        <v>⚠️ Baixo</v>
      </c>
    </row>
    <row r="740" spans="1:15" ht="15" customHeight="1">
      <c r="A740" s="28" t="str">
        <f>IF(Table_246[[#This Row],[Data]]="","",MONTH(Table_246[[#This Row],[Data]]))</f>
        <v/>
      </c>
      <c r="B740" s="32"/>
      <c r="C740" s="36"/>
      <c r="D740" s="43"/>
      <c r="E740" s="48"/>
      <c r="F740" s="48"/>
      <c r="G740" s="49" t="str">
        <f>IFERROR(VLOOKUP(C740,PROD!$A$2:$E$1204,5,0),"0")</f>
        <v>0</v>
      </c>
      <c r="H740" s="10">
        <f>Table_246[[#This Row],[QT]]*Table_246[[#This Row],[Custo 
Un]]</f>
        <v>0</v>
      </c>
      <c r="I740" s="52"/>
      <c r="J740" s="263">
        <f t="shared" si="39"/>
        <v>0</v>
      </c>
      <c r="K740" s="10">
        <f t="shared" si="38"/>
        <v>0</v>
      </c>
      <c r="L740" s="50">
        <f>Table_246[[#This Row],[Valor da 
venda]]-Table_246[[#This Row],[Valor gasto]]</f>
        <v>0</v>
      </c>
      <c r="M740" s="111">
        <f t="shared" si="40"/>
        <v>0</v>
      </c>
      <c r="N740" s="112"/>
      <c r="O740" s="114" t="str">
        <f>IF([1]!Table_246[[#This Row],[Coluna2]]&gt;0.5, "🔥 Excelente", IF([1]!Table_246[[#This Row],[Coluna2]]&gt;0.4, "👍 Bom", "⚠️ Baixo"))</f>
        <v>⚠️ Baixo</v>
      </c>
    </row>
    <row r="741" spans="1:15" ht="15" customHeight="1">
      <c r="A741" s="28" t="str">
        <f>IF(Table_246[[#This Row],[Data]]="","",MONTH(Table_246[[#This Row],[Data]]))</f>
        <v/>
      </c>
      <c r="B741" s="32"/>
      <c r="C741" s="36"/>
      <c r="D741" s="43"/>
      <c r="E741" s="48"/>
      <c r="F741" s="48"/>
      <c r="G741" s="49" t="str">
        <f>IFERROR(VLOOKUP(C741,PROD!$A$2:$E$1204,5,0),"0")</f>
        <v>0</v>
      </c>
      <c r="H741" s="10">
        <f>Table_246[[#This Row],[QT]]*Table_246[[#This Row],[Custo 
Un]]</f>
        <v>0</v>
      </c>
      <c r="I741" s="52"/>
      <c r="J741" s="263">
        <f t="shared" si="39"/>
        <v>0</v>
      </c>
      <c r="K741" s="10">
        <f t="shared" si="38"/>
        <v>0</v>
      </c>
      <c r="L741" s="50">
        <f>Table_246[[#This Row],[Valor da 
venda]]-Table_246[[#This Row],[Valor gasto]]</f>
        <v>0</v>
      </c>
      <c r="M741" s="111">
        <f t="shared" si="40"/>
        <v>0</v>
      </c>
      <c r="N741" s="112"/>
      <c r="O741" s="114" t="str">
        <f>IF([1]!Table_246[[#This Row],[Coluna2]]&gt;0.5, "🔥 Excelente", IF([1]!Table_246[[#This Row],[Coluna2]]&gt;0.4, "👍 Bom", "⚠️ Baixo"))</f>
        <v>⚠️ Baixo</v>
      </c>
    </row>
    <row r="742" spans="1:15" ht="15" customHeight="1">
      <c r="A742" s="28" t="str">
        <f>IF(Table_246[[#This Row],[Data]]="","",MONTH(Table_246[[#This Row],[Data]]))</f>
        <v/>
      </c>
      <c r="B742" s="32"/>
      <c r="C742" s="36"/>
      <c r="D742" s="43"/>
      <c r="E742" s="48"/>
      <c r="F742" s="48"/>
      <c r="G742" s="49" t="str">
        <f>IFERROR(VLOOKUP(C742,PROD!$A$2:$E$1204,5,0),"0")</f>
        <v>0</v>
      </c>
      <c r="H742" s="10">
        <f>Table_246[[#This Row],[QT]]*Table_246[[#This Row],[Custo 
Un]]</f>
        <v>0</v>
      </c>
      <c r="I742" s="52"/>
      <c r="J742" s="263">
        <f t="shared" si="39"/>
        <v>0</v>
      </c>
      <c r="K742" s="10">
        <f t="shared" si="38"/>
        <v>0</v>
      </c>
      <c r="L742" s="50">
        <f>Table_246[[#This Row],[Valor da 
venda]]-Table_246[[#This Row],[Valor gasto]]</f>
        <v>0</v>
      </c>
      <c r="M742" s="111">
        <f t="shared" si="40"/>
        <v>0</v>
      </c>
      <c r="N742" s="112"/>
      <c r="O742" s="114" t="str">
        <f>IF([1]!Table_246[[#This Row],[Coluna2]]&gt;0.5, "🔥 Excelente", IF([1]!Table_246[[#This Row],[Coluna2]]&gt;0.4, "👍 Bom", "⚠️ Baixo"))</f>
        <v>⚠️ Baixo</v>
      </c>
    </row>
    <row r="743" spans="1:15" ht="15" customHeight="1">
      <c r="A743" s="28" t="str">
        <f>IF(Table_246[[#This Row],[Data]]="","",MONTH(Table_246[[#This Row],[Data]]))</f>
        <v/>
      </c>
      <c r="B743" s="32"/>
      <c r="C743" s="36"/>
      <c r="D743" s="43"/>
      <c r="E743" s="48"/>
      <c r="F743" s="48"/>
      <c r="G743" s="49" t="str">
        <f>IFERROR(VLOOKUP(C743,PROD!$A$2:$E$1204,5,0),"0")</f>
        <v>0</v>
      </c>
      <c r="H743" s="10">
        <f>Table_246[[#This Row],[QT]]*Table_246[[#This Row],[Custo 
Un]]</f>
        <v>0</v>
      </c>
      <c r="I743" s="52"/>
      <c r="J743" s="263">
        <f t="shared" si="39"/>
        <v>0</v>
      </c>
      <c r="K743" s="10">
        <f t="shared" si="38"/>
        <v>0</v>
      </c>
      <c r="L743" s="50">
        <f>Table_246[[#This Row],[Valor da 
venda]]-Table_246[[#This Row],[Valor gasto]]</f>
        <v>0</v>
      </c>
      <c r="M743" s="111">
        <f t="shared" si="40"/>
        <v>0</v>
      </c>
      <c r="N743" s="112"/>
      <c r="O743" s="114" t="str">
        <f>IF([1]!Table_246[[#This Row],[Coluna2]]&gt;0.5, "🔥 Excelente", IF([1]!Table_246[[#This Row],[Coluna2]]&gt;0.4, "👍 Bom", "⚠️ Baixo"))</f>
        <v>⚠️ Baixo</v>
      </c>
    </row>
    <row r="744" spans="1:15" ht="15" customHeight="1">
      <c r="A744" s="28" t="str">
        <f>IF(Table_246[[#This Row],[Data]]="","",MONTH(Table_246[[#This Row],[Data]]))</f>
        <v/>
      </c>
      <c r="B744" s="32"/>
      <c r="C744" s="36"/>
      <c r="D744" s="43"/>
      <c r="E744" s="48"/>
      <c r="F744" s="48"/>
      <c r="G744" s="49" t="str">
        <f>IFERROR(VLOOKUP(C744,PROD!$A$2:$E$1204,5,0),"0")</f>
        <v>0</v>
      </c>
      <c r="H744" s="10">
        <f>Table_246[[#This Row],[QT]]*Table_246[[#This Row],[Custo 
Un]]</f>
        <v>0</v>
      </c>
      <c r="I744" s="52"/>
      <c r="J744" s="263">
        <f t="shared" si="39"/>
        <v>0</v>
      </c>
      <c r="K744" s="10">
        <f t="shared" si="38"/>
        <v>0</v>
      </c>
      <c r="L744" s="50">
        <f>Table_246[[#This Row],[Valor da 
venda]]-Table_246[[#This Row],[Valor gasto]]</f>
        <v>0</v>
      </c>
      <c r="M744" s="111">
        <f t="shared" si="40"/>
        <v>0</v>
      </c>
      <c r="N744" s="112"/>
      <c r="O744" s="114" t="str">
        <f>IF([1]!Table_246[[#This Row],[Coluna2]]&gt;0.5, "🔥 Excelente", IF([1]!Table_246[[#This Row],[Coluna2]]&gt;0.4, "👍 Bom", "⚠️ Baixo"))</f>
        <v>⚠️ Baixo</v>
      </c>
    </row>
    <row r="745" spans="1:15" ht="15" customHeight="1">
      <c r="A745" s="28" t="str">
        <f>IF(Table_246[[#This Row],[Data]]="","",MONTH(Table_246[[#This Row],[Data]]))</f>
        <v/>
      </c>
      <c r="B745" s="32"/>
      <c r="C745" s="36"/>
      <c r="D745" s="43"/>
      <c r="E745" s="48"/>
      <c r="F745" s="48"/>
      <c r="G745" s="49" t="str">
        <f>IFERROR(VLOOKUP(C745,PROD!$A$2:$E$1204,5,0),"0")</f>
        <v>0</v>
      </c>
      <c r="H745" s="10">
        <f>Table_246[[#This Row],[QT]]*Table_246[[#This Row],[Custo 
Un]]</f>
        <v>0</v>
      </c>
      <c r="I745" s="52"/>
      <c r="J745" s="263">
        <f t="shared" si="39"/>
        <v>0</v>
      </c>
      <c r="K745" s="10">
        <f t="shared" si="38"/>
        <v>0</v>
      </c>
      <c r="L745" s="50">
        <f>Table_246[[#This Row],[Valor da 
venda]]-Table_246[[#This Row],[Valor gasto]]</f>
        <v>0</v>
      </c>
      <c r="M745" s="111">
        <f t="shared" si="40"/>
        <v>0</v>
      </c>
      <c r="N745" s="112"/>
      <c r="O745" s="114" t="str">
        <f>IF([1]!Table_246[[#This Row],[Coluna2]]&gt;0.5, "🔥 Excelente", IF([1]!Table_246[[#This Row],[Coluna2]]&gt;0.4, "👍 Bom", "⚠️ Baixo"))</f>
        <v>⚠️ Baixo</v>
      </c>
    </row>
    <row r="746" spans="1:15" ht="15" customHeight="1">
      <c r="A746" s="28" t="str">
        <f>IF(Table_246[[#This Row],[Data]]="","",MONTH(Table_246[[#This Row],[Data]]))</f>
        <v/>
      </c>
      <c r="B746" s="32"/>
      <c r="C746" s="36"/>
      <c r="D746" s="43"/>
      <c r="E746" s="48"/>
      <c r="F746" s="48"/>
      <c r="G746" s="49" t="str">
        <f>IFERROR(VLOOKUP(C746,PROD!$A$2:$E$1204,5,0),"0")</f>
        <v>0</v>
      </c>
      <c r="H746" s="10">
        <f>Table_246[[#This Row],[QT]]*Table_246[[#This Row],[Custo 
Un]]</f>
        <v>0</v>
      </c>
      <c r="I746" s="52"/>
      <c r="J746" s="263">
        <f t="shared" si="39"/>
        <v>0</v>
      </c>
      <c r="K746" s="10">
        <f t="shared" si="38"/>
        <v>0</v>
      </c>
      <c r="L746" s="50">
        <f>Table_246[[#This Row],[Valor da 
venda]]-Table_246[[#This Row],[Valor gasto]]</f>
        <v>0</v>
      </c>
      <c r="M746" s="111">
        <f t="shared" si="40"/>
        <v>0</v>
      </c>
      <c r="N746" s="112"/>
      <c r="O746" s="114" t="str">
        <f>IF([1]!Table_246[[#This Row],[Coluna2]]&gt;0.5, "🔥 Excelente", IF([1]!Table_246[[#This Row],[Coluna2]]&gt;0.4, "👍 Bom", "⚠️ Baixo"))</f>
        <v>⚠️ Baixo</v>
      </c>
    </row>
    <row r="747" spans="1:15" ht="15" customHeight="1">
      <c r="A747" s="28" t="str">
        <f>IF(Table_246[[#This Row],[Data]]="","",MONTH(Table_246[[#This Row],[Data]]))</f>
        <v/>
      </c>
      <c r="B747" s="32"/>
      <c r="C747" s="36"/>
      <c r="D747" s="43"/>
      <c r="E747" s="48"/>
      <c r="F747" s="48"/>
      <c r="G747" s="49" t="str">
        <f>IFERROR(VLOOKUP(C747,PROD!$A$2:$E$1204,5,0),"0")</f>
        <v>0</v>
      </c>
      <c r="H747" s="10">
        <f>Table_246[[#This Row],[QT]]*Table_246[[#This Row],[Custo 
Un]]</f>
        <v>0</v>
      </c>
      <c r="I747" s="52"/>
      <c r="J747" s="263">
        <f t="shared" si="39"/>
        <v>0</v>
      </c>
      <c r="K747" s="10">
        <f t="shared" si="38"/>
        <v>0</v>
      </c>
      <c r="L747" s="50">
        <f>Table_246[[#This Row],[Valor da 
venda]]-Table_246[[#This Row],[Valor gasto]]</f>
        <v>0</v>
      </c>
      <c r="M747" s="111">
        <f t="shared" si="40"/>
        <v>0</v>
      </c>
      <c r="N747" s="112"/>
      <c r="O747" s="114" t="str">
        <f>IF([1]!Table_246[[#This Row],[Coluna2]]&gt;0.5, "🔥 Excelente", IF([1]!Table_246[[#This Row],[Coluna2]]&gt;0.4, "👍 Bom", "⚠️ Baixo"))</f>
        <v>⚠️ Baixo</v>
      </c>
    </row>
    <row r="748" spans="1:15" ht="15" customHeight="1">
      <c r="A748" s="28" t="str">
        <f>IF(Table_246[[#This Row],[Data]]="","",MONTH(Table_246[[#This Row],[Data]]))</f>
        <v/>
      </c>
      <c r="B748" s="32"/>
      <c r="C748" s="36"/>
      <c r="D748" s="43"/>
      <c r="E748" s="48"/>
      <c r="F748" s="48"/>
      <c r="G748" s="49" t="str">
        <f>IFERROR(VLOOKUP(C748,PROD!$A$2:$E$1204,5,0),"0")</f>
        <v>0</v>
      </c>
      <c r="H748" s="10">
        <f>Table_246[[#This Row],[QT]]*Table_246[[#This Row],[Custo 
Un]]</f>
        <v>0</v>
      </c>
      <c r="I748" s="52"/>
      <c r="J748" s="263">
        <f t="shared" si="39"/>
        <v>0</v>
      </c>
      <c r="K748" s="10">
        <f t="shared" si="38"/>
        <v>0</v>
      </c>
      <c r="L748" s="50">
        <f>Table_246[[#This Row],[Valor da 
venda]]-Table_246[[#This Row],[Valor gasto]]</f>
        <v>0</v>
      </c>
      <c r="M748" s="111">
        <f t="shared" si="40"/>
        <v>0</v>
      </c>
      <c r="N748" s="112"/>
      <c r="O748" s="114" t="str">
        <f>IF([1]!Table_246[[#This Row],[Coluna2]]&gt;0.5, "🔥 Excelente", IF([1]!Table_246[[#This Row],[Coluna2]]&gt;0.4, "👍 Bom", "⚠️ Baixo"))</f>
        <v>⚠️ Baixo</v>
      </c>
    </row>
    <row r="749" spans="1:15" ht="15" customHeight="1">
      <c r="A749" s="28" t="str">
        <f>IF(Table_246[[#This Row],[Data]]="","",MONTH(Table_246[[#This Row],[Data]]))</f>
        <v/>
      </c>
      <c r="B749" s="32"/>
      <c r="C749" s="36"/>
      <c r="D749" s="43"/>
      <c r="E749" s="48"/>
      <c r="F749" s="48"/>
      <c r="G749" s="49" t="str">
        <f>IFERROR(VLOOKUP(C749,PROD!$A$2:$E$1204,5,0),"0")</f>
        <v>0</v>
      </c>
      <c r="H749" s="10">
        <f>Table_246[[#This Row],[QT]]*Table_246[[#This Row],[Custo 
Un]]</f>
        <v>0</v>
      </c>
      <c r="I749" s="52"/>
      <c r="J749" s="263">
        <f t="shared" si="39"/>
        <v>0</v>
      </c>
      <c r="K749" s="10">
        <f t="shared" si="38"/>
        <v>0</v>
      </c>
      <c r="L749" s="50">
        <f>Table_246[[#This Row],[Valor da 
venda]]-Table_246[[#This Row],[Valor gasto]]</f>
        <v>0</v>
      </c>
      <c r="M749" s="111">
        <f t="shared" si="40"/>
        <v>0</v>
      </c>
      <c r="N749" s="112"/>
      <c r="O749" s="114" t="str">
        <f>IF([1]!Table_246[[#This Row],[Coluna2]]&gt;0.5, "🔥 Excelente", IF([1]!Table_246[[#This Row],[Coluna2]]&gt;0.4, "👍 Bom", "⚠️ Baixo"))</f>
        <v>⚠️ Baixo</v>
      </c>
    </row>
    <row r="750" spans="1:15" ht="15" customHeight="1">
      <c r="A750" s="28" t="str">
        <f>IF(Table_246[[#This Row],[Data]]="","",MONTH(Table_246[[#This Row],[Data]]))</f>
        <v/>
      </c>
      <c r="B750" s="32"/>
      <c r="C750" s="36"/>
      <c r="D750" s="43"/>
      <c r="E750" s="48"/>
      <c r="F750" s="48"/>
      <c r="G750" s="49" t="str">
        <f>IFERROR(VLOOKUP(C750,PROD!$A$2:$E$1204,5,0),"0")</f>
        <v>0</v>
      </c>
      <c r="H750" s="10">
        <f>Table_246[[#This Row],[QT]]*Table_246[[#This Row],[Custo 
Un]]</f>
        <v>0</v>
      </c>
      <c r="I750" s="52"/>
      <c r="J750" s="263">
        <f t="shared" si="39"/>
        <v>0</v>
      </c>
      <c r="K750" s="10">
        <f t="shared" si="38"/>
        <v>0</v>
      </c>
      <c r="L750" s="50">
        <f>Table_246[[#This Row],[Valor da 
venda]]-Table_246[[#This Row],[Valor gasto]]</f>
        <v>0</v>
      </c>
      <c r="M750" s="111">
        <f t="shared" si="40"/>
        <v>0</v>
      </c>
      <c r="N750" s="112"/>
      <c r="O750" s="114" t="str">
        <f>IF([1]!Table_246[[#This Row],[Coluna2]]&gt;0.5, "🔥 Excelente", IF([1]!Table_246[[#This Row],[Coluna2]]&gt;0.4, "👍 Bom", "⚠️ Baixo"))</f>
        <v>⚠️ Baixo</v>
      </c>
    </row>
    <row r="751" spans="1:15" ht="15" customHeight="1">
      <c r="A751" s="28" t="str">
        <f>IF(Table_246[[#This Row],[Data]]="","",MONTH(Table_246[[#This Row],[Data]]))</f>
        <v/>
      </c>
      <c r="B751" s="32"/>
      <c r="C751" s="36"/>
      <c r="D751" s="43"/>
      <c r="E751" s="48"/>
      <c r="F751" s="48"/>
      <c r="G751" s="49" t="str">
        <f>IFERROR(VLOOKUP(C751,PROD!$A$2:$E$1204,5,0),"0")</f>
        <v>0</v>
      </c>
      <c r="H751" s="10">
        <f>Table_246[[#This Row],[QT]]*Table_246[[#This Row],[Custo 
Un]]</f>
        <v>0</v>
      </c>
      <c r="I751" s="52"/>
      <c r="J751" s="263">
        <f t="shared" si="39"/>
        <v>0</v>
      </c>
      <c r="K751" s="10">
        <f t="shared" si="38"/>
        <v>0</v>
      </c>
      <c r="L751" s="50">
        <f>Table_246[[#This Row],[Valor da 
venda]]-Table_246[[#This Row],[Valor gasto]]</f>
        <v>0</v>
      </c>
      <c r="M751" s="111">
        <f t="shared" si="40"/>
        <v>0</v>
      </c>
      <c r="N751" s="112"/>
      <c r="O751" s="114" t="str">
        <f>IF([1]!Table_246[[#This Row],[Coluna2]]&gt;0.5, "🔥 Excelente", IF([1]!Table_246[[#This Row],[Coluna2]]&gt;0.4, "👍 Bom", "⚠️ Baixo"))</f>
        <v>⚠️ Baixo</v>
      </c>
    </row>
    <row r="752" spans="1:15" ht="15" customHeight="1">
      <c r="A752" s="28" t="str">
        <f>IF(Table_246[[#This Row],[Data]]="","",MONTH(Table_246[[#This Row],[Data]]))</f>
        <v/>
      </c>
      <c r="B752" s="32"/>
      <c r="C752" s="36"/>
      <c r="D752" s="43"/>
      <c r="E752" s="48"/>
      <c r="F752" s="48"/>
      <c r="G752" s="49" t="str">
        <f>IFERROR(VLOOKUP(C752,PROD!$A$2:$E$1204,5,0),"0")</f>
        <v>0</v>
      </c>
      <c r="H752" s="10">
        <f>Table_246[[#This Row],[QT]]*Table_246[[#This Row],[Custo 
Un]]</f>
        <v>0</v>
      </c>
      <c r="I752" s="52"/>
      <c r="J752" s="263">
        <f t="shared" si="39"/>
        <v>0</v>
      </c>
      <c r="K752" s="10">
        <f t="shared" si="38"/>
        <v>0</v>
      </c>
      <c r="L752" s="50">
        <f>Table_246[[#This Row],[Valor da 
venda]]-Table_246[[#This Row],[Valor gasto]]</f>
        <v>0</v>
      </c>
      <c r="M752" s="111">
        <f t="shared" si="40"/>
        <v>0</v>
      </c>
      <c r="N752" s="112"/>
      <c r="O752" s="114" t="str">
        <f>IF([1]!Table_246[[#This Row],[Coluna2]]&gt;0.5, "🔥 Excelente", IF([1]!Table_246[[#This Row],[Coluna2]]&gt;0.4, "👍 Bom", "⚠️ Baixo"))</f>
        <v>⚠️ Baixo</v>
      </c>
    </row>
    <row r="753" spans="1:15" ht="15" customHeight="1">
      <c r="A753" s="28" t="str">
        <f>IF(Table_246[[#This Row],[Data]]="","",MONTH(Table_246[[#This Row],[Data]]))</f>
        <v/>
      </c>
      <c r="B753" s="32"/>
      <c r="C753" s="36"/>
      <c r="D753" s="43"/>
      <c r="E753" s="48"/>
      <c r="F753" s="48"/>
      <c r="G753" s="49" t="str">
        <f>IFERROR(VLOOKUP(C753,PROD!$A$2:$E$1204,5,0),"0")</f>
        <v>0</v>
      </c>
      <c r="H753" s="10">
        <f>Table_246[[#This Row],[QT]]*Table_246[[#This Row],[Custo 
Un]]</f>
        <v>0</v>
      </c>
      <c r="I753" s="52"/>
      <c r="J753" s="263">
        <f t="shared" si="39"/>
        <v>0</v>
      </c>
      <c r="K753" s="10">
        <f t="shared" si="38"/>
        <v>0</v>
      </c>
      <c r="L753" s="50">
        <f>Table_246[[#This Row],[Valor da 
venda]]-Table_246[[#This Row],[Valor gasto]]</f>
        <v>0</v>
      </c>
      <c r="M753" s="111">
        <f t="shared" si="40"/>
        <v>0</v>
      </c>
      <c r="N753" s="112"/>
      <c r="O753" s="114" t="str">
        <f>IF([1]!Table_246[[#This Row],[Coluna2]]&gt;0.5, "🔥 Excelente", IF([1]!Table_246[[#This Row],[Coluna2]]&gt;0.4, "👍 Bom", "⚠️ Baixo"))</f>
        <v>⚠️ Baixo</v>
      </c>
    </row>
    <row r="754" spans="1:15" ht="15" customHeight="1">
      <c r="A754" s="28" t="str">
        <f>IF(Table_246[[#This Row],[Data]]="","",MONTH(Table_246[[#This Row],[Data]]))</f>
        <v/>
      </c>
      <c r="B754" s="32"/>
      <c r="C754" s="36"/>
      <c r="D754" s="43"/>
      <c r="E754" s="48"/>
      <c r="F754" s="48"/>
      <c r="G754" s="49" t="str">
        <f>IFERROR(VLOOKUP(C754,PROD!$A$2:$E$1204,5,0),"0")</f>
        <v>0</v>
      </c>
      <c r="H754" s="10">
        <f>Table_246[[#This Row],[QT]]*Table_246[[#This Row],[Custo 
Un]]</f>
        <v>0</v>
      </c>
      <c r="I754" s="52"/>
      <c r="J754" s="263">
        <f t="shared" si="39"/>
        <v>0</v>
      </c>
      <c r="K754" s="10">
        <f t="shared" si="38"/>
        <v>0</v>
      </c>
      <c r="L754" s="50">
        <f>Table_246[[#This Row],[Valor da 
venda]]-Table_246[[#This Row],[Valor gasto]]</f>
        <v>0</v>
      </c>
      <c r="M754" s="111">
        <f t="shared" si="40"/>
        <v>0</v>
      </c>
      <c r="N754" s="112"/>
      <c r="O754" s="114" t="str">
        <f>IF([1]!Table_246[[#This Row],[Coluna2]]&gt;0.5, "🔥 Excelente", IF([1]!Table_246[[#This Row],[Coluna2]]&gt;0.4, "👍 Bom", "⚠️ Baixo"))</f>
        <v>⚠️ Baixo</v>
      </c>
    </row>
    <row r="755" spans="1:15" ht="15" customHeight="1">
      <c r="A755" s="28" t="str">
        <f>IF(Table_246[[#This Row],[Data]]="","",MONTH(Table_246[[#This Row],[Data]]))</f>
        <v/>
      </c>
      <c r="B755" s="32"/>
      <c r="C755" s="36"/>
      <c r="D755" s="43"/>
      <c r="E755" s="48"/>
      <c r="F755" s="48"/>
      <c r="G755" s="49" t="str">
        <f>IFERROR(VLOOKUP(C755,PROD!$A$2:$E$1204,5,0),"0")</f>
        <v>0</v>
      </c>
      <c r="H755" s="10">
        <f>Table_246[[#This Row],[QT]]*Table_246[[#This Row],[Custo 
Un]]</f>
        <v>0</v>
      </c>
      <c r="I755" s="52"/>
      <c r="J755" s="263">
        <f t="shared" si="39"/>
        <v>0</v>
      </c>
      <c r="K755" s="10">
        <f t="shared" si="38"/>
        <v>0</v>
      </c>
      <c r="L755" s="50">
        <f>Table_246[[#This Row],[Valor da 
venda]]-Table_246[[#This Row],[Valor gasto]]</f>
        <v>0</v>
      </c>
      <c r="M755" s="111">
        <f t="shared" si="40"/>
        <v>0</v>
      </c>
      <c r="N755" s="112"/>
      <c r="O755" s="114" t="str">
        <f>IF([1]!Table_246[[#This Row],[Coluna2]]&gt;0.5, "🔥 Excelente", IF([1]!Table_246[[#This Row],[Coluna2]]&gt;0.4, "👍 Bom", "⚠️ Baixo"))</f>
        <v>⚠️ Baixo</v>
      </c>
    </row>
    <row r="756" spans="1:15" ht="15" customHeight="1">
      <c r="A756" s="28" t="str">
        <f>IF(Table_246[[#This Row],[Data]]="","",MONTH(Table_246[[#This Row],[Data]]))</f>
        <v/>
      </c>
      <c r="B756" s="32"/>
      <c r="C756" s="36"/>
      <c r="D756" s="43"/>
      <c r="E756" s="48"/>
      <c r="F756" s="48"/>
      <c r="G756" s="49" t="str">
        <f>IFERROR(VLOOKUP(C756,PROD!$A$2:$E$1204,5,0),"0")</f>
        <v>0</v>
      </c>
      <c r="H756" s="10">
        <f>Table_246[[#This Row],[QT]]*Table_246[[#This Row],[Custo 
Un]]</f>
        <v>0</v>
      </c>
      <c r="I756" s="52"/>
      <c r="J756" s="263">
        <f t="shared" si="39"/>
        <v>0</v>
      </c>
      <c r="K756" s="10">
        <f t="shared" ref="K756:K819" si="41">I756*D756</f>
        <v>0</v>
      </c>
      <c r="L756" s="50">
        <f>Table_246[[#This Row],[Valor da 
venda]]-Table_246[[#This Row],[Valor gasto]]</f>
        <v>0</v>
      </c>
      <c r="M756" s="111">
        <f t="shared" si="40"/>
        <v>0</v>
      </c>
      <c r="N756" s="112"/>
      <c r="O756" s="114" t="str">
        <f>IF([1]!Table_246[[#This Row],[Coluna2]]&gt;0.5, "🔥 Excelente", IF([1]!Table_246[[#This Row],[Coluna2]]&gt;0.4, "👍 Bom", "⚠️ Baixo"))</f>
        <v>⚠️ Baixo</v>
      </c>
    </row>
    <row r="757" spans="1:15" ht="15" customHeight="1">
      <c r="A757" s="28" t="str">
        <f>IF(Table_246[[#This Row],[Data]]="","",MONTH(Table_246[[#This Row],[Data]]))</f>
        <v/>
      </c>
      <c r="B757" s="32"/>
      <c r="C757" s="36"/>
      <c r="D757" s="43"/>
      <c r="E757" s="48"/>
      <c r="F757" s="48"/>
      <c r="G757" s="49" t="str">
        <f>IFERROR(VLOOKUP(C757,PROD!$A$2:$E$1204,5,0),"0")</f>
        <v>0</v>
      </c>
      <c r="H757" s="10">
        <f>Table_246[[#This Row],[QT]]*Table_246[[#This Row],[Custo 
Un]]</f>
        <v>0</v>
      </c>
      <c r="I757" s="52"/>
      <c r="J757" s="263">
        <f t="shared" si="39"/>
        <v>0</v>
      </c>
      <c r="K757" s="10">
        <f t="shared" si="41"/>
        <v>0</v>
      </c>
      <c r="L757" s="50">
        <f>Table_246[[#This Row],[Valor da 
venda]]-Table_246[[#This Row],[Valor gasto]]</f>
        <v>0</v>
      </c>
      <c r="M757" s="111">
        <f t="shared" si="40"/>
        <v>0</v>
      </c>
      <c r="N757" s="112"/>
      <c r="O757" s="114" t="str">
        <f>IF([1]!Table_246[[#This Row],[Coluna2]]&gt;0.5, "🔥 Excelente", IF([1]!Table_246[[#This Row],[Coluna2]]&gt;0.4, "👍 Bom", "⚠️ Baixo"))</f>
        <v>⚠️ Baixo</v>
      </c>
    </row>
    <row r="758" spans="1:15" ht="15" customHeight="1">
      <c r="A758" s="28" t="str">
        <f>IF(Table_246[[#This Row],[Data]]="","",MONTH(Table_246[[#This Row],[Data]]))</f>
        <v/>
      </c>
      <c r="B758" s="32"/>
      <c r="C758" s="36"/>
      <c r="D758" s="43"/>
      <c r="E758" s="48"/>
      <c r="F758" s="48"/>
      <c r="G758" s="49" t="str">
        <f>IFERROR(VLOOKUP(C758,PROD!$A$2:$E$1204,5,0),"0")</f>
        <v>0</v>
      </c>
      <c r="H758" s="10">
        <f>Table_246[[#This Row],[QT]]*Table_246[[#This Row],[Custo 
Un]]</f>
        <v>0</v>
      </c>
      <c r="I758" s="52"/>
      <c r="J758" s="263">
        <f t="shared" si="39"/>
        <v>0</v>
      </c>
      <c r="K758" s="10">
        <f t="shared" si="41"/>
        <v>0</v>
      </c>
      <c r="L758" s="50">
        <f>Table_246[[#This Row],[Valor da 
venda]]-Table_246[[#This Row],[Valor gasto]]</f>
        <v>0</v>
      </c>
      <c r="M758" s="111">
        <f t="shared" si="40"/>
        <v>0</v>
      </c>
      <c r="N758" s="112"/>
      <c r="O758" s="114" t="str">
        <f>IF([1]!Table_246[[#This Row],[Coluna2]]&gt;0.5, "🔥 Excelente", IF([1]!Table_246[[#This Row],[Coluna2]]&gt;0.4, "👍 Bom", "⚠️ Baixo"))</f>
        <v>⚠️ Baixo</v>
      </c>
    </row>
    <row r="759" spans="1:15" ht="15" customHeight="1">
      <c r="A759" s="28" t="str">
        <f>IF(Table_246[[#This Row],[Data]]="","",MONTH(Table_246[[#This Row],[Data]]))</f>
        <v/>
      </c>
      <c r="B759" s="32"/>
      <c r="C759" s="36"/>
      <c r="D759" s="43"/>
      <c r="E759" s="48"/>
      <c r="F759" s="48"/>
      <c r="G759" s="49" t="str">
        <f>IFERROR(VLOOKUP(C759,PROD!$A$2:$E$1204,5,0),"0")</f>
        <v>0</v>
      </c>
      <c r="H759" s="10">
        <f>Table_246[[#This Row],[QT]]*Table_246[[#This Row],[Custo 
Un]]</f>
        <v>0</v>
      </c>
      <c r="I759" s="52"/>
      <c r="J759" s="263">
        <f t="shared" si="39"/>
        <v>0</v>
      </c>
      <c r="K759" s="10">
        <f t="shared" si="41"/>
        <v>0</v>
      </c>
      <c r="L759" s="50">
        <f>Table_246[[#This Row],[Valor da 
venda]]-Table_246[[#This Row],[Valor gasto]]</f>
        <v>0</v>
      </c>
      <c r="M759" s="111">
        <f t="shared" si="40"/>
        <v>0</v>
      </c>
      <c r="N759" s="112"/>
      <c r="O759" s="114" t="str">
        <f>IF([1]!Table_246[[#This Row],[Coluna2]]&gt;0.5, "🔥 Excelente", IF([1]!Table_246[[#This Row],[Coluna2]]&gt;0.4, "👍 Bom", "⚠️ Baixo"))</f>
        <v>⚠️ Baixo</v>
      </c>
    </row>
    <row r="760" spans="1:15" ht="15" customHeight="1">
      <c r="A760" s="28" t="str">
        <f>IF(Table_246[[#This Row],[Data]]="","",MONTH(Table_246[[#This Row],[Data]]))</f>
        <v/>
      </c>
      <c r="B760" s="32"/>
      <c r="C760" s="36"/>
      <c r="D760" s="43"/>
      <c r="E760" s="48"/>
      <c r="F760" s="48"/>
      <c r="G760" s="49" t="str">
        <f>IFERROR(VLOOKUP(C760,PROD!$A$2:$E$1204,5,0),"0")</f>
        <v>0</v>
      </c>
      <c r="H760" s="10">
        <f>Table_246[[#This Row],[QT]]*Table_246[[#This Row],[Custo 
Un]]</f>
        <v>0</v>
      </c>
      <c r="I760" s="52"/>
      <c r="J760" s="263">
        <f t="shared" si="39"/>
        <v>0</v>
      </c>
      <c r="K760" s="10">
        <f t="shared" si="41"/>
        <v>0</v>
      </c>
      <c r="L760" s="50">
        <f>Table_246[[#This Row],[Valor da 
venda]]-Table_246[[#This Row],[Valor gasto]]</f>
        <v>0</v>
      </c>
      <c r="M760" s="111">
        <f t="shared" si="40"/>
        <v>0</v>
      </c>
      <c r="N760" s="112"/>
      <c r="O760" s="114" t="str">
        <f>IF([1]!Table_246[[#This Row],[Coluna2]]&gt;0.5, "🔥 Excelente", IF([1]!Table_246[[#This Row],[Coluna2]]&gt;0.4, "👍 Bom", "⚠️ Baixo"))</f>
        <v>⚠️ Baixo</v>
      </c>
    </row>
    <row r="761" spans="1:15" ht="15" customHeight="1">
      <c r="A761" s="28" t="str">
        <f>IF(Table_246[[#This Row],[Data]]="","",MONTH(Table_246[[#This Row],[Data]]))</f>
        <v/>
      </c>
      <c r="B761" s="32"/>
      <c r="C761" s="36"/>
      <c r="D761" s="43"/>
      <c r="E761" s="48"/>
      <c r="F761" s="48"/>
      <c r="G761" s="49" t="str">
        <f>IFERROR(VLOOKUP(C761,PROD!$A$2:$E$1204,5,0),"0")</f>
        <v>0</v>
      </c>
      <c r="H761" s="10">
        <f>Table_246[[#This Row],[QT]]*Table_246[[#This Row],[Custo 
Un]]</f>
        <v>0</v>
      </c>
      <c r="I761" s="52"/>
      <c r="J761" s="263">
        <f t="shared" si="39"/>
        <v>0</v>
      </c>
      <c r="K761" s="10">
        <f t="shared" si="41"/>
        <v>0</v>
      </c>
      <c r="L761" s="50">
        <f>Table_246[[#This Row],[Valor da 
venda]]-Table_246[[#This Row],[Valor gasto]]</f>
        <v>0</v>
      </c>
      <c r="M761" s="111">
        <f t="shared" si="40"/>
        <v>0</v>
      </c>
      <c r="N761" s="112"/>
      <c r="O761" s="114" t="str">
        <f>IF([1]!Table_246[[#This Row],[Coluna2]]&gt;0.5, "🔥 Excelente", IF([1]!Table_246[[#This Row],[Coluna2]]&gt;0.4, "👍 Bom", "⚠️ Baixo"))</f>
        <v>⚠️ Baixo</v>
      </c>
    </row>
    <row r="762" spans="1:15" ht="15" customHeight="1">
      <c r="A762" s="28" t="str">
        <f>IF(Table_246[[#This Row],[Data]]="","",MONTH(Table_246[[#This Row],[Data]]))</f>
        <v/>
      </c>
      <c r="B762" s="32"/>
      <c r="C762" s="36"/>
      <c r="D762" s="43"/>
      <c r="E762" s="48"/>
      <c r="F762" s="48"/>
      <c r="G762" s="49" t="str">
        <f>IFERROR(VLOOKUP(C762,PROD!$A$2:$E$1204,5,0),"0")</f>
        <v>0</v>
      </c>
      <c r="H762" s="10">
        <f>Table_246[[#This Row],[QT]]*Table_246[[#This Row],[Custo 
Un]]</f>
        <v>0</v>
      </c>
      <c r="I762" s="52"/>
      <c r="J762" s="263">
        <f t="shared" si="39"/>
        <v>0</v>
      </c>
      <c r="K762" s="10">
        <f t="shared" si="41"/>
        <v>0</v>
      </c>
      <c r="L762" s="50">
        <f>Table_246[[#This Row],[Valor da 
venda]]-Table_246[[#This Row],[Valor gasto]]</f>
        <v>0</v>
      </c>
      <c r="M762" s="111">
        <f t="shared" si="40"/>
        <v>0</v>
      </c>
      <c r="N762" s="112"/>
      <c r="O762" s="114" t="str">
        <f>IF([1]!Table_246[[#This Row],[Coluna2]]&gt;0.5, "🔥 Excelente", IF([1]!Table_246[[#This Row],[Coluna2]]&gt;0.4, "👍 Bom", "⚠️ Baixo"))</f>
        <v>⚠️ Baixo</v>
      </c>
    </row>
    <row r="763" spans="1:15" ht="15" customHeight="1">
      <c r="A763" s="28" t="str">
        <f>IF(Table_246[[#This Row],[Data]]="","",MONTH(Table_246[[#This Row],[Data]]))</f>
        <v/>
      </c>
      <c r="B763" s="32"/>
      <c r="C763" s="36"/>
      <c r="D763" s="43"/>
      <c r="E763" s="48"/>
      <c r="F763" s="48"/>
      <c r="G763" s="49" t="str">
        <f>IFERROR(VLOOKUP(C763,PROD!$A$2:$E$1204,5,0),"0")</f>
        <v>0</v>
      </c>
      <c r="H763" s="10">
        <f>Table_246[[#This Row],[QT]]*Table_246[[#This Row],[Custo 
Un]]</f>
        <v>0</v>
      </c>
      <c r="I763" s="52"/>
      <c r="J763" s="263">
        <f t="shared" si="39"/>
        <v>0</v>
      </c>
      <c r="K763" s="10">
        <f t="shared" si="41"/>
        <v>0</v>
      </c>
      <c r="L763" s="50">
        <f>Table_246[[#This Row],[Valor da 
venda]]-Table_246[[#This Row],[Valor gasto]]</f>
        <v>0</v>
      </c>
      <c r="M763" s="111">
        <f t="shared" si="40"/>
        <v>0</v>
      </c>
      <c r="N763" s="112"/>
      <c r="O763" s="114" t="str">
        <f>IF([1]!Table_246[[#This Row],[Coluna2]]&gt;0.5, "🔥 Excelente", IF([1]!Table_246[[#This Row],[Coluna2]]&gt;0.4, "👍 Bom", "⚠️ Baixo"))</f>
        <v>⚠️ Baixo</v>
      </c>
    </row>
    <row r="764" spans="1:15" ht="15" customHeight="1">
      <c r="A764" s="28" t="str">
        <f>IF(Table_246[[#This Row],[Data]]="","",MONTH(Table_246[[#This Row],[Data]]))</f>
        <v/>
      </c>
      <c r="B764" s="32"/>
      <c r="C764" s="36"/>
      <c r="D764" s="43"/>
      <c r="E764" s="48"/>
      <c r="F764" s="48"/>
      <c r="G764" s="49" t="str">
        <f>IFERROR(VLOOKUP(C764,PROD!$A$2:$E$1204,5,0),"0")</f>
        <v>0</v>
      </c>
      <c r="H764" s="10">
        <f>Table_246[[#This Row],[QT]]*Table_246[[#This Row],[Custo 
Un]]</f>
        <v>0</v>
      </c>
      <c r="I764" s="52"/>
      <c r="J764" s="263">
        <f t="shared" si="39"/>
        <v>0</v>
      </c>
      <c r="K764" s="10">
        <f t="shared" si="41"/>
        <v>0</v>
      </c>
      <c r="L764" s="50">
        <f>Table_246[[#This Row],[Valor da 
venda]]-Table_246[[#This Row],[Valor gasto]]</f>
        <v>0</v>
      </c>
      <c r="M764" s="111">
        <f t="shared" si="40"/>
        <v>0</v>
      </c>
      <c r="N764" s="112"/>
      <c r="O764" s="114" t="str">
        <f>IF([1]!Table_246[[#This Row],[Coluna2]]&gt;0.5, "🔥 Excelente", IF([1]!Table_246[[#This Row],[Coluna2]]&gt;0.4, "👍 Bom", "⚠️ Baixo"))</f>
        <v>⚠️ Baixo</v>
      </c>
    </row>
    <row r="765" spans="1:15" ht="15" customHeight="1">
      <c r="A765" s="28" t="str">
        <f>IF(Table_246[[#This Row],[Data]]="","",MONTH(Table_246[[#This Row],[Data]]))</f>
        <v/>
      </c>
      <c r="B765" s="32"/>
      <c r="C765" s="36"/>
      <c r="D765" s="43"/>
      <c r="E765" s="48"/>
      <c r="F765" s="48"/>
      <c r="G765" s="49" t="str">
        <f>IFERROR(VLOOKUP(C765,PROD!$A$2:$E$1204,5,0),"0")</f>
        <v>0</v>
      </c>
      <c r="H765" s="10">
        <f>Table_246[[#This Row],[QT]]*Table_246[[#This Row],[Custo 
Un]]</f>
        <v>0</v>
      </c>
      <c r="I765" s="52"/>
      <c r="J765" s="263">
        <f t="shared" si="39"/>
        <v>0</v>
      </c>
      <c r="K765" s="10">
        <f t="shared" si="41"/>
        <v>0</v>
      </c>
      <c r="L765" s="50">
        <f>Table_246[[#This Row],[Valor da 
venda]]-Table_246[[#This Row],[Valor gasto]]</f>
        <v>0</v>
      </c>
      <c r="M765" s="111">
        <f t="shared" si="40"/>
        <v>0</v>
      </c>
      <c r="N765" s="112"/>
      <c r="O765" s="114" t="str">
        <f>IF([1]!Table_246[[#This Row],[Coluna2]]&gt;0.5, "🔥 Excelente", IF([1]!Table_246[[#This Row],[Coluna2]]&gt;0.4, "👍 Bom", "⚠️ Baixo"))</f>
        <v>⚠️ Baixo</v>
      </c>
    </row>
    <row r="766" spans="1:15" ht="15" customHeight="1">
      <c r="A766" s="28" t="str">
        <f>IF(Table_246[[#This Row],[Data]]="","",MONTH(Table_246[[#This Row],[Data]]))</f>
        <v/>
      </c>
      <c r="B766" s="32"/>
      <c r="C766" s="36"/>
      <c r="D766" s="43"/>
      <c r="E766" s="48"/>
      <c r="F766" s="48"/>
      <c r="G766" s="49" t="str">
        <f>IFERROR(VLOOKUP(C766,PROD!$A$2:$E$1204,5,0),"0")</f>
        <v>0</v>
      </c>
      <c r="H766" s="10">
        <f>Table_246[[#This Row],[QT]]*Table_246[[#This Row],[Custo 
Un]]</f>
        <v>0</v>
      </c>
      <c r="I766" s="52"/>
      <c r="J766" s="263">
        <f t="shared" si="39"/>
        <v>0</v>
      </c>
      <c r="K766" s="10">
        <f t="shared" si="41"/>
        <v>0</v>
      </c>
      <c r="L766" s="50">
        <f>Table_246[[#This Row],[Valor da 
venda]]-Table_246[[#This Row],[Valor gasto]]</f>
        <v>0</v>
      </c>
      <c r="M766" s="111">
        <f t="shared" si="40"/>
        <v>0</v>
      </c>
      <c r="N766" s="112"/>
      <c r="O766" s="114" t="str">
        <f>IF([1]!Table_246[[#This Row],[Coluna2]]&gt;0.5, "🔥 Excelente", IF([1]!Table_246[[#This Row],[Coluna2]]&gt;0.4, "👍 Bom", "⚠️ Baixo"))</f>
        <v>⚠️ Baixo</v>
      </c>
    </row>
    <row r="767" spans="1:15" ht="15" customHeight="1">
      <c r="A767" s="28" t="str">
        <f>IF(Table_246[[#This Row],[Data]]="","",MONTH(Table_246[[#This Row],[Data]]))</f>
        <v/>
      </c>
      <c r="B767" s="32"/>
      <c r="C767" s="36"/>
      <c r="D767" s="43"/>
      <c r="E767" s="48"/>
      <c r="F767" s="48"/>
      <c r="G767" s="49" t="str">
        <f>IFERROR(VLOOKUP(C767,PROD!$A$2:$E$1204,5,0),"0")</f>
        <v>0</v>
      </c>
      <c r="H767" s="10">
        <f>Table_246[[#This Row],[QT]]*Table_246[[#This Row],[Custo 
Un]]</f>
        <v>0</v>
      </c>
      <c r="I767" s="52"/>
      <c r="J767" s="263">
        <f t="shared" si="39"/>
        <v>0</v>
      </c>
      <c r="K767" s="10">
        <f t="shared" si="41"/>
        <v>0</v>
      </c>
      <c r="L767" s="50">
        <f>Table_246[[#This Row],[Valor da 
venda]]-Table_246[[#This Row],[Valor gasto]]</f>
        <v>0</v>
      </c>
      <c r="M767" s="111">
        <f t="shared" si="40"/>
        <v>0</v>
      </c>
      <c r="N767" s="112"/>
      <c r="O767" s="114" t="str">
        <f>IF([1]!Table_246[[#This Row],[Coluna2]]&gt;0.5, "🔥 Excelente", IF([1]!Table_246[[#This Row],[Coluna2]]&gt;0.4, "👍 Bom", "⚠️ Baixo"))</f>
        <v>⚠️ Baixo</v>
      </c>
    </row>
    <row r="768" spans="1:15" ht="15" customHeight="1">
      <c r="A768" s="28" t="str">
        <f>IF(Table_246[[#This Row],[Data]]="","",MONTH(Table_246[[#This Row],[Data]]))</f>
        <v/>
      </c>
      <c r="B768" s="32"/>
      <c r="C768" s="36"/>
      <c r="D768" s="43"/>
      <c r="E768" s="48"/>
      <c r="F768" s="48"/>
      <c r="G768" s="49" t="str">
        <f>IFERROR(VLOOKUP(C768,PROD!$A$2:$E$1204,5,0),"0")</f>
        <v>0</v>
      </c>
      <c r="H768" s="10">
        <f>Table_246[[#This Row],[QT]]*Table_246[[#This Row],[Custo 
Un]]</f>
        <v>0</v>
      </c>
      <c r="I768" s="52"/>
      <c r="J768" s="263">
        <f t="shared" si="39"/>
        <v>0</v>
      </c>
      <c r="K768" s="10">
        <f t="shared" si="41"/>
        <v>0</v>
      </c>
      <c r="L768" s="50">
        <f>Table_246[[#This Row],[Valor da 
venda]]-Table_246[[#This Row],[Valor gasto]]</f>
        <v>0</v>
      </c>
      <c r="M768" s="111">
        <f t="shared" si="40"/>
        <v>0</v>
      </c>
      <c r="N768" s="112"/>
      <c r="O768" s="114" t="str">
        <f>IF([1]!Table_246[[#This Row],[Coluna2]]&gt;0.5, "🔥 Excelente", IF([1]!Table_246[[#This Row],[Coluna2]]&gt;0.4, "👍 Bom", "⚠️ Baixo"))</f>
        <v>⚠️ Baixo</v>
      </c>
    </row>
    <row r="769" spans="1:15" ht="15" customHeight="1">
      <c r="A769" s="28" t="str">
        <f>IF(Table_246[[#This Row],[Data]]="","",MONTH(Table_246[[#This Row],[Data]]))</f>
        <v/>
      </c>
      <c r="B769" s="32"/>
      <c r="C769" s="36"/>
      <c r="D769" s="43"/>
      <c r="E769" s="48"/>
      <c r="F769" s="48"/>
      <c r="G769" s="49" t="str">
        <f>IFERROR(VLOOKUP(C769,PROD!$A$2:$E$1204,5,0),"0")</f>
        <v>0</v>
      </c>
      <c r="H769" s="10">
        <f>Table_246[[#This Row],[QT]]*Table_246[[#This Row],[Custo 
Un]]</f>
        <v>0</v>
      </c>
      <c r="I769" s="52"/>
      <c r="J769" s="263">
        <f t="shared" si="39"/>
        <v>0</v>
      </c>
      <c r="K769" s="10">
        <f t="shared" si="41"/>
        <v>0</v>
      </c>
      <c r="L769" s="50">
        <f>Table_246[[#This Row],[Valor da 
venda]]-Table_246[[#This Row],[Valor gasto]]</f>
        <v>0</v>
      </c>
      <c r="M769" s="111">
        <f t="shared" si="40"/>
        <v>0</v>
      </c>
      <c r="N769" s="112"/>
      <c r="O769" s="114" t="str">
        <f>IF([1]!Table_246[[#This Row],[Coluna2]]&gt;0.5, "🔥 Excelente", IF([1]!Table_246[[#This Row],[Coluna2]]&gt;0.4, "👍 Bom", "⚠️ Baixo"))</f>
        <v>⚠️ Baixo</v>
      </c>
    </row>
    <row r="770" spans="1:15" ht="15" customHeight="1">
      <c r="A770" s="28" t="str">
        <f>IF(Table_246[[#This Row],[Data]]="","",MONTH(Table_246[[#This Row],[Data]]))</f>
        <v/>
      </c>
      <c r="B770" s="32"/>
      <c r="C770" s="36"/>
      <c r="D770" s="43"/>
      <c r="E770" s="48"/>
      <c r="F770" s="48"/>
      <c r="G770" s="49" t="str">
        <f>IFERROR(VLOOKUP(C770,PROD!$A$2:$E$1204,5,0),"0")</f>
        <v>0</v>
      </c>
      <c r="H770" s="10">
        <f>Table_246[[#This Row],[QT]]*Table_246[[#This Row],[Custo 
Un]]</f>
        <v>0</v>
      </c>
      <c r="I770" s="52"/>
      <c r="J770" s="263">
        <f t="shared" ref="J770:J833" si="42">I770*D770</f>
        <v>0</v>
      </c>
      <c r="K770" s="10">
        <f t="shared" si="41"/>
        <v>0</v>
      </c>
      <c r="L770" s="50">
        <f>Table_246[[#This Row],[Valor da 
venda]]-Table_246[[#This Row],[Valor gasto]]</f>
        <v>0</v>
      </c>
      <c r="M770" s="111">
        <f t="shared" si="40"/>
        <v>0</v>
      </c>
      <c r="N770" s="112"/>
      <c r="O770" s="114" t="str">
        <f>IF([1]!Table_246[[#This Row],[Coluna2]]&gt;0.5, "🔥 Excelente", IF([1]!Table_246[[#This Row],[Coluna2]]&gt;0.4, "👍 Bom", "⚠️ Baixo"))</f>
        <v>⚠️ Baixo</v>
      </c>
    </row>
    <row r="771" spans="1:15" ht="15" customHeight="1">
      <c r="A771" s="28" t="str">
        <f>IF(Table_246[[#This Row],[Data]]="","",MONTH(Table_246[[#This Row],[Data]]))</f>
        <v/>
      </c>
      <c r="B771" s="32"/>
      <c r="C771" s="36"/>
      <c r="D771" s="43"/>
      <c r="E771" s="48"/>
      <c r="F771" s="48"/>
      <c r="G771" s="49" t="str">
        <f>IFERROR(VLOOKUP(C771,PROD!$A$2:$E$1204,5,0),"0")</f>
        <v>0</v>
      </c>
      <c r="H771" s="10">
        <f>Table_246[[#This Row],[QT]]*Table_246[[#This Row],[Custo 
Un]]</f>
        <v>0</v>
      </c>
      <c r="I771" s="52"/>
      <c r="J771" s="263">
        <f t="shared" si="42"/>
        <v>0</v>
      </c>
      <c r="K771" s="10">
        <f t="shared" si="41"/>
        <v>0</v>
      </c>
      <c r="L771" s="50">
        <f>Table_246[[#This Row],[Valor da 
venda]]-Table_246[[#This Row],[Valor gasto]]</f>
        <v>0</v>
      </c>
      <c r="M771" s="111">
        <f t="shared" si="40"/>
        <v>0</v>
      </c>
      <c r="N771" s="112"/>
      <c r="O771" s="114" t="str">
        <f>IF([1]!Table_246[[#This Row],[Coluna2]]&gt;0.5, "🔥 Excelente", IF([1]!Table_246[[#This Row],[Coluna2]]&gt;0.4, "👍 Bom", "⚠️ Baixo"))</f>
        <v>⚠️ Baixo</v>
      </c>
    </row>
    <row r="772" spans="1:15" ht="15" customHeight="1">
      <c r="A772" s="28" t="str">
        <f>IF(Table_246[[#This Row],[Data]]="","",MONTH(Table_246[[#This Row],[Data]]))</f>
        <v/>
      </c>
      <c r="B772" s="32"/>
      <c r="C772" s="36"/>
      <c r="D772" s="43"/>
      <c r="E772" s="48"/>
      <c r="F772" s="48"/>
      <c r="G772" s="49" t="str">
        <f>IFERROR(VLOOKUP(C772,PROD!$A$2:$E$1204,5,0),"0")</f>
        <v>0</v>
      </c>
      <c r="H772" s="10">
        <f>Table_246[[#This Row],[QT]]*Table_246[[#This Row],[Custo 
Un]]</f>
        <v>0</v>
      </c>
      <c r="I772" s="52"/>
      <c r="J772" s="263">
        <f t="shared" si="42"/>
        <v>0</v>
      </c>
      <c r="K772" s="10">
        <f t="shared" si="41"/>
        <v>0</v>
      </c>
      <c r="L772" s="50">
        <f>Table_246[[#This Row],[Valor da 
venda]]-Table_246[[#This Row],[Valor gasto]]</f>
        <v>0</v>
      </c>
      <c r="M772" s="111">
        <f t="shared" si="40"/>
        <v>0</v>
      </c>
      <c r="N772" s="112"/>
      <c r="O772" s="114" t="str">
        <f>IF([1]!Table_246[[#This Row],[Coluna2]]&gt;0.5, "🔥 Excelente", IF([1]!Table_246[[#This Row],[Coluna2]]&gt;0.4, "👍 Bom", "⚠️ Baixo"))</f>
        <v>⚠️ Baixo</v>
      </c>
    </row>
    <row r="773" spans="1:15" ht="15" customHeight="1">
      <c r="A773" s="28" t="str">
        <f>IF(Table_246[[#This Row],[Data]]="","",MONTH(Table_246[[#This Row],[Data]]))</f>
        <v/>
      </c>
      <c r="B773" s="32"/>
      <c r="C773" s="36"/>
      <c r="D773" s="43"/>
      <c r="E773" s="48"/>
      <c r="F773" s="48"/>
      <c r="G773" s="49" t="str">
        <f>IFERROR(VLOOKUP(C773,PROD!$A$2:$E$1204,5,0),"0")</f>
        <v>0</v>
      </c>
      <c r="H773" s="10">
        <f>Table_246[[#This Row],[QT]]*Table_246[[#This Row],[Custo 
Un]]</f>
        <v>0</v>
      </c>
      <c r="I773" s="52"/>
      <c r="J773" s="263">
        <f t="shared" si="42"/>
        <v>0</v>
      </c>
      <c r="K773" s="10">
        <f t="shared" si="41"/>
        <v>0</v>
      </c>
      <c r="L773" s="50">
        <f>Table_246[[#This Row],[Valor da 
venda]]-Table_246[[#This Row],[Valor gasto]]</f>
        <v>0</v>
      </c>
      <c r="M773" s="111">
        <f t="shared" ref="M773:M836" si="43">IFERROR(L773/K773, 0)</f>
        <v>0</v>
      </c>
      <c r="N773" s="112"/>
      <c r="O773" s="114" t="str">
        <f>IF([1]!Table_246[[#This Row],[Coluna2]]&gt;0.5, "🔥 Excelente", IF([1]!Table_246[[#This Row],[Coluna2]]&gt;0.4, "👍 Bom", "⚠️ Baixo"))</f>
        <v>⚠️ Baixo</v>
      </c>
    </row>
    <row r="774" spans="1:15" ht="15" customHeight="1">
      <c r="A774" s="28" t="str">
        <f>IF(Table_246[[#This Row],[Data]]="","",MONTH(Table_246[[#This Row],[Data]]))</f>
        <v/>
      </c>
      <c r="B774" s="32"/>
      <c r="C774" s="36"/>
      <c r="D774" s="43"/>
      <c r="E774" s="48"/>
      <c r="F774" s="48"/>
      <c r="G774" s="49" t="str">
        <f>IFERROR(VLOOKUP(C774,PROD!$A$2:$E$1204,5,0),"0")</f>
        <v>0</v>
      </c>
      <c r="H774" s="10">
        <f>Table_246[[#This Row],[QT]]*Table_246[[#This Row],[Custo 
Un]]</f>
        <v>0</v>
      </c>
      <c r="I774" s="52"/>
      <c r="J774" s="263">
        <f t="shared" si="42"/>
        <v>0</v>
      </c>
      <c r="K774" s="10">
        <f t="shared" si="41"/>
        <v>0</v>
      </c>
      <c r="L774" s="50">
        <f>Table_246[[#This Row],[Valor da 
venda]]-Table_246[[#This Row],[Valor gasto]]</f>
        <v>0</v>
      </c>
      <c r="M774" s="111">
        <f t="shared" si="43"/>
        <v>0</v>
      </c>
      <c r="N774" s="112"/>
      <c r="O774" s="114" t="str">
        <f>IF([1]!Table_246[[#This Row],[Coluna2]]&gt;0.5, "🔥 Excelente", IF([1]!Table_246[[#This Row],[Coluna2]]&gt;0.4, "👍 Bom", "⚠️ Baixo"))</f>
        <v>⚠️ Baixo</v>
      </c>
    </row>
    <row r="775" spans="1:15" ht="15" customHeight="1">
      <c r="A775" s="28" t="str">
        <f>IF(Table_246[[#This Row],[Data]]="","",MONTH(Table_246[[#This Row],[Data]]))</f>
        <v/>
      </c>
      <c r="B775" s="32"/>
      <c r="C775" s="36"/>
      <c r="D775" s="43"/>
      <c r="E775" s="48"/>
      <c r="F775" s="48"/>
      <c r="G775" s="49" t="str">
        <f>IFERROR(VLOOKUP(C775,PROD!$A$2:$E$1204,5,0),"0")</f>
        <v>0</v>
      </c>
      <c r="H775" s="10">
        <f>Table_246[[#This Row],[QT]]*Table_246[[#This Row],[Custo 
Un]]</f>
        <v>0</v>
      </c>
      <c r="I775" s="52"/>
      <c r="J775" s="263">
        <f t="shared" si="42"/>
        <v>0</v>
      </c>
      <c r="K775" s="10">
        <f t="shared" si="41"/>
        <v>0</v>
      </c>
      <c r="L775" s="50">
        <f>Table_246[[#This Row],[Valor da 
venda]]-Table_246[[#This Row],[Valor gasto]]</f>
        <v>0</v>
      </c>
      <c r="M775" s="111">
        <f t="shared" si="43"/>
        <v>0</v>
      </c>
      <c r="N775" s="112"/>
      <c r="O775" s="114" t="str">
        <f>IF([1]!Table_246[[#This Row],[Coluna2]]&gt;0.5, "🔥 Excelente", IF([1]!Table_246[[#This Row],[Coluna2]]&gt;0.4, "👍 Bom", "⚠️ Baixo"))</f>
        <v>⚠️ Baixo</v>
      </c>
    </row>
    <row r="776" spans="1:15" ht="15" customHeight="1">
      <c r="A776" s="28" t="str">
        <f>IF(Table_246[[#This Row],[Data]]="","",MONTH(Table_246[[#This Row],[Data]]))</f>
        <v/>
      </c>
      <c r="B776" s="32"/>
      <c r="C776" s="36"/>
      <c r="D776" s="43"/>
      <c r="E776" s="48"/>
      <c r="F776" s="48"/>
      <c r="G776" s="49" t="str">
        <f>IFERROR(VLOOKUP(C776,PROD!$A$2:$E$1204,5,0),"0")</f>
        <v>0</v>
      </c>
      <c r="H776" s="10">
        <f>Table_246[[#This Row],[QT]]*Table_246[[#This Row],[Custo 
Un]]</f>
        <v>0</v>
      </c>
      <c r="I776" s="52"/>
      <c r="J776" s="263">
        <f t="shared" si="42"/>
        <v>0</v>
      </c>
      <c r="K776" s="10">
        <f t="shared" si="41"/>
        <v>0</v>
      </c>
      <c r="L776" s="50">
        <f>Table_246[[#This Row],[Valor da 
venda]]-Table_246[[#This Row],[Valor gasto]]</f>
        <v>0</v>
      </c>
      <c r="M776" s="111">
        <f t="shared" si="43"/>
        <v>0</v>
      </c>
      <c r="N776" s="112"/>
      <c r="O776" s="114" t="str">
        <f>IF([1]!Table_246[[#This Row],[Coluna2]]&gt;0.5, "🔥 Excelente", IF([1]!Table_246[[#This Row],[Coluna2]]&gt;0.4, "👍 Bom", "⚠️ Baixo"))</f>
        <v>⚠️ Baixo</v>
      </c>
    </row>
    <row r="777" spans="1:15" ht="15" customHeight="1">
      <c r="A777" s="28" t="str">
        <f>IF(Table_246[[#This Row],[Data]]="","",MONTH(Table_246[[#This Row],[Data]]))</f>
        <v/>
      </c>
      <c r="B777" s="32"/>
      <c r="C777" s="36"/>
      <c r="D777" s="43"/>
      <c r="E777" s="48"/>
      <c r="F777" s="48"/>
      <c r="G777" s="49" t="str">
        <f>IFERROR(VLOOKUP(C777,PROD!$A$2:$E$1204,5,0),"0")</f>
        <v>0</v>
      </c>
      <c r="H777" s="10">
        <f>Table_246[[#This Row],[QT]]*Table_246[[#This Row],[Custo 
Un]]</f>
        <v>0</v>
      </c>
      <c r="I777" s="52"/>
      <c r="J777" s="263">
        <f t="shared" si="42"/>
        <v>0</v>
      </c>
      <c r="K777" s="10">
        <f t="shared" si="41"/>
        <v>0</v>
      </c>
      <c r="L777" s="50">
        <f>Table_246[[#This Row],[Valor da 
venda]]-Table_246[[#This Row],[Valor gasto]]</f>
        <v>0</v>
      </c>
      <c r="M777" s="111">
        <f t="shared" si="43"/>
        <v>0</v>
      </c>
      <c r="N777" s="112"/>
      <c r="O777" s="114" t="str">
        <f>IF([1]!Table_246[[#This Row],[Coluna2]]&gt;0.5, "🔥 Excelente", IF([1]!Table_246[[#This Row],[Coluna2]]&gt;0.4, "👍 Bom", "⚠️ Baixo"))</f>
        <v>⚠️ Baixo</v>
      </c>
    </row>
    <row r="778" spans="1:15" ht="15" customHeight="1">
      <c r="A778" s="28" t="str">
        <f>IF(Table_246[[#This Row],[Data]]="","",MONTH(Table_246[[#This Row],[Data]]))</f>
        <v/>
      </c>
      <c r="B778" s="32"/>
      <c r="C778" s="36"/>
      <c r="D778" s="43"/>
      <c r="E778" s="48"/>
      <c r="F778" s="48"/>
      <c r="G778" s="49" t="str">
        <f>IFERROR(VLOOKUP(C778,PROD!$A$2:$E$1204,5,0),"0")</f>
        <v>0</v>
      </c>
      <c r="H778" s="10">
        <f>Table_246[[#This Row],[QT]]*Table_246[[#This Row],[Custo 
Un]]</f>
        <v>0</v>
      </c>
      <c r="I778" s="52"/>
      <c r="J778" s="263">
        <f t="shared" si="42"/>
        <v>0</v>
      </c>
      <c r="K778" s="10">
        <f t="shared" si="41"/>
        <v>0</v>
      </c>
      <c r="L778" s="50">
        <f>Table_246[[#This Row],[Valor da 
venda]]-Table_246[[#This Row],[Valor gasto]]</f>
        <v>0</v>
      </c>
      <c r="M778" s="111">
        <f t="shared" si="43"/>
        <v>0</v>
      </c>
      <c r="N778" s="112"/>
      <c r="O778" s="114" t="str">
        <f>IF([1]!Table_246[[#This Row],[Coluna2]]&gt;0.5, "🔥 Excelente", IF([1]!Table_246[[#This Row],[Coluna2]]&gt;0.4, "👍 Bom", "⚠️ Baixo"))</f>
        <v>⚠️ Baixo</v>
      </c>
    </row>
    <row r="779" spans="1:15" ht="15" customHeight="1">
      <c r="A779" s="28" t="str">
        <f>IF(Table_246[[#This Row],[Data]]="","",MONTH(Table_246[[#This Row],[Data]]))</f>
        <v/>
      </c>
      <c r="B779" s="32"/>
      <c r="C779" s="36"/>
      <c r="D779" s="43"/>
      <c r="E779" s="48"/>
      <c r="F779" s="48"/>
      <c r="G779" s="49" t="str">
        <f>IFERROR(VLOOKUP(C779,PROD!$A$2:$E$1204,5,0),"0")</f>
        <v>0</v>
      </c>
      <c r="H779" s="10">
        <f>Table_246[[#This Row],[QT]]*Table_246[[#This Row],[Custo 
Un]]</f>
        <v>0</v>
      </c>
      <c r="I779" s="52"/>
      <c r="J779" s="263">
        <f t="shared" si="42"/>
        <v>0</v>
      </c>
      <c r="K779" s="10">
        <f t="shared" si="41"/>
        <v>0</v>
      </c>
      <c r="L779" s="50">
        <f>Table_246[[#This Row],[Valor da 
venda]]-Table_246[[#This Row],[Valor gasto]]</f>
        <v>0</v>
      </c>
      <c r="M779" s="111">
        <f t="shared" si="43"/>
        <v>0</v>
      </c>
      <c r="N779" s="112"/>
      <c r="O779" s="114" t="str">
        <f>IF([1]!Table_246[[#This Row],[Coluna2]]&gt;0.5, "🔥 Excelente", IF([1]!Table_246[[#This Row],[Coluna2]]&gt;0.4, "👍 Bom", "⚠️ Baixo"))</f>
        <v>⚠️ Baixo</v>
      </c>
    </row>
    <row r="780" spans="1:15" ht="15" customHeight="1">
      <c r="A780" s="28" t="str">
        <f>IF(Table_246[[#This Row],[Data]]="","",MONTH(Table_246[[#This Row],[Data]]))</f>
        <v/>
      </c>
      <c r="B780" s="32"/>
      <c r="C780" s="36"/>
      <c r="D780" s="43"/>
      <c r="E780" s="48"/>
      <c r="F780" s="48"/>
      <c r="G780" s="49" t="str">
        <f>IFERROR(VLOOKUP(C780,PROD!$A$2:$E$1204,5,0),"0")</f>
        <v>0</v>
      </c>
      <c r="H780" s="10">
        <f>Table_246[[#This Row],[QT]]*Table_246[[#This Row],[Custo 
Un]]</f>
        <v>0</v>
      </c>
      <c r="I780" s="52"/>
      <c r="J780" s="263">
        <f t="shared" si="42"/>
        <v>0</v>
      </c>
      <c r="K780" s="10">
        <f t="shared" si="41"/>
        <v>0</v>
      </c>
      <c r="L780" s="50">
        <f>Table_246[[#This Row],[Valor da 
venda]]-Table_246[[#This Row],[Valor gasto]]</f>
        <v>0</v>
      </c>
      <c r="M780" s="111">
        <f t="shared" si="43"/>
        <v>0</v>
      </c>
      <c r="N780" s="112"/>
      <c r="O780" s="114" t="str">
        <f>IF([1]!Table_246[[#This Row],[Coluna2]]&gt;0.5, "🔥 Excelente", IF([1]!Table_246[[#This Row],[Coluna2]]&gt;0.4, "👍 Bom", "⚠️ Baixo"))</f>
        <v>⚠️ Baixo</v>
      </c>
    </row>
    <row r="781" spans="1:15" ht="15" customHeight="1">
      <c r="A781" s="28" t="str">
        <f>IF(Table_246[[#This Row],[Data]]="","",MONTH(Table_246[[#This Row],[Data]]))</f>
        <v/>
      </c>
      <c r="B781" s="32"/>
      <c r="C781" s="36"/>
      <c r="D781" s="43"/>
      <c r="E781" s="48"/>
      <c r="F781" s="48"/>
      <c r="G781" s="49" t="str">
        <f>IFERROR(VLOOKUP(C781,PROD!$A$2:$E$1204,5,0),"0")</f>
        <v>0</v>
      </c>
      <c r="H781" s="10">
        <f>Table_246[[#This Row],[QT]]*Table_246[[#This Row],[Custo 
Un]]</f>
        <v>0</v>
      </c>
      <c r="I781" s="52"/>
      <c r="J781" s="263">
        <f t="shared" si="42"/>
        <v>0</v>
      </c>
      <c r="K781" s="10">
        <f t="shared" si="41"/>
        <v>0</v>
      </c>
      <c r="L781" s="50">
        <f>Table_246[[#This Row],[Valor da 
venda]]-Table_246[[#This Row],[Valor gasto]]</f>
        <v>0</v>
      </c>
      <c r="M781" s="111">
        <f t="shared" si="43"/>
        <v>0</v>
      </c>
      <c r="N781" s="112"/>
      <c r="O781" s="114" t="str">
        <f>IF([1]!Table_246[[#This Row],[Coluna2]]&gt;0.5, "🔥 Excelente", IF([1]!Table_246[[#This Row],[Coluna2]]&gt;0.4, "👍 Bom", "⚠️ Baixo"))</f>
        <v>⚠️ Baixo</v>
      </c>
    </row>
    <row r="782" spans="1:15" ht="15" customHeight="1">
      <c r="A782" s="28" t="str">
        <f>IF(Table_246[[#This Row],[Data]]="","",MONTH(Table_246[[#This Row],[Data]]))</f>
        <v/>
      </c>
      <c r="B782" s="32"/>
      <c r="C782" s="36"/>
      <c r="D782" s="43"/>
      <c r="E782" s="48"/>
      <c r="F782" s="48"/>
      <c r="G782" s="49" t="str">
        <f>IFERROR(VLOOKUP(C782,PROD!$A$2:$E$1204,5,0),"0")</f>
        <v>0</v>
      </c>
      <c r="H782" s="10">
        <f>Table_246[[#This Row],[QT]]*Table_246[[#This Row],[Custo 
Un]]</f>
        <v>0</v>
      </c>
      <c r="I782" s="52"/>
      <c r="J782" s="263">
        <f t="shared" si="42"/>
        <v>0</v>
      </c>
      <c r="K782" s="10">
        <f t="shared" si="41"/>
        <v>0</v>
      </c>
      <c r="L782" s="50">
        <f>Table_246[[#This Row],[Valor da 
venda]]-Table_246[[#This Row],[Valor gasto]]</f>
        <v>0</v>
      </c>
      <c r="M782" s="111">
        <f t="shared" si="43"/>
        <v>0</v>
      </c>
      <c r="N782" s="112"/>
      <c r="O782" s="114" t="str">
        <f>IF([1]!Table_246[[#This Row],[Coluna2]]&gt;0.5, "🔥 Excelente", IF([1]!Table_246[[#This Row],[Coluna2]]&gt;0.4, "👍 Bom", "⚠️ Baixo"))</f>
        <v>⚠️ Baixo</v>
      </c>
    </row>
    <row r="783" spans="1:15" ht="15" customHeight="1">
      <c r="A783" s="28" t="str">
        <f>IF(Table_246[[#This Row],[Data]]="","",MONTH(Table_246[[#This Row],[Data]]))</f>
        <v/>
      </c>
      <c r="B783" s="32"/>
      <c r="C783" s="36"/>
      <c r="D783" s="43"/>
      <c r="E783" s="48"/>
      <c r="F783" s="48"/>
      <c r="G783" s="49" t="str">
        <f>IFERROR(VLOOKUP(C783,PROD!$A$2:$E$1204,5,0),"0")</f>
        <v>0</v>
      </c>
      <c r="H783" s="10">
        <f>Table_246[[#This Row],[QT]]*Table_246[[#This Row],[Custo 
Un]]</f>
        <v>0</v>
      </c>
      <c r="I783" s="52"/>
      <c r="J783" s="263">
        <f t="shared" si="42"/>
        <v>0</v>
      </c>
      <c r="K783" s="10">
        <f t="shared" si="41"/>
        <v>0</v>
      </c>
      <c r="L783" s="50">
        <f>Table_246[[#This Row],[Valor da 
venda]]-Table_246[[#This Row],[Valor gasto]]</f>
        <v>0</v>
      </c>
      <c r="M783" s="111">
        <f t="shared" si="43"/>
        <v>0</v>
      </c>
      <c r="N783" s="112"/>
      <c r="O783" s="114" t="str">
        <f>IF([1]!Table_246[[#This Row],[Coluna2]]&gt;0.5, "🔥 Excelente", IF([1]!Table_246[[#This Row],[Coluna2]]&gt;0.4, "👍 Bom", "⚠️ Baixo"))</f>
        <v>⚠️ Baixo</v>
      </c>
    </row>
    <row r="784" spans="1:15" ht="15" customHeight="1">
      <c r="A784" s="28" t="str">
        <f>IF(Table_246[[#This Row],[Data]]="","",MONTH(Table_246[[#This Row],[Data]]))</f>
        <v/>
      </c>
      <c r="B784" s="32"/>
      <c r="C784" s="36"/>
      <c r="D784" s="43"/>
      <c r="E784" s="48"/>
      <c r="F784" s="48"/>
      <c r="G784" s="49" t="str">
        <f>IFERROR(VLOOKUP(C784,PROD!$A$2:$E$1204,5,0),"0")</f>
        <v>0</v>
      </c>
      <c r="H784" s="10">
        <f>Table_246[[#This Row],[QT]]*Table_246[[#This Row],[Custo 
Un]]</f>
        <v>0</v>
      </c>
      <c r="I784" s="52"/>
      <c r="J784" s="263">
        <f t="shared" si="42"/>
        <v>0</v>
      </c>
      <c r="K784" s="10">
        <f t="shared" si="41"/>
        <v>0</v>
      </c>
      <c r="L784" s="50">
        <f>Table_246[[#This Row],[Valor da 
venda]]-Table_246[[#This Row],[Valor gasto]]</f>
        <v>0</v>
      </c>
      <c r="M784" s="111">
        <f t="shared" si="43"/>
        <v>0</v>
      </c>
      <c r="N784" s="112"/>
      <c r="O784" s="114" t="str">
        <f>IF([1]!Table_246[[#This Row],[Coluna2]]&gt;0.5, "🔥 Excelente", IF([1]!Table_246[[#This Row],[Coluna2]]&gt;0.4, "👍 Bom", "⚠️ Baixo"))</f>
        <v>⚠️ Baixo</v>
      </c>
    </row>
    <row r="785" spans="1:15" ht="15" customHeight="1">
      <c r="A785" s="28" t="str">
        <f>IF(Table_246[[#This Row],[Data]]="","",MONTH(Table_246[[#This Row],[Data]]))</f>
        <v/>
      </c>
      <c r="B785" s="32"/>
      <c r="C785" s="36"/>
      <c r="D785" s="43"/>
      <c r="E785" s="48"/>
      <c r="F785" s="48"/>
      <c r="G785" s="49" t="str">
        <f>IFERROR(VLOOKUP(C785,PROD!$A$2:$E$1204,5,0),"0")</f>
        <v>0</v>
      </c>
      <c r="H785" s="10">
        <f>Table_246[[#This Row],[QT]]*Table_246[[#This Row],[Custo 
Un]]</f>
        <v>0</v>
      </c>
      <c r="I785" s="52"/>
      <c r="J785" s="263">
        <f t="shared" si="42"/>
        <v>0</v>
      </c>
      <c r="K785" s="10">
        <f t="shared" si="41"/>
        <v>0</v>
      </c>
      <c r="L785" s="50">
        <f>Table_246[[#This Row],[Valor da 
venda]]-Table_246[[#This Row],[Valor gasto]]</f>
        <v>0</v>
      </c>
      <c r="M785" s="111">
        <f t="shared" si="43"/>
        <v>0</v>
      </c>
      <c r="N785" s="112"/>
      <c r="O785" s="114" t="str">
        <f>IF([1]!Table_246[[#This Row],[Coluna2]]&gt;0.5, "🔥 Excelente", IF([1]!Table_246[[#This Row],[Coluna2]]&gt;0.4, "👍 Bom", "⚠️ Baixo"))</f>
        <v>⚠️ Baixo</v>
      </c>
    </row>
    <row r="786" spans="1:15" ht="15" customHeight="1">
      <c r="A786" s="28" t="str">
        <f>IF(Table_246[[#This Row],[Data]]="","",MONTH(Table_246[[#This Row],[Data]]))</f>
        <v/>
      </c>
      <c r="B786" s="32"/>
      <c r="C786" s="36"/>
      <c r="D786" s="43"/>
      <c r="E786" s="48"/>
      <c r="F786" s="48"/>
      <c r="G786" s="49" t="str">
        <f>IFERROR(VLOOKUP(C786,PROD!$A$2:$E$1204,5,0),"0")</f>
        <v>0</v>
      </c>
      <c r="H786" s="10">
        <f>Table_246[[#This Row],[QT]]*Table_246[[#This Row],[Custo 
Un]]</f>
        <v>0</v>
      </c>
      <c r="I786" s="52"/>
      <c r="J786" s="263">
        <f t="shared" si="42"/>
        <v>0</v>
      </c>
      <c r="K786" s="10">
        <f t="shared" si="41"/>
        <v>0</v>
      </c>
      <c r="L786" s="50">
        <f>Table_246[[#This Row],[Valor da 
venda]]-Table_246[[#This Row],[Valor gasto]]</f>
        <v>0</v>
      </c>
      <c r="M786" s="111">
        <f t="shared" si="43"/>
        <v>0</v>
      </c>
      <c r="N786" s="112"/>
      <c r="O786" s="114" t="str">
        <f>IF([1]!Table_246[[#This Row],[Coluna2]]&gt;0.5, "🔥 Excelente", IF([1]!Table_246[[#This Row],[Coluna2]]&gt;0.4, "👍 Bom", "⚠️ Baixo"))</f>
        <v>⚠️ Baixo</v>
      </c>
    </row>
    <row r="787" spans="1:15" ht="15" customHeight="1">
      <c r="A787" s="28" t="str">
        <f>IF(Table_246[[#This Row],[Data]]="","",MONTH(Table_246[[#This Row],[Data]]))</f>
        <v/>
      </c>
      <c r="B787" s="32"/>
      <c r="C787" s="36"/>
      <c r="D787" s="43"/>
      <c r="E787" s="48"/>
      <c r="F787" s="48"/>
      <c r="G787" s="49" t="str">
        <f>IFERROR(VLOOKUP(C787,PROD!$A$2:$E$1204,5,0),"0")</f>
        <v>0</v>
      </c>
      <c r="H787" s="10">
        <f>Table_246[[#This Row],[QT]]*Table_246[[#This Row],[Custo 
Un]]</f>
        <v>0</v>
      </c>
      <c r="I787" s="52"/>
      <c r="J787" s="263">
        <f t="shared" si="42"/>
        <v>0</v>
      </c>
      <c r="K787" s="10">
        <f t="shared" si="41"/>
        <v>0</v>
      </c>
      <c r="L787" s="50">
        <f>Table_246[[#This Row],[Valor da 
venda]]-Table_246[[#This Row],[Valor gasto]]</f>
        <v>0</v>
      </c>
      <c r="M787" s="111">
        <f t="shared" si="43"/>
        <v>0</v>
      </c>
      <c r="N787" s="112"/>
      <c r="O787" s="114" t="str">
        <f>IF([1]!Table_246[[#This Row],[Coluna2]]&gt;0.5, "🔥 Excelente", IF([1]!Table_246[[#This Row],[Coluna2]]&gt;0.4, "👍 Bom", "⚠️ Baixo"))</f>
        <v>⚠️ Baixo</v>
      </c>
    </row>
    <row r="788" spans="1:15" ht="15" customHeight="1">
      <c r="A788" s="28" t="str">
        <f>IF(Table_246[[#This Row],[Data]]="","",MONTH(Table_246[[#This Row],[Data]]))</f>
        <v/>
      </c>
      <c r="B788" s="32"/>
      <c r="C788" s="36"/>
      <c r="D788" s="43"/>
      <c r="E788" s="48"/>
      <c r="F788" s="48"/>
      <c r="G788" s="49" t="str">
        <f>IFERROR(VLOOKUP(C788,PROD!$A$2:$E$1204,5,0),"0")</f>
        <v>0</v>
      </c>
      <c r="H788" s="10">
        <f>Table_246[[#This Row],[QT]]*Table_246[[#This Row],[Custo 
Un]]</f>
        <v>0</v>
      </c>
      <c r="I788" s="52"/>
      <c r="J788" s="263">
        <f t="shared" si="42"/>
        <v>0</v>
      </c>
      <c r="K788" s="10">
        <f t="shared" si="41"/>
        <v>0</v>
      </c>
      <c r="L788" s="50">
        <f>Table_246[[#This Row],[Valor da 
venda]]-Table_246[[#This Row],[Valor gasto]]</f>
        <v>0</v>
      </c>
      <c r="M788" s="111">
        <f t="shared" si="43"/>
        <v>0</v>
      </c>
      <c r="N788" s="112"/>
      <c r="O788" s="114" t="str">
        <f>IF([1]!Table_246[[#This Row],[Coluna2]]&gt;0.5, "🔥 Excelente", IF([1]!Table_246[[#This Row],[Coluna2]]&gt;0.4, "👍 Bom", "⚠️ Baixo"))</f>
        <v>⚠️ Baixo</v>
      </c>
    </row>
    <row r="789" spans="1:15" ht="15" customHeight="1">
      <c r="A789" s="28" t="str">
        <f>IF(Table_246[[#This Row],[Data]]="","",MONTH(Table_246[[#This Row],[Data]]))</f>
        <v/>
      </c>
      <c r="B789" s="32"/>
      <c r="C789" s="36"/>
      <c r="D789" s="43"/>
      <c r="E789" s="48"/>
      <c r="F789" s="48"/>
      <c r="G789" s="49" t="str">
        <f>IFERROR(VLOOKUP(C789,PROD!$A$2:$E$1204,5,0),"0")</f>
        <v>0</v>
      </c>
      <c r="H789" s="10">
        <f>Table_246[[#This Row],[QT]]*Table_246[[#This Row],[Custo 
Un]]</f>
        <v>0</v>
      </c>
      <c r="I789" s="52"/>
      <c r="J789" s="263">
        <f t="shared" si="42"/>
        <v>0</v>
      </c>
      <c r="K789" s="10">
        <f t="shared" si="41"/>
        <v>0</v>
      </c>
      <c r="L789" s="50">
        <f>Table_246[[#This Row],[Valor da 
venda]]-Table_246[[#This Row],[Valor gasto]]</f>
        <v>0</v>
      </c>
      <c r="M789" s="111">
        <f t="shared" si="43"/>
        <v>0</v>
      </c>
      <c r="N789" s="112"/>
      <c r="O789" s="114" t="str">
        <f>IF([1]!Table_246[[#This Row],[Coluna2]]&gt;0.5, "🔥 Excelente", IF([1]!Table_246[[#This Row],[Coluna2]]&gt;0.4, "👍 Bom", "⚠️ Baixo"))</f>
        <v>⚠️ Baixo</v>
      </c>
    </row>
    <row r="790" spans="1:15" ht="15" customHeight="1">
      <c r="A790" s="28" t="str">
        <f>IF(Table_246[[#This Row],[Data]]="","",MONTH(Table_246[[#This Row],[Data]]))</f>
        <v/>
      </c>
      <c r="B790" s="32"/>
      <c r="C790" s="36"/>
      <c r="D790" s="43"/>
      <c r="E790" s="48"/>
      <c r="F790" s="48"/>
      <c r="G790" s="49" t="str">
        <f>IFERROR(VLOOKUP(C790,PROD!$A$2:$E$1204,5,0),"0")</f>
        <v>0</v>
      </c>
      <c r="H790" s="10">
        <f>Table_246[[#This Row],[QT]]*Table_246[[#This Row],[Custo 
Un]]</f>
        <v>0</v>
      </c>
      <c r="I790" s="52"/>
      <c r="J790" s="263">
        <f t="shared" si="42"/>
        <v>0</v>
      </c>
      <c r="K790" s="10">
        <f t="shared" si="41"/>
        <v>0</v>
      </c>
      <c r="L790" s="50">
        <f>Table_246[[#This Row],[Valor da 
venda]]-Table_246[[#This Row],[Valor gasto]]</f>
        <v>0</v>
      </c>
      <c r="M790" s="111">
        <f t="shared" si="43"/>
        <v>0</v>
      </c>
      <c r="N790" s="112"/>
      <c r="O790" s="114" t="str">
        <f>IF([1]!Table_246[[#This Row],[Coluna2]]&gt;0.5, "🔥 Excelente", IF([1]!Table_246[[#This Row],[Coluna2]]&gt;0.4, "👍 Bom", "⚠️ Baixo"))</f>
        <v>⚠️ Baixo</v>
      </c>
    </row>
    <row r="791" spans="1:15" ht="15" customHeight="1">
      <c r="A791" s="28" t="str">
        <f>IF(Table_246[[#This Row],[Data]]="","",MONTH(Table_246[[#This Row],[Data]]))</f>
        <v/>
      </c>
      <c r="B791" s="32"/>
      <c r="C791" s="36"/>
      <c r="D791" s="43"/>
      <c r="E791" s="48"/>
      <c r="F791" s="48"/>
      <c r="G791" s="49" t="str">
        <f>IFERROR(VLOOKUP(C791,PROD!$A$2:$E$1204,5,0),"0")</f>
        <v>0</v>
      </c>
      <c r="H791" s="10">
        <f>Table_246[[#This Row],[QT]]*Table_246[[#This Row],[Custo 
Un]]</f>
        <v>0</v>
      </c>
      <c r="I791" s="52"/>
      <c r="J791" s="263">
        <f t="shared" si="42"/>
        <v>0</v>
      </c>
      <c r="K791" s="10">
        <f t="shared" si="41"/>
        <v>0</v>
      </c>
      <c r="L791" s="50">
        <f>Table_246[[#This Row],[Valor da 
venda]]-Table_246[[#This Row],[Valor gasto]]</f>
        <v>0</v>
      </c>
      <c r="M791" s="111">
        <f t="shared" si="43"/>
        <v>0</v>
      </c>
      <c r="N791" s="112"/>
      <c r="O791" s="114" t="str">
        <f>IF([1]!Table_246[[#This Row],[Coluna2]]&gt;0.5, "🔥 Excelente", IF([1]!Table_246[[#This Row],[Coluna2]]&gt;0.4, "👍 Bom", "⚠️ Baixo"))</f>
        <v>⚠️ Baixo</v>
      </c>
    </row>
    <row r="792" spans="1:15" ht="15" customHeight="1">
      <c r="A792" s="28" t="str">
        <f>IF(Table_246[[#This Row],[Data]]="","",MONTH(Table_246[[#This Row],[Data]]))</f>
        <v/>
      </c>
      <c r="B792" s="32"/>
      <c r="C792" s="82"/>
      <c r="D792" s="43"/>
      <c r="E792" s="48"/>
      <c r="F792" s="48"/>
      <c r="G792" s="49" t="str">
        <f>IFERROR(VLOOKUP(C792,PROD!$A$2:$E$1204,5,0),"0")</f>
        <v>0</v>
      </c>
      <c r="H792" s="10">
        <f>Table_246[[#This Row],[QT]]*Table_246[[#This Row],[Custo 
Un]]</f>
        <v>0</v>
      </c>
      <c r="I792" s="52"/>
      <c r="J792" s="263">
        <f t="shared" si="42"/>
        <v>0</v>
      </c>
      <c r="K792" s="10">
        <f t="shared" si="41"/>
        <v>0</v>
      </c>
      <c r="L792" s="50">
        <f>Table_246[[#This Row],[Valor da 
venda]]-Table_246[[#This Row],[Valor gasto]]</f>
        <v>0</v>
      </c>
      <c r="M792" s="111">
        <f t="shared" si="43"/>
        <v>0</v>
      </c>
      <c r="N792" s="112"/>
      <c r="O792" s="114" t="str">
        <f>IF([1]!Table_246[[#This Row],[Coluna2]]&gt;0.5, "🔥 Excelente", IF([1]!Table_246[[#This Row],[Coluna2]]&gt;0.4, "👍 Bom", "⚠️ Baixo"))</f>
        <v>⚠️ Baixo</v>
      </c>
    </row>
    <row r="793" spans="1:15" ht="15" customHeight="1">
      <c r="A793" s="28" t="str">
        <f>IF(Table_246[[#This Row],[Data]]="","",MONTH(Table_246[[#This Row],[Data]]))</f>
        <v/>
      </c>
      <c r="B793" s="32"/>
      <c r="C793" s="36"/>
      <c r="D793" s="43"/>
      <c r="E793" s="48"/>
      <c r="F793" s="48"/>
      <c r="G793" s="49" t="str">
        <f>IFERROR(VLOOKUP(C793,PROD!$A$2:$E$1204,5,0),"0")</f>
        <v>0</v>
      </c>
      <c r="H793" s="10">
        <f>Table_246[[#This Row],[QT]]*Table_246[[#This Row],[Custo 
Un]]</f>
        <v>0</v>
      </c>
      <c r="I793" s="52"/>
      <c r="J793" s="263">
        <f t="shared" si="42"/>
        <v>0</v>
      </c>
      <c r="K793" s="10">
        <f t="shared" si="41"/>
        <v>0</v>
      </c>
      <c r="L793" s="50">
        <f>Table_246[[#This Row],[Valor da 
venda]]-Table_246[[#This Row],[Valor gasto]]</f>
        <v>0</v>
      </c>
      <c r="M793" s="111">
        <f t="shared" si="43"/>
        <v>0</v>
      </c>
      <c r="N793" s="112"/>
      <c r="O793" s="114" t="str">
        <f>IF([1]!Table_246[[#This Row],[Coluna2]]&gt;0.5, "🔥 Excelente", IF([1]!Table_246[[#This Row],[Coluna2]]&gt;0.4, "👍 Bom", "⚠️ Baixo"))</f>
        <v>⚠️ Baixo</v>
      </c>
    </row>
    <row r="794" spans="1:15" ht="15" customHeight="1">
      <c r="A794" s="28" t="str">
        <f>IF(Table_246[[#This Row],[Data]]="","",MONTH(Table_246[[#This Row],[Data]]))</f>
        <v/>
      </c>
      <c r="B794" s="32"/>
      <c r="C794" s="36"/>
      <c r="D794" s="43"/>
      <c r="E794" s="48"/>
      <c r="F794" s="48"/>
      <c r="G794" s="49" t="str">
        <f>IFERROR(VLOOKUP(C794,PROD!$A$2:$E$1204,5,0),"0")</f>
        <v>0</v>
      </c>
      <c r="H794" s="10">
        <f>Table_246[[#This Row],[QT]]*Table_246[[#This Row],[Custo 
Un]]</f>
        <v>0</v>
      </c>
      <c r="I794" s="52"/>
      <c r="J794" s="263">
        <f t="shared" si="42"/>
        <v>0</v>
      </c>
      <c r="K794" s="10">
        <f t="shared" si="41"/>
        <v>0</v>
      </c>
      <c r="L794" s="50">
        <f>Table_246[[#This Row],[Valor da 
venda]]-Table_246[[#This Row],[Valor gasto]]</f>
        <v>0</v>
      </c>
      <c r="M794" s="111">
        <f t="shared" si="43"/>
        <v>0</v>
      </c>
      <c r="N794" s="112"/>
      <c r="O794" s="114" t="str">
        <f>IF([1]!Table_246[[#This Row],[Coluna2]]&gt;0.5, "🔥 Excelente", IF([1]!Table_246[[#This Row],[Coluna2]]&gt;0.4, "👍 Bom", "⚠️ Baixo"))</f>
        <v>⚠️ Baixo</v>
      </c>
    </row>
    <row r="795" spans="1:15" ht="15" customHeight="1">
      <c r="A795" s="28" t="str">
        <f>IF(Table_246[[#This Row],[Data]]="","",MONTH(Table_246[[#This Row],[Data]]))</f>
        <v/>
      </c>
      <c r="B795" s="32"/>
      <c r="C795" s="36"/>
      <c r="D795" s="43"/>
      <c r="E795" s="48"/>
      <c r="F795" s="48"/>
      <c r="G795" s="49" t="str">
        <f>IFERROR(VLOOKUP(C795,PROD!$A$2:$E$1204,5,0),"0")</f>
        <v>0</v>
      </c>
      <c r="H795" s="10">
        <f>Table_246[[#This Row],[QT]]*Table_246[[#This Row],[Custo 
Un]]</f>
        <v>0</v>
      </c>
      <c r="I795" s="52"/>
      <c r="J795" s="263">
        <f t="shared" si="42"/>
        <v>0</v>
      </c>
      <c r="K795" s="10">
        <f t="shared" si="41"/>
        <v>0</v>
      </c>
      <c r="L795" s="50">
        <f>Table_246[[#This Row],[Valor da 
venda]]-Table_246[[#This Row],[Valor gasto]]</f>
        <v>0</v>
      </c>
      <c r="M795" s="111">
        <f t="shared" si="43"/>
        <v>0</v>
      </c>
      <c r="N795" s="112"/>
      <c r="O795" s="114" t="str">
        <f>IF([1]!Table_246[[#This Row],[Coluna2]]&gt;0.5, "🔥 Excelente", IF([1]!Table_246[[#This Row],[Coluna2]]&gt;0.4, "👍 Bom", "⚠️ Baixo"))</f>
        <v>⚠️ Baixo</v>
      </c>
    </row>
    <row r="796" spans="1:15" ht="15" customHeight="1">
      <c r="A796" s="28" t="str">
        <f>IF(Table_246[[#This Row],[Data]]="","",MONTH(Table_246[[#This Row],[Data]]))</f>
        <v/>
      </c>
      <c r="B796" s="32"/>
      <c r="C796" s="36"/>
      <c r="D796" s="43"/>
      <c r="E796" s="48"/>
      <c r="F796" s="48"/>
      <c r="G796" s="49" t="str">
        <f>IFERROR(VLOOKUP(C796,PROD!$A$2:$E$1204,5,0),"0")</f>
        <v>0</v>
      </c>
      <c r="H796" s="10">
        <f>Table_246[[#This Row],[QT]]*Table_246[[#This Row],[Custo 
Un]]</f>
        <v>0</v>
      </c>
      <c r="I796" s="52"/>
      <c r="J796" s="263">
        <f t="shared" si="42"/>
        <v>0</v>
      </c>
      <c r="K796" s="10">
        <f t="shared" si="41"/>
        <v>0</v>
      </c>
      <c r="L796" s="50">
        <f>Table_246[[#This Row],[Valor da 
venda]]-Table_246[[#This Row],[Valor gasto]]</f>
        <v>0</v>
      </c>
      <c r="M796" s="111">
        <f t="shared" si="43"/>
        <v>0</v>
      </c>
      <c r="N796" s="112"/>
      <c r="O796" s="114" t="str">
        <f>IF([1]!Table_246[[#This Row],[Coluna2]]&gt;0.5, "🔥 Excelente", IF([1]!Table_246[[#This Row],[Coluna2]]&gt;0.4, "👍 Bom", "⚠️ Baixo"))</f>
        <v>⚠️ Baixo</v>
      </c>
    </row>
    <row r="797" spans="1:15" ht="15" customHeight="1">
      <c r="A797" s="28" t="str">
        <f>IF(Table_246[[#This Row],[Data]]="","",MONTH(Table_246[[#This Row],[Data]]))</f>
        <v/>
      </c>
      <c r="B797" s="32"/>
      <c r="C797" s="36"/>
      <c r="D797" s="43"/>
      <c r="E797" s="48"/>
      <c r="F797" s="48"/>
      <c r="G797" s="49" t="str">
        <f>IFERROR(VLOOKUP(C797,PROD!$A$2:$E$1204,5,0),"0")</f>
        <v>0</v>
      </c>
      <c r="H797" s="10">
        <f>Table_246[[#This Row],[QT]]*Table_246[[#This Row],[Custo 
Un]]</f>
        <v>0</v>
      </c>
      <c r="I797" s="52"/>
      <c r="J797" s="263">
        <f t="shared" si="42"/>
        <v>0</v>
      </c>
      <c r="K797" s="10">
        <f t="shared" si="41"/>
        <v>0</v>
      </c>
      <c r="L797" s="50">
        <f>Table_246[[#This Row],[Valor da 
venda]]-Table_246[[#This Row],[Valor gasto]]</f>
        <v>0</v>
      </c>
      <c r="M797" s="111">
        <f t="shared" si="43"/>
        <v>0</v>
      </c>
      <c r="N797" s="112"/>
      <c r="O797" s="114" t="str">
        <f>IF([1]!Table_246[[#This Row],[Coluna2]]&gt;0.5, "🔥 Excelente", IF([1]!Table_246[[#This Row],[Coluna2]]&gt;0.4, "👍 Bom", "⚠️ Baixo"))</f>
        <v>⚠️ Baixo</v>
      </c>
    </row>
    <row r="798" spans="1:15" ht="15" customHeight="1">
      <c r="A798" s="28" t="str">
        <f>IF(Table_246[[#This Row],[Data]]="","",MONTH(Table_246[[#This Row],[Data]]))</f>
        <v/>
      </c>
      <c r="B798" s="32"/>
      <c r="C798" s="36"/>
      <c r="D798" s="43"/>
      <c r="E798" s="48"/>
      <c r="F798" s="48"/>
      <c r="G798" s="49" t="str">
        <f>IFERROR(VLOOKUP(C798,PROD!$A$2:$E$1204,5,0),"0")</f>
        <v>0</v>
      </c>
      <c r="H798" s="10">
        <f>Table_246[[#This Row],[QT]]*Table_246[[#This Row],[Custo 
Un]]</f>
        <v>0</v>
      </c>
      <c r="I798" s="52"/>
      <c r="J798" s="263">
        <f t="shared" si="42"/>
        <v>0</v>
      </c>
      <c r="K798" s="10">
        <f t="shared" si="41"/>
        <v>0</v>
      </c>
      <c r="L798" s="50">
        <f>Table_246[[#This Row],[Valor da 
venda]]-Table_246[[#This Row],[Valor gasto]]</f>
        <v>0</v>
      </c>
      <c r="M798" s="111">
        <f t="shared" si="43"/>
        <v>0</v>
      </c>
      <c r="N798" s="112"/>
      <c r="O798" s="114" t="str">
        <f>IF([1]!Table_246[[#This Row],[Coluna2]]&gt;0.5, "🔥 Excelente", IF([1]!Table_246[[#This Row],[Coluna2]]&gt;0.4, "👍 Bom", "⚠️ Baixo"))</f>
        <v>⚠️ Baixo</v>
      </c>
    </row>
    <row r="799" spans="1:15" ht="15" customHeight="1">
      <c r="A799" s="28" t="str">
        <f>IF(Table_246[[#This Row],[Data]]="","",MONTH(Table_246[[#This Row],[Data]]))</f>
        <v/>
      </c>
      <c r="B799" s="32"/>
      <c r="C799" s="36"/>
      <c r="D799" s="43"/>
      <c r="E799" s="48"/>
      <c r="F799" s="48"/>
      <c r="G799" s="49" t="str">
        <f>IFERROR(VLOOKUP(C799,PROD!$A$2:$E$1204,5,0),"0")</f>
        <v>0</v>
      </c>
      <c r="H799" s="10">
        <f>Table_246[[#This Row],[QT]]*Table_246[[#This Row],[Custo 
Un]]</f>
        <v>0</v>
      </c>
      <c r="I799" s="52"/>
      <c r="J799" s="263">
        <f t="shared" si="42"/>
        <v>0</v>
      </c>
      <c r="K799" s="10">
        <f t="shared" si="41"/>
        <v>0</v>
      </c>
      <c r="L799" s="50">
        <f>Table_246[[#This Row],[Valor da 
venda]]-Table_246[[#This Row],[Valor gasto]]</f>
        <v>0</v>
      </c>
      <c r="M799" s="111">
        <f t="shared" si="43"/>
        <v>0</v>
      </c>
      <c r="N799" s="112"/>
      <c r="O799" s="114" t="str">
        <f>IF([1]!Table_246[[#This Row],[Coluna2]]&gt;0.5, "🔥 Excelente", IF([1]!Table_246[[#This Row],[Coluna2]]&gt;0.4, "👍 Bom", "⚠️ Baixo"))</f>
        <v>⚠️ Baixo</v>
      </c>
    </row>
    <row r="800" spans="1:15" ht="15" customHeight="1">
      <c r="A800" s="28" t="str">
        <f>IF(Table_246[[#This Row],[Data]]="","",MONTH(Table_246[[#This Row],[Data]]))</f>
        <v/>
      </c>
      <c r="B800" s="32"/>
      <c r="C800" s="36"/>
      <c r="D800" s="43"/>
      <c r="E800" s="48"/>
      <c r="F800" s="48"/>
      <c r="G800" s="49" t="str">
        <f>IFERROR(VLOOKUP(C800,PROD!$A$2:$E$1204,5,0),"0")</f>
        <v>0</v>
      </c>
      <c r="H800" s="10">
        <f>Table_246[[#This Row],[QT]]*Table_246[[#This Row],[Custo 
Un]]</f>
        <v>0</v>
      </c>
      <c r="I800" s="52"/>
      <c r="J800" s="263">
        <f t="shared" si="42"/>
        <v>0</v>
      </c>
      <c r="K800" s="10">
        <f t="shared" si="41"/>
        <v>0</v>
      </c>
      <c r="L800" s="50">
        <f>Table_246[[#This Row],[Valor da 
venda]]-Table_246[[#This Row],[Valor gasto]]</f>
        <v>0</v>
      </c>
      <c r="M800" s="111">
        <f t="shared" si="43"/>
        <v>0</v>
      </c>
      <c r="N800" s="112"/>
      <c r="O800" s="114" t="str">
        <f>IF([1]!Table_246[[#This Row],[Coluna2]]&gt;0.5, "🔥 Excelente", IF([1]!Table_246[[#This Row],[Coluna2]]&gt;0.4, "👍 Bom", "⚠️ Baixo"))</f>
        <v>⚠️ Baixo</v>
      </c>
    </row>
    <row r="801" spans="1:15" ht="15" customHeight="1">
      <c r="A801" s="28" t="str">
        <f>IF(Table_246[[#This Row],[Data]]="","",MONTH(Table_246[[#This Row],[Data]]))</f>
        <v/>
      </c>
      <c r="B801" s="32"/>
      <c r="C801" s="36"/>
      <c r="D801" s="43"/>
      <c r="E801" s="48"/>
      <c r="F801" s="48"/>
      <c r="G801" s="49" t="str">
        <f>IFERROR(VLOOKUP(C801,PROD!$A$2:$E$1204,5,0),"0")</f>
        <v>0</v>
      </c>
      <c r="H801" s="10">
        <f>Table_246[[#This Row],[QT]]*Table_246[[#This Row],[Custo 
Un]]</f>
        <v>0</v>
      </c>
      <c r="I801" s="52"/>
      <c r="J801" s="263">
        <f t="shared" si="42"/>
        <v>0</v>
      </c>
      <c r="K801" s="10">
        <f t="shared" si="41"/>
        <v>0</v>
      </c>
      <c r="L801" s="50">
        <f>Table_246[[#This Row],[Valor da 
venda]]-Table_246[[#This Row],[Valor gasto]]</f>
        <v>0</v>
      </c>
      <c r="M801" s="111">
        <f t="shared" si="43"/>
        <v>0</v>
      </c>
      <c r="N801" s="112"/>
      <c r="O801" s="114" t="str">
        <f>IF([1]!Table_246[[#This Row],[Coluna2]]&gt;0.5, "🔥 Excelente", IF([1]!Table_246[[#This Row],[Coluna2]]&gt;0.4, "👍 Bom", "⚠️ Baixo"))</f>
        <v>⚠️ Baixo</v>
      </c>
    </row>
    <row r="802" spans="1:15" ht="15" customHeight="1">
      <c r="A802" s="28" t="str">
        <f>IF(Table_246[[#This Row],[Data]]="","",MONTH(Table_246[[#This Row],[Data]]))</f>
        <v/>
      </c>
      <c r="B802" s="32"/>
      <c r="C802" s="36"/>
      <c r="D802" s="43"/>
      <c r="E802" s="48"/>
      <c r="F802" s="48"/>
      <c r="G802" s="49" t="str">
        <f>IFERROR(VLOOKUP(C802,PROD!$A$2:$E$1204,5,0),"0")</f>
        <v>0</v>
      </c>
      <c r="H802" s="10">
        <f>Table_246[[#This Row],[QT]]*Table_246[[#This Row],[Custo 
Un]]</f>
        <v>0</v>
      </c>
      <c r="I802" s="52"/>
      <c r="J802" s="263">
        <f t="shared" si="42"/>
        <v>0</v>
      </c>
      <c r="K802" s="10">
        <f t="shared" si="41"/>
        <v>0</v>
      </c>
      <c r="L802" s="50">
        <f>Table_246[[#This Row],[Valor da 
venda]]-Table_246[[#This Row],[Valor gasto]]</f>
        <v>0</v>
      </c>
      <c r="M802" s="111">
        <f t="shared" si="43"/>
        <v>0</v>
      </c>
      <c r="N802" s="112"/>
      <c r="O802" s="114" t="str">
        <f>IF([1]!Table_246[[#This Row],[Coluna2]]&gt;0.5, "🔥 Excelente", IF([1]!Table_246[[#This Row],[Coluna2]]&gt;0.4, "👍 Bom", "⚠️ Baixo"))</f>
        <v>⚠️ Baixo</v>
      </c>
    </row>
    <row r="803" spans="1:15" ht="15" customHeight="1">
      <c r="A803" s="28" t="str">
        <f>IF(Table_246[[#This Row],[Data]]="","",MONTH(Table_246[[#This Row],[Data]]))</f>
        <v/>
      </c>
      <c r="B803" s="32"/>
      <c r="C803" s="36"/>
      <c r="D803" s="43"/>
      <c r="E803" s="48"/>
      <c r="F803" s="48"/>
      <c r="G803" s="49" t="str">
        <f>IFERROR(VLOOKUP(C803,PROD!$A$2:$E$1204,5,0),"0")</f>
        <v>0</v>
      </c>
      <c r="H803" s="10">
        <f>Table_246[[#This Row],[QT]]*Table_246[[#This Row],[Custo 
Un]]</f>
        <v>0</v>
      </c>
      <c r="I803" s="52"/>
      <c r="J803" s="263">
        <f t="shared" si="42"/>
        <v>0</v>
      </c>
      <c r="K803" s="10">
        <f t="shared" si="41"/>
        <v>0</v>
      </c>
      <c r="L803" s="50">
        <f>Table_246[[#This Row],[Valor da 
venda]]-Table_246[[#This Row],[Valor gasto]]</f>
        <v>0</v>
      </c>
      <c r="M803" s="111">
        <f t="shared" si="43"/>
        <v>0</v>
      </c>
      <c r="N803" s="112"/>
      <c r="O803" s="114" t="str">
        <f>IF([1]!Table_246[[#This Row],[Coluna2]]&gt;0.5, "🔥 Excelente", IF([1]!Table_246[[#This Row],[Coluna2]]&gt;0.4, "👍 Bom", "⚠️ Baixo"))</f>
        <v>⚠️ Baixo</v>
      </c>
    </row>
    <row r="804" spans="1:15" ht="15" customHeight="1">
      <c r="A804" s="28" t="str">
        <f>IF(Table_246[[#This Row],[Data]]="","",MONTH(Table_246[[#This Row],[Data]]))</f>
        <v/>
      </c>
      <c r="B804" s="32"/>
      <c r="C804" s="36"/>
      <c r="D804" s="43"/>
      <c r="E804" s="48"/>
      <c r="F804" s="48"/>
      <c r="G804" s="49" t="str">
        <f>IFERROR(VLOOKUP(C804,PROD!$A$2:$E$1204,5,0),"0")</f>
        <v>0</v>
      </c>
      <c r="H804" s="10">
        <f>Table_246[[#This Row],[QT]]*Table_246[[#This Row],[Custo 
Un]]</f>
        <v>0</v>
      </c>
      <c r="I804" s="52"/>
      <c r="J804" s="263">
        <f t="shared" si="42"/>
        <v>0</v>
      </c>
      <c r="K804" s="10">
        <f t="shared" si="41"/>
        <v>0</v>
      </c>
      <c r="L804" s="50">
        <f>Table_246[[#This Row],[Valor da 
venda]]-Table_246[[#This Row],[Valor gasto]]</f>
        <v>0</v>
      </c>
      <c r="M804" s="111">
        <f t="shared" si="43"/>
        <v>0</v>
      </c>
      <c r="N804" s="112"/>
      <c r="O804" s="114" t="str">
        <f>IF([1]!Table_246[[#This Row],[Coluna2]]&gt;0.5, "🔥 Excelente", IF([1]!Table_246[[#This Row],[Coluna2]]&gt;0.4, "👍 Bom", "⚠️ Baixo"))</f>
        <v>⚠️ Baixo</v>
      </c>
    </row>
    <row r="805" spans="1:15" ht="15" customHeight="1">
      <c r="A805" s="28" t="str">
        <f>IF(Table_246[[#This Row],[Data]]="","",MONTH(Table_246[[#This Row],[Data]]))</f>
        <v/>
      </c>
      <c r="B805" s="32"/>
      <c r="C805" s="36"/>
      <c r="D805" s="43"/>
      <c r="E805" s="48"/>
      <c r="F805" s="48"/>
      <c r="G805" s="49" t="str">
        <f>IFERROR(VLOOKUP(C805,PROD!$A$2:$E$1204,5,0),"0")</f>
        <v>0</v>
      </c>
      <c r="H805" s="10">
        <f>Table_246[[#This Row],[QT]]*Table_246[[#This Row],[Custo 
Un]]</f>
        <v>0</v>
      </c>
      <c r="I805" s="52"/>
      <c r="J805" s="263">
        <f t="shared" si="42"/>
        <v>0</v>
      </c>
      <c r="K805" s="10">
        <f t="shared" si="41"/>
        <v>0</v>
      </c>
      <c r="L805" s="50">
        <f>Table_246[[#This Row],[Valor da 
venda]]-Table_246[[#This Row],[Valor gasto]]</f>
        <v>0</v>
      </c>
      <c r="M805" s="111">
        <f t="shared" si="43"/>
        <v>0</v>
      </c>
      <c r="N805" s="112"/>
      <c r="O805" s="114" t="str">
        <f>IF([1]!Table_246[[#This Row],[Coluna2]]&gt;0.5, "🔥 Excelente", IF([1]!Table_246[[#This Row],[Coluna2]]&gt;0.4, "👍 Bom", "⚠️ Baixo"))</f>
        <v>⚠️ Baixo</v>
      </c>
    </row>
    <row r="806" spans="1:15" ht="15" customHeight="1">
      <c r="A806" s="28" t="str">
        <f>IF(Table_246[[#This Row],[Data]]="","",MONTH(Table_246[[#This Row],[Data]]))</f>
        <v/>
      </c>
      <c r="B806" s="32"/>
      <c r="C806" s="36"/>
      <c r="D806" s="43"/>
      <c r="E806" s="48"/>
      <c r="F806" s="48"/>
      <c r="G806" s="49" t="str">
        <f>IFERROR(VLOOKUP(C806,PROD!$A$2:$E$1204,5,0),"0")</f>
        <v>0</v>
      </c>
      <c r="H806" s="10">
        <f>Table_246[[#This Row],[QT]]*Table_246[[#This Row],[Custo 
Un]]</f>
        <v>0</v>
      </c>
      <c r="I806" s="52"/>
      <c r="J806" s="263">
        <f t="shared" si="42"/>
        <v>0</v>
      </c>
      <c r="K806" s="10">
        <f t="shared" si="41"/>
        <v>0</v>
      </c>
      <c r="L806" s="50">
        <f>Table_246[[#This Row],[Valor da 
venda]]-Table_246[[#This Row],[Valor gasto]]</f>
        <v>0</v>
      </c>
      <c r="M806" s="111">
        <f t="shared" si="43"/>
        <v>0</v>
      </c>
      <c r="N806" s="112"/>
      <c r="O806" s="114" t="str">
        <f>IF([1]!Table_246[[#This Row],[Coluna2]]&gt;0.5, "🔥 Excelente", IF([1]!Table_246[[#This Row],[Coluna2]]&gt;0.4, "👍 Bom", "⚠️ Baixo"))</f>
        <v>⚠️ Baixo</v>
      </c>
    </row>
    <row r="807" spans="1:15" ht="15" customHeight="1">
      <c r="A807" s="28" t="str">
        <f>IF(Table_246[[#This Row],[Data]]="","",MONTH(Table_246[[#This Row],[Data]]))</f>
        <v/>
      </c>
      <c r="B807" s="32"/>
      <c r="C807" s="36"/>
      <c r="D807" s="43"/>
      <c r="E807" s="48"/>
      <c r="F807" s="48"/>
      <c r="G807" s="49" t="str">
        <f>IFERROR(VLOOKUP(C807,PROD!$A$2:$E$1204,5,0),"0")</f>
        <v>0</v>
      </c>
      <c r="H807" s="10">
        <f>Table_246[[#This Row],[QT]]*Table_246[[#This Row],[Custo 
Un]]</f>
        <v>0</v>
      </c>
      <c r="I807" s="52"/>
      <c r="J807" s="263">
        <f t="shared" si="42"/>
        <v>0</v>
      </c>
      <c r="K807" s="10">
        <f t="shared" si="41"/>
        <v>0</v>
      </c>
      <c r="L807" s="50">
        <f>Table_246[[#This Row],[Valor da 
venda]]-Table_246[[#This Row],[Valor gasto]]</f>
        <v>0</v>
      </c>
      <c r="M807" s="111">
        <f t="shared" si="43"/>
        <v>0</v>
      </c>
      <c r="N807" s="112"/>
      <c r="O807" s="114" t="str">
        <f>IF([1]!Table_246[[#This Row],[Coluna2]]&gt;0.5, "🔥 Excelente", IF([1]!Table_246[[#This Row],[Coluna2]]&gt;0.4, "👍 Bom", "⚠️ Baixo"))</f>
        <v>⚠️ Baixo</v>
      </c>
    </row>
    <row r="808" spans="1:15" ht="15" customHeight="1">
      <c r="A808" s="28" t="str">
        <f>IF(Table_246[[#This Row],[Data]]="","",MONTH(Table_246[[#This Row],[Data]]))</f>
        <v/>
      </c>
      <c r="B808" s="32"/>
      <c r="C808" s="36"/>
      <c r="D808" s="43"/>
      <c r="E808" s="48"/>
      <c r="F808" s="48"/>
      <c r="G808" s="49" t="str">
        <f>IFERROR(VLOOKUP(C808,PROD!$A$2:$E$1204,5,0),"0")</f>
        <v>0</v>
      </c>
      <c r="H808" s="10">
        <f>Table_246[[#This Row],[QT]]*Table_246[[#This Row],[Custo 
Un]]</f>
        <v>0</v>
      </c>
      <c r="I808" s="52"/>
      <c r="J808" s="263">
        <f t="shared" si="42"/>
        <v>0</v>
      </c>
      <c r="K808" s="10">
        <f t="shared" si="41"/>
        <v>0</v>
      </c>
      <c r="L808" s="50">
        <f>Table_246[[#This Row],[Valor da 
venda]]-Table_246[[#This Row],[Valor gasto]]</f>
        <v>0</v>
      </c>
      <c r="M808" s="111">
        <f t="shared" si="43"/>
        <v>0</v>
      </c>
      <c r="N808" s="112"/>
      <c r="O808" s="114" t="str">
        <f>IF([1]!Table_246[[#This Row],[Coluna2]]&gt;0.5, "🔥 Excelente", IF([1]!Table_246[[#This Row],[Coluna2]]&gt;0.4, "👍 Bom", "⚠️ Baixo"))</f>
        <v>⚠️ Baixo</v>
      </c>
    </row>
    <row r="809" spans="1:15" ht="15" customHeight="1">
      <c r="A809" s="28" t="str">
        <f>IF(Table_246[[#This Row],[Data]]="","",MONTH(Table_246[[#This Row],[Data]]))</f>
        <v/>
      </c>
      <c r="B809" s="32"/>
      <c r="C809" s="36"/>
      <c r="D809" s="43"/>
      <c r="E809" s="48"/>
      <c r="F809" s="48"/>
      <c r="G809" s="49" t="str">
        <f>IFERROR(VLOOKUP(C809,PROD!$A$2:$E$1204,5,0),"0")</f>
        <v>0</v>
      </c>
      <c r="H809" s="10">
        <f>Table_246[[#This Row],[QT]]*Table_246[[#This Row],[Custo 
Un]]</f>
        <v>0</v>
      </c>
      <c r="I809" s="52"/>
      <c r="J809" s="263">
        <f t="shared" si="42"/>
        <v>0</v>
      </c>
      <c r="K809" s="10">
        <f t="shared" si="41"/>
        <v>0</v>
      </c>
      <c r="L809" s="50">
        <f>Table_246[[#This Row],[Valor da 
venda]]-Table_246[[#This Row],[Valor gasto]]</f>
        <v>0</v>
      </c>
      <c r="M809" s="111">
        <f t="shared" si="43"/>
        <v>0</v>
      </c>
      <c r="N809" s="112"/>
      <c r="O809" s="114" t="str">
        <f>IF([1]!Table_246[[#This Row],[Coluna2]]&gt;0.5, "🔥 Excelente", IF([1]!Table_246[[#This Row],[Coluna2]]&gt;0.4, "👍 Bom", "⚠️ Baixo"))</f>
        <v>⚠️ Baixo</v>
      </c>
    </row>
    <row r="810" spans="1:15" ht="15" customHeight="1">
      <c r="A810" s="28" t="str">
        <f>IF(Table_246[[#This Row],[Data]]="","",MONTH(Table_246[[#This Row],[Data]]))</f>
        <v/>
      </c>
      <c r="B810" s="32"/>
      <c r="C810" s="36"/>
      <c r="D810" s="43"/>
      <c r="E810" s="48"/>
      <c r="F810" s="48"/>
      <c r="G810" s="49" t="str">
        <f>IFERROR(VLOOKUP(C810,PROD!$A$2:$E$1204,5,0),"0")</f>
        <v>0</v>
      </c>
      <c r="H810" s="10">
        <f>Table_246[[#This Row],[QT]]*Table_246[[#This Row],[Custo 
Un]]</f>
        <v>0</v>
      </c>
      <c r="I810" s="52"/>
      <c r="J810" s="263">
        <f t="shared" si="42"/>
        <v>0</v>
      </c>
      <c r="K810" s="10">
        <f t="shared" si="41"/>
        <v>0</v>
      </c>
      <c r="L810" s="50">
        <f>Table_246[[#This Row],[Valor da 
venda]]-Table_246[[#This Row],[Valor gasto]]</f>
        <v>0</v>
      </c>
      <c r="M810" s="111">
        <f t="shared" si="43"/>
        <v>0</v>
      </c>
      <c r="N810" s="112"/>
      <c r="O810" s="114" t="str">
        <f>IF([1]!Table_246[[#This Row],[Coluna2]]&gt;0.5, "🔥 Excelente", IF([1]!Table_246[[#This Row],[Coluna2]]&gt;0.4, "👍 Bom", "⚠️ Baixo"))</f>
        <v>⚠️ Baixo</v>
      </c>
    </row>
    <row r="811" spans="1:15" ht="15" customHeight="1">
      <c r="A811" s="28" t="str">
        <f>IF(Table_246[[#This Row],[Data]]="","",MONTH(Table_246[[#This Row],[Data]]))</f>
        <v/>
      </c>
      <c r="B811" s="32"/>
      <c r="C811" s="36"/>
      <c r="D811" s="43"/>
      <c r="E811" s="48"/>
      <c r="F811" s="48"/>
      <c r="G811" s="49" t="str">
        <f>IFERROR(VLOOKUP(C811,PROD!$A$2:$E$1204,5,0),"0")</f>
        <v>0</v>
      </c>
      <c r="H811" s="10">
        <f>Table_246[[#This Row],[QT]]*Table_246[[#This Row],[Custo 
Un]]</f>
        <v>0</v>
      </c>
      <c r="I811" s="52"/>
      <c r="J811" s="263">
        <f t="shared" si="42"/>
        <v>0</v>
      </c>
      <c r="K811" s="10">
        <f t="shared" si="41"/>
        <v>0</v>
      </c>
      <c r="L811" s="50">
        <f>Table_246[[#This Row],[Valor da 
venda]]-Table_246[[#This Row],[Valor gasto]]</f>
        <v>0</v>
      </c>
      <c r="M811" s="111">
        <f t="shared" si="43"/>
        <v>0</v>
      </c>
      <c r="N811" s="112"/>
      <c r="O811" s="114" t="str">
        <f>IF([1]!Table_246[[#This Row],[Coluna2]]&gt;0.5, "🔥 Excelente", IF([1]!Table_246[[#This Row],[Coluna2]]&gt;0.4, "👍 Bom", "⚠️ Baixo"))</f>
        <v>⚠️ Baixo</v>
      </c>
    </row>
    <row r="812" spans="1:15" ht="15" customHeight="1">
      <c r="A812" s="28" t="str">
        <f>IF(Table_246[[#This Row],[Data]]="","",MONTH(Table_246[[#This Row],[Data]]))</f>
        <v/>
      </c>
      <c r="B812" s="32"/>
      <c r="C812" s="36"/>
      <c r="D812" s="43"/>
      <c r="E812" s="48"/>
      <c r="F812" s="48"/>
      <c r="G812" s="49" t="str">
        <f>IFERROR(VLOOKUP(C812,PROD!$A$2:$E$1204,5,0),"0")</f>
        <v>0</v>
      </c>
      <c r="H812" s="10">
        <f>Table_246[[#This Row],[QT]]*Table_246[[#This Row],[Custo 
Un]]</f>
        <v>0</v>
      </c>
      <c r="I812" s="52"/>
      <c r="J812" s="263">
        <f t="shared" si="42"/>
        <v>0</v>
      </c>
      <c r="K812" s="10">
        <f t="shared" si="41"/>
        <v>0</v>
      </c>
      <c r="L812" s="50">
        <f>Table_246[[#This Row],[Valor da 
venda]]-Table_246[[#This Row],[Valor gasto]]</f>
        <v>0</v>
      </c>
      <c r="M812" s="111">
        <f t="shared" si="43"/>
        <v>0</v>
      </c>
      <c r="N812" s="112"/>
      <c r="O812" s="114" t="str">
        <f>IF([1]!Table_246[[#This Row],[Coluna2]]&gt;0.5, "🔥 Excelente", IF([1]!Table_246[[#This Row],[Coluna2]]&gt;0.4, "👍 Bom", "⚠️ Baixo"))</f>
        <v>⚠️ Baixo</v>
      </c>
    </row>
    <row r="813" spans="1:15" ht="15" customHeight="1">
      <c r="A813" s="28" t="str">
        <f>IF(Table_246[[#This Row],[Data]]="","",MONTH(Table_246[[#This Row],[Data]]))</f>
        <v/>
      </c>
      <c r="B813" s="32"/>
      <c r="C813" s="36"/>
      <c r="D813" s="43"/>
      <c r="E813" s="48"/>
      <c r="F813" s="48"/>
      <c r="G813" s="49" t="str">
        <f>IFERROR(VLOOKUP(C813,PROD!$A$2:$E$1204,5,0),"0")</f>
        <v>0</v>
      </c>
      <c r="H813" s="10">
        <f>Table_246[[#This Row],[QT]]*Table_246[[#This Row],[Custo 
Un]]</f>
        <v>0</v>
      </c>
      <c r="I813" s="52"/>
      <c r="J813" s="263">
        <f t="shared" si="42"/>
        <v>0</v>
      </c>
      <c r="K813" s="10">
        <f t="shared" si="41"/>
        <v>0</v>
      </c>
      <c r="L813" s="50">
        <f>Table_246[[#This Row],[Valor da 
venda]]-Table_246[[#This Row],[Valor gasto]]</f>
        <v>0</v>
      </c>
      <c r="M813" s="111">
        <f t="shared" si="43"/>
        <v>0</v>
      </c>
      <c r="N813" s="112"/>
      <c r="O813" s="114" t="str">
        <f>IF([1]!Table_246[[#This Row],[Coluna2]]&gt;0.5, "🔥 Excelente", IF([1]!Table_246[[#This Row],[Coluna2]]&gt;0.4, "👍 Bom", "⚠️ Baixo"))</f>
        <v>⚠️ Baixo</v>
      </c>
    </row>
    <row r="814" spans="1:15" ht="15" customHeight="1">
      <c r="A814" s="28" t="str">
        <f>IF(Table_246[[#This Row],[Data]]="","",MONTH(Table_246[[#This Row],[Data]]))</f>
        <v/>
      </c>
      <c r="B814" s="32"/>
      <c r="C814" s="36"/>
      <c r="D814" s="43"/>
      <c r="E814" s="48"/>
      <c r="F814" s="48"/>
      <c r="G814" s="49" t="str">
        <f>IFERROR(VLOOKUP(C814,PROD!$A$2:$E$1204,5,0),"0")</f>
        <v>0</v>
      </c>
      <c r="H814" s="10">
        <f>Table_246[[#This Row],[QT]]*Table_246[[#This Row],[Custo 
Un]]</f>
        <v>0</v>
      </c>
      <c r="I814" s="52"/>
      <c r="J814" s="263">
        <f t="shared" si="42"/>
        <v>0</v>
      </c>
      <c r="K814" s="10">
        <f t="shared" si="41"/>
        <v>0</v>
      </c>
      <c r="L814" s="50">
        <f>Table_246[[#This Row],[Valor da 
venda]]-Table_246[[#This Row],[Valor gasto]]</f>
        <v>0</v>
      </c>
      <c r="M814" s="111">
        <f t="shared" si="43"/>
        <v>0</v>
      </c>
      <c r="N814" s="112"/>
      <c r="O814" s="114" t="str">
        <f>IF([1]!Table_246[[#This Row],[Coluna2]]&gt;0.5, "🔥 Excelente", IF([1]!Table_246[[#This Row],[Coluna2]]&gt;0.4, "👍 Bom", "⚠️ Baixo"))</f>
        <v>⚠️ Baixo</v>
      </c>
    </row>
    <row r="815" spans="1:15" ht="15" customHeight="1">
      <c r="A815" s="28" t="str">
        <f>IF(Table_246[[#This Row],[Data]]="","",MONTH(Table_246[[#This Row],[Data]]))</f>
        <v/>
      </c>
      <c r="B815" s="32"/>
      <c r="C815" s="36"/>
      <c r="D815" s="43"/>
      <c r="E815" s="48"/>
      <c r="F815" s="48"/>
      <c r="G815" s="49" t="str">
        <f>IFERROR(VLOOKUP(C815,PROD!$A$2:$E$1204,5,0),"0")</f>
        <v>0</v>
      </c>
      <c r="H815" s="10">
        <f>Table_246[[#This Row],[QT]]*Table_246[[#This Row],[Custo 
Un]]</f>
        <v>0</v>
      </c>
      <c r="I815" s="52"/>
      <c r="J815" s="263">
        <f t="shared" si="42"/>
        <v>0</v>
      </c>
      <c r="K815" s="10">
        <f t="shared" si="41"/>
        <v>0</v>
      </c>
      <c r="L815" s="50">
        <f>Table_246[[#This Row],[Valor da 
venda]]-Table_246[[#This Row],[Valor gasto]]</f>
        <v>0</v>
      </c>
      <c r="M815" s="111">
        <f t="shared" si="43"/>
        <v>0</v>
      </c>
      <c r="N815" s="112"/>
      <c r="O815" s="114" t="str">
        <f>IF([1]!Table_246[[#This Row],[Coluna2]]&gt;0.5, "🔥 Excelente", IF([1]!Table_246[[#This Row],[Coluna2]]&gt;0.4, "👍 Bom", "⚠️ Baixo"))</f>
        <v>⚠️ Baixo</v>
      </c>
    </row>
    <row r="816" spans="1:15" ht="15" customHeight="1">
      <c r="A816" s="28" t="str">
        <f>IF(Table_246[[#This Row],[Data]]="","",MONTH(Table_246[[#This Row],[Data]]))</f>
        <v/>
      </c>
      <c r="B816" s="32"/>
      <c r="C816" s="36"/>
      <c r="D816" s="43"/>
      <c r="E816" s="48"/>
      <c r="F816" s="48"/>
      <c r="G816" s="49" t="str">
        <f>IFERROR(VLOOKUP(C816,PROD!$A$2:$E$1204,5,0),"0")</f>
        <v>0</v>
      </c>
      <c r="H816" s="10">
        <f>Table_246[[#This Row],[QT]]*Table_246[[#This Row],[Custo 
Un]]</f>
        <v>0</v>
      </c>
      <c r="I816" s="52"/>
      <c r="J816" s="263">
        <f t="shared" si="42"/>
        <v>0</v>
      </c>
      <c r="K816" s="10">
        <f t="shared" si="41"/>
        <v>0</v>
      </c>
      <c r="L816" s="50">
        <f>Table_246[[#This Row],[Valor da 
venda]]-Table_246[[#This Row],[Valor gasto]]</f>
        <v>0</v>
      </c>
      <c r="M816" s="111">
        <f t="shared" si="43"/>
        <v>0</v>
      </c>
      <c r="N816" s="112"/>
      <c r="O816" s="114" t="str">
        <f>IF([1]!Table_246[[#This Row],[Coluna2]]&gt;0.5, "🔥 Excelente", IF([1]!Table_246[[#This Row],[Coluna2]]&gt;0.4, "👍 Bom", "⚠️ Baixo"))</f>
        <v>⚠️ Baixo</v>
      </c>
    </row>
    <row r="817" spans="1:15" ht="15" customHeight="1">
      <c r="A817" s="28" t="str">
        <f>IF(Table_246[[#This Row],[Data]]="","",MONTH(Table_246[[#This Row],[Data]]))</f>
        <v/>
      </c>
      <c r="B817" s="32"/>
      <c r="C817" s="36"/>
      <c r="D817" s="43"/>
      <c r="E817" s="48"/>
      <c r="F817" s="48"/>
      <c r="G817" s="49" t="str">
        <f>IFERROR(VLOOKUP(C817,PROD!$A$2:$E$1204,5,0),"0")</f>
        <v>0</v>
      </c>
      <c r="H817" s="10">
        <f>Table_246[[#This Row],[QT]]*Table_246[[#This Row],[Custo 
Un]]</f>
        <v>0</v>
      </c>
      <c r="I817" s="52"/>
      <c r="J817" s="263">
        <f t="shared" si="42"/>
        <v>0</v>
      </c>
      <c r="K817" s="10">
        <f t="shared" si="41"/>
        <v>0</v>
      </c>
      <c r="L817" s="50">
        <f>Table_246[[#This Row],[Valor da 
venda]]-Table_246[[#This Row],[Valor gasto]]</f>
        <v>0</v>
      </c>
      <c r="M817" s="111">
        <f t="shared" si="43"/>
        <v>0</v>
      </c>
      <c r="N817" s="112"/>
      <c r="O817" s="114" t="str">
        <f>IF([1]!Table_246[[#This Row],[Coluna2]]&gt;0.5, "🔥 Excelente", IF([1]!Table_246[[#This Row],[Coluna2]]&gt;0.4, "👍 Bom", "⚠️ Baixo"))</f>
        <v>⚠️ Baixo</v>
      </c>
    </row>
    <row r="818" spans="1:15" ht="15" customHeight="1">
      <c r="A818" s="28" t="str">
        <f>IF(Table_246[[#This Row],[Data]]="","",MONTH(Table_246[[#This Row],[Data]]))</f>
        <v/>
      </c>
      <c r="B818" s="32"/>
      <c r="C818" s="36"/>
      <c r="D818" s="43"/>
      <c r="E818" s="48"/>
      <c r="F818" s="48"/>
      <c r="G818" s="49" t="str">
        <f>IFERROR(VLOOKUP(C818,PROD!$A$2:$E$1204,5,0),"0")</f>
        <v>0</v>
      </c>
      <c r="H818" s="10">
        <f>Table_246[[#This Row],[QT]]*Table_246[[#This Row],[Custo 
Un]]</f>
        <v>0</v>
      </c>
      <c r="I818" s="52"/>
      <c r="J818" s="263">
        <f t="shared" si="42"/>
        <v>0</v>
      </c>
      <c r="K818" s="10">
        <f t="shared" si="41"/>
        <v>0</v>
      </c>
      <c r="L818" s="50">
        <f>Table_246[[#This Row],[Valor da 
venda]]-Table_246[[#This Row],[Valor gasto]]</f>
        <v>0</v>
      </c>
      <c r="M818" s="111">
        <f t="shared" si="43"/>
        <v>0</v>
      </c>
      <c r="N818" s="112"/>
      <c r="O818" s="114" t="str">
        <f>IF([1]!Table_246[[#This Row],[Coluna2]]&gt;0.5, "🔥 Excelente", IF([1]!Table_246[[#This Row],[Coluna2]]&gt;0.4, "👍 Bom", "⚠️ Baixo"))</f>
        <v>⚠️ Baixo</v>
      </c>
    </row>
    <row r="819" spans="1:15" ht="15" customHeight="1">
      <c r="A819" s="28" t="str">
        <f>IF(Table_246[[#This Row],[Data]]="","",MONTH(Table_246[[#This Row],[Data]]))</f>
        <v/>
      </c>
      <c r="B819" s="32"/>
      <c r="C819" s="36"/>
      <c r="D819" s="43"/>
      <c r="E819" s="48"/>
      <c r="F819" s="48"/>
      <c r="G819" s="49" t="str">
        <f>IFERROR(VLOOKUP(C819,PROD!$A$2:$E$1204,5,0),"0")</f>
        <v>0</v>
      </c>
      <c r="H819" s="10">
        <f>Table_246[[#This Row],[QT]]*Table_246[[#This Row],[Custo 
Un]]</f>
        <v>0</v>
      </c>
      <c r="I819" s="52"/>
      <c r="J819" s="263">
        <f t="shared" si="42"/>
        <v>0</v>
      </c>
      <c r="K819" s="10">
        <f t="shared" si="41"/>
        <v>0</v>
      </c>
      <c r="L819" s="50">
        <f>Table_246[[#This Row],[Valor da 
venda]]-Table_246[[#This Row],[Valor gasto]]</f>
        <v>0</v>
      </c>
      <c r="M819" s="111">
        <f t="shared" si="43"/>
        <v>0</v>
      </c>
      <c r="N819" s="112"/>
      <c r="O819" s="114" t="str">
        <f>IF([1]!Table_246[[#This Row],[Coluna2]]&gt;0.5, "🔥 Excelente", IF([1]!Table_246[[#This Row],[Coluna2]]&gt;0.4, "👍 Bom", "⚠️ Baixo"))</f>
        <v>⚠️ Baixo</v>
      </c>
    </row>
    <row r="820" spans="1:15" ht="15" customHeight="1">
      <c r="A820" s="28" t="str">
        <f>IF(Table_246[[#This Row],[Data]]="","",MONTH(Table_246[[#This Row],[Data]]))</f>
        <v/>
      </c>
      <c r="B820" s="32"/>
      <c r="C820" s="36"/>
      <c r="D820" s="43"/>
      <c r="E820" s="48"/>
      <c r="F820" s="48"/>
      <c r="G820" s="49" t="str">
        <f>IFERROR(VLOOKUP(C820,PROD!$A$2:$E$1204,5,0),"0")</f>
        <v>0</v>
      </c>
      <c r="H820" s="10">
        <f>Table_246[[#This Row],[QT]]*Table_246[[#This Row],[Custo 
Un]]</f>
        <v>0</v>
      </c>
      <c r="I820" s="52"/>
      <c r="J820" s="263">
        <f t="shared" si="42"/>
        <v>0</v>
      </c>
      <c r="K820" s="10">
        <f t="shared" ref="K820:K883" si="44">I820*D820</f>
        <v>0</v>
      </c>
      <c r="L820" s="50">
        <f>Table_246[[#This Row],[Valor da 
venda]]-Table_246[[#This Row],[Valor gasto]]</f>
        <v>0</v>
      </c>
      <c r="M820" s="111">
        <f t="shared" si="43"/>
        <v>0</v>
      </c>
      <c r="N820" s="112"/>
      <c r="O820" s="114" t="str">
        <f>IF([1]!Table_246[[#This Row],[Coluna2]]&gt;0.5, "🔥 Excelente", IF([1]!Table_246[[#This Row],[Coluna2]]&gt;0.4, "👍 Bom", "⚠️ Baixo"))</f>
        <v>⚠️ Baixo</v>
      </c>
    </row>
    <row r="821" spans="1:15" ht="15" customHeight="1">
      <c r="A821" s="28" t="str">
        <f>IF(Table_246[[#This Row],[Data]]="","",MONTH(Table_246[[#This Row],[Data]]))</f>
        <v/>
      </c>
      <c r="B821" s="32"/>
      <c r="C821" s="36"/>
      <c r="D821" s="43"/>
      <c r="E821" s="48"/>
      <c r="F821" s="48"/>
      <c r="G821" s="49" t="str">
        <f>IFERROR(VLOOKUP(C821,PROD!$A$2:$E$1204,5,0),"0")</f>
        <v>0</v>
      </c>
      <c r="H821" s="10">
        <f>Table_246[[#This Row],[QT]]*Table_246[[#This Row],[Custo 
Un]]</f>
        <v>0</v>
      </c>
      <c r="I821" s="52"/>
      <c r="J821" s="263">
        <f t="shared" si="42"/>
        <v>0</v>
      </c>
      <c r="K821" s="10">
        <f t="shared" si="44"/>
        <v>0</v>
      </c>
      <c r="L821" s="50">
        <f>Table_246[[#This Row],[Valor da 
venda]]-Table_246[[#This Row],[Valor gasto]]</f>
        <v>0</v>
      </c>
      <c r="M821" s="111">
        <f t="shared" si="43"/>
        <v>0</v>
      </c>
      <c r="N821" s="112"/>
      <c r="O821" s="114" t="str">
        <f>IF([1]!Table_246[[#This Row],[Coluna2]]&gt;0.5, "🔥 Excelente", IF([1]!Table_246[[#This Row],[Coluna2]]&gt;0.4, "👍 Bom", "⚠️ Baixo"))</f>
        <v>⚠️ Baixo</v>
      </c>
    </row>
    <row r="822" spans="1:15" ht="15" customHeight="1">
      <c r="A822" s="28" t="str">
        <f>IF(Table_246[[#This Row],[Data]]="","",MONTH(Table_246[[#This Row],[Data]]))</f>
        <v/>
      </c>
      <c r="B822" s="32"/>
      <c r="C822" s="36"/>
      <c r="D822" s="43"/>
      <c r="E822" s="48"/>
      <c r="F822" s="48"/>
      <c r="G822" s="49" t="str">
        <f>IFERROR(VLOOKUP(C822,PROD!$A$2:$E$1204,5,0),"0")</f>
        <v>0</v>
      </c>
      <c r="H822" s="10">
        <f>Table_246[[#This Row],[QT]]*Table_246[[#This Row],[Custo 
Un]]</f>
        <v>0</v>
      </c>
      <c r="I822" s="52"/>
      <c r="J822" s="263">
        <f t="shared" si="42"/>
        <v>0</v>
      </c>
      <c r="K822" s="10">
        <f t="shared" si="44"/>
        <v>0</v>
      </c>
      <c r="L822" s="50">
        <f>Table_246[[#This Row],[Valor da 
venda]]-Table_246[[#This Row],[Valor gasto]]</f>
        <v>0</v>
      </c>
      <c r="M822" s="111">
        <f t="shared" si="43"/>
        <v>0</v>
      </c>
      <c r="N822" s="112"/>
      <c r="O822" s="114" t="str">
        <f>IF([1]!Table_246[[#This Row],[Coluna2]]&gt;0.5, "🔥 Excelente", IF([1]!Table_246[[#This Row],[Coluna2]]&gt;0.4, "👍 Bom", "⚠️ Baixo"))</f>
        <v>⚠️ Baixo</v>
      </c>
    </row>
    <row r="823" spans="1:15" ht="15" customHeight="1">
      <c r="A823" s="28" t="str">
        <f>IF(Table_246[[#This Row],[Data]]="","",MONTH(Table_246[[#This Row],[Data]]))</f>
        <v/>
      </c>
      <c r="B823" s="32"/>
      <c r="C823" s="36"/>
      <c r="D823" s="43"/>
      <c r="E823" s="48"/>
      <c r="F823" s="48"/>
      <c r="G823" s="49" t="str">
        <f>IFERROR(VLOOKUP(C823,PROD!$A$2:$E$1204,5,0),"0")</f>
        <v>0</v>
      </c>
      <c r="H823" s="10">
        <f>Table_246[[#This Row],[QT]]*Table_246[[#This Row],[Custo 
Un]]</f>
        <v>0</v>
      </c>
      <c r="I823" s="52"/>
      <c r="J823" s="263">
        <f t="shared" si="42"/>
        <v>0</v>
      </c>
      <c r="K823" s="10">
        <f t="shared" si="44"/>
        <v>0</v>
      </c>
      <c r="L823" s="50">
        <f>Table_246[[#This Row],[Valor da 
venda]]-Table_246[[#This Row],[Valor gasto]]</f>
        <v>0</v>
      </c>
      <c r="M823" s="111">
        <f t="shared" si="43"/>
        <v>0</v>
      </c>
      <c r="N823" s="112"/>
      <c r="O823" s="114" t="str">
        <f>IF([1]!Table_246[[#This Row],[Coluna2]]&gt;0.5, "🔥 Excelente", IF([1]!Table_246[[#This Row],[Coluna2]]&gt;0.4, "👍 Bom", "⚠️ Baixo"))</f>
        <v>⚠️ Baixo</v>
      </c>
    </row>
    <row r="824" spans="1:15" ht="15" customHeight="1">
      <c r="A824" s="28" t="str">
        <f>IF(Table_246[[#This Row],[Data]]="","",MONTH(Table_246[[#This Row],[Data]]))</f>
        <v/>
      </c>
      <c r="B824" s="32"/>
      <c r="C824" s="36"/>
      <c r="D824" s="43"/>
      <c r="E824" s="48"/>
      <c r="F824" s="48"/>
      <c r="G824" s="49" t="str">
        <f>IFERROR(VLOOKUP(C824,PROD!$A$2:$E$1204,5,0),"0")</f>
        <v>0</v>
      </c>
      <c r="H824" s="10">
        <f>Table_246[[#This Row],[QT]]*Table_246[[#This Row],[Custo 
Un]]</f>
        <v>0</v>
      </c>
      <c r="I824" s="52"/>
      <c r="J824" s="263">
        <f t="shared" si="42"/>
        <v>0</v>
      </c>
      <c r="K824" s="10">
        <f t="shared" si="44"/>
        <v>0</v>
      </c>
      <c r="L824" s="50">
        <f>Table_246[[#This Row],[Valor da 
venda]]-Table_246[[#This Row],[Valor gasto]]</f>
        <v>0</v>
      </c>
      <c r="M824" s="111">
        <f t="shared" si="43"/>
        <v>0</v>
      </c>
      <c r="N824" s="112"/>
      <c r="O824" s="114" t="str">
        <f>IF([1]!Table_246[[#This Row],[Coluna2]]&gt;0.5, "🔥 Excelente", IF([1]!Table_246[[#This Row],[Coluna2]]&gt;0.4, "👍 Bom", "⚠️ Baixo"))</f>
        <v>⚠️ Baixo</v>
      </c>
    </row>
    <row r="825" spans="1:15" ht="15" customHeight="1">
      <c r="A825" s="28" t="str">
        <f>IF(Table_246[[#This Row],[Data]]="","",MONTH(Table_246[[#This Row],[Data]]))</f>
        <v/>
      </c>
      <c r="B825" s="32"/>
      <c r="C825" s="36"/>
      <c r="D825" s="43"/>
      <c r="E825" s="48"/>
      <c r="F825" s="48"/>
      <c r="G825" s="49" t="str">
        <f>IFERROR(VLOOKUP(C825,PROD!$A$2:$E$1204,5,0),"0")</f>
        <v>0</v>
      </c>
      <c r="H825" s="10">
        <f>Table_246[[#This Row],[QT]]*Table_246[[#This Row],[Custo 
Un]]</f>
        <v>0</v>
      </c>
      <c r="I825" s="52"/>
      <c r="J825" s="263">
        <f t="shared" si="42"/>
        <v>0</v>
      </c>
      <c r="K825" s="10">
        <f t="shared" si="44"/>
        <v>0</v>
      </c>
      <c r="L825" s="50">
        <f>Table_246[[#This Row],[Valor da 
venda]]-Table_246[[#This Row],[Valor gasto]]</f>
        <v>0</v>
      </c>
      <c r="M825" s="111">
        <f t="shared" si="43"/>
        <v>0</v>
      </c>
      <c r="N825" s="112"/>
      <c r="O825" s="114" t="str">
        <f>IF([1]!Table_246[[#This Row],[Coluna2]]&gt;0.5, "🔥 Excelente", IF([1]!Table_246[[#This Row],[Coluna2]]&gt;0.4, "👍 Bom", "⚠️ Baixo"))</f>
        <v>⚠️ Baixo</v>
      </c>
    </row>
    <row r="826" spans="1:15" ht="15" customHeight="1">
      <c r="A826" s="28" t="str">
        <f>IF(Table_246[[#This Row],[Data]]="","",MONTH(Table_246[[#This Row],[Data]]))</f>
        <v/>
      </c>
      <c r="B826" s="32"/>
      <c r="C826" s="36"/>
      <c r="D826" s="43"/>
      <c r="E826" s="48"/>
      <c r="F826" s="48"/>
      <c r="G826" s="49" t="str">
        <f>IFERROR(VLOOKUP(C826,PROD!$A$2:$E$1204,5,0),"0")</f>
        <v>0</v>
      </c>
      <c r="H826" s="10">
        <f>Table_246[[#This Row],[QT]]*Table_246[[#This Row],[Custo 
Un]]</f>
        <v>0</v>
      </c>
      <c r="I826" s="52"/>
      <c r="J826" s="263">
        <f t="shared" si="42"/>
        <v>0</v>
      </c>
      <c r="K826" s="10">
        <f t="shared" si="44"/>
        <v>0</v>
      </c>
      <c r="L826" s="50">
        <f>Table_246[[#This Row],[Valor da 
venda]]-Table_246[[#This Row],[Valor gasto]]</f>
        <v>0</v>
      </c>
      <c r="M826" s="111">
        <f t="shared" si="43"/>
        <v>0</v>
      </c>
      <c r="N826" s="112"/>
      <c r="O826" s="114" t="str">
        <f>IF([1]!Table_246[[#This Row],[Coluna2]]&gt;0.5, "🔥 Excelente", IF([1]!Table_246[[#This Row],[Coluna2]]&gt;0.4, "👍 Bom", "⚠️ Baixo"))</f>
        <v>⚠️ Baixo</v>
      </c>
    </row>
    <row r="827" spans="1:15" ht="15" customHeight="1">
      <c r="A827" s="28" t="str">
        <f>IF(Table_246[[#This Row],[Data]]="","",MONTH(Table_246[[#This Row],[Data]]))</f>
        <v/>
      </c>
      <c r="B827" s="32"/>
      <c r="C827" s="36"/>
      <c r="D827" s="43"/>
      <c r="E827" s="48"/>
      <c r="F827" s="48"/>
      <c r="G827" s="49" t="str">
        <f>IFERROR(VLOOKUP(C827,PROD!$A$2:$E$1204,5,0),"0")</f>
        <v>0</v>
      </c>
      <c r="H827" s="10">
        <f>Table_246[[#This Row],[QT]]*Table_246[[#This Row],[Custo 
Un]]</f>
        <v>0</v>
      </c>
      <c r="I827" s="52"/>
      <c r="J827" s="263">
        <f t="shared" si="42"/>
        <v>0</v>
      </c>
      <c r="K827" s="10">
        <f t="shared" si="44"/>
        <v>0</v>
      </c>
      <c r="L827" s="50">
        <f>Table_246[[#This Row],[Valor da 
venda]]-Table_246[[#This Row],[Valor gasto]]</f>
        <v>0</v>
      </c>
      <c r="M827" s="111">
        <f t="shared" si="43"/>
        <v>0</v>
      </c>
      <c r="N827" s="112"/>
      <c r="O827" s="114" t="str">
        <f>IF([1]!Table_246[[#This Row],[Coluna2]]&gt;0.5, "🔥 Excelente", IF([1]!Table_246[[#This Row],[Coluna2]]&gt;0.4, "👍 Bom", "⚠️ Baixo"))</f>
        <v>⚠️ Baixo</v>
      </c>
    </row>
    <row r="828" spans="1:15" ht="15" customHeight="1">
      <c r="A828" s="28" t="str">
        <f>IF(Table_246[[#This Row],[Data]]="","",MONTH(Table_246[[#This Row],[Data]]))</f>
        <v/>
      </c>
      <c r="B828" s="32"/>
      <c r="C828" s="36"/>
      <c r="D828" s="43"/>
      <c r="E828" s="48"/>
      <c r="F828" s="48"/>
      <c r="G828" s="49" t="str">
        <f>IFERROR(VLOOKUP(C828,PROD!$A$2:$E$1204,5,0),"0")</f>
        <v>0</v>
      </c>
      <c r="H828" s="10">
        <f>Table_246[[#This Row],[QT]]*Table_246[[#This Row],[Custo 
Un]]</f>
        <v>0</v>
      </c>
      <c r="I828" s="52"/>
      <c r="J828" s="263">
        <f t="shared" si="42"/>
        <v>0</v>
      </c>
      <c r="K828" s="10">
        <f t="shared" si="44"/>
        <v>0</v>
      </c>
      <c r="L828" s="50">
        <f>Table_246[[#This Row],[Valor da 
venda]]-Table_246[[#This Row],[Valor gasto]]</f>
        <v>0</v>
      </c>
      <c r="M828" s="111">
        <f t="shared" si="43"/>
        <v>0</v>
      </c>
      <c r="N828" s="112"/>
      <c r="O828" s="114" t="str">
        <f>IF([1]!Table_246[[#This Row],[Coluna2]]&gt;0.5, "🔥 Excelente", IF([1]!Table_246[[#This Row],[Coluna2]]&gt;0.4, "👍 Bom", "⚠️ Baixo"))</f>
        <v>⚠️ Baixo</v>
      </c>
    </row>
    <row r="829" spans="1:15" ht="15" customHeight="1">
      <c r="A829" s="28" t="str">
        <f>IF(Table_246[[#This Row],[Data]]="","",MONTH(Table_246[[#This Row],[Data]]))</f>
        <v/>
      </c>
      <c r="B829" s="32"/>
      <c r="C829" s="36"/>
      <c r="D829" s="43"/>
      <c r="E829" s="48"/>
      <c r="F829" s="48"/>
      <c r="G829" s="49" t="str">
        <f>IFERROR(VLOOKUP(C829,PROD!$A$2:$E$1204,5,0),"0")</f>
        <v>0</v>
      </c>
      <c r="H829" s="10">
        <f>Table_246[[#This Row],[QT]]*Table_246[[#This Row],[Custo 
Un]]</f>
        <v>0</v>
      </c>
      <c r="I829" s="52"/>
      <c r="J829" s="263">
        <f t="shared" si="42"/>
        <v>0</v>
      </c>
      <c r="K829" s="10">
        <f t="shared" si="44"/>
        <v>0</v>
      </c>
      <c r="L829" s="50">
        <f>Table_246[[#This Row],[Valor da 
venda]]-Table_246[[#This Row],[Valor gasto]]</f>
        <v>0</v>
      </c>
      <c r="M829" s="111">
        <f t="shared" si="43"/>
        <v>0</v>
      </c>
      <c r="N829" s="112"/>
      <c r="O829" s="114" t="str">
        <f>IF([1]!Table_246[[#This Row],[Coluna2]]&gt;0.5, "🔥 Excelente", IF([1]!Table_246[[#This Row],[Coluna2]]&gt;0.4, "👍 Bom", "⚠️ Baixo"))</f>
        <v>⚠️ Baixo</v>
      </c>
    </row>
    <row r="830" spans="1:15" ht="15" customHeight="1">
      <c r="A830" s="28" t="str">
        <f>IF(Table_246[[#This Row],[Data]]="","",MONTH(Table_246[[#This Row],[Data]]))</f>
        <v/>
      </c>
      <c r="B830" s="32"/>
      <c r="C830" s="36"/>
      <c r="D830" s="43"/>
      <c r="E830" s="48"/>
      <c r="F830" s="48"/>
      <c r="G830" s="49" t="str">
        <f>IFERROR(VLOOKUP(C830,PROD!$A$2:$E$1204,5,0),"0")</f>
        <v>0</v>
      </c>
      <c r="H830" s="10">
        <f>Table_246[[#This Row],[QT]]*Table_246[[#This Row],[Custo 
Un]]</f>
        <v>0</v>
      </c>
      <c r="I830" s="52"/>
      <c r="J830" s="263">
        <f t="shared" si="42"/>
        <v>0</v>
      </c>
      <c r="K830" s="10">
        <f t="shared" si="44"/>
        <v>0</v>
      </c>
      <c r="L830" s="50">
        <f>Table_246[[#This Row],[Valor da 
venda]]-Table_246[[#This Row],[Valor gasto]]</f>
        <v>0</v>
      </c>
      <c r="M830" s="111">
        <f t="shared" si="43"/>
        <v>0</v>
      </c>
      <c r="N830" s="112"/>
      <c r="O830" s="114" t="str">
        <f>IF([1]!Table_246[[#This Row],[Coluna2]]&gt;0.5, "🔥 Excelente", IF([1]!Table_246[[#This Row],[Coluna2]]&gt;0.4, "👍 Bom", "⚠️ Baixo"))</f>
        <v>⚠️ Baixo</v>
      </c>
    </row>
    <row r="831" spans="1:15" ht="15" customHeight="1">
      <c r="A831" s="28" t="str">
        <f>IF(Table_246[[#This Row],[Data]]="","",MONTH(Table_246[[#This Row],[Data]]))</f>
        <v/>
      </c>
      <c r="B831" s="32"/>
      <c r="C831" s="36"/>
      <c r="D831" s="43"/>
      <c r="E831" s="48"/>
      <c r="F831" s="48"/>
      <c r="G831" s="49" t="str">
        <f>IFERROR(VLOOKUP(C831,PROD!$A$2:$E$1204,5,0),"0")</f>
        <v>0</v>
      </c>
      <c r="H831" s="10">
        <f>Table_246[[#This Row],[QT]]*Table_246[[#This Row],[Custo 
Un]]</f>
        <v>0</v>
      </c>
      <c r="I831" s="52"/>
      <c r="J831" s="263">
        <f t="shared" si="42"/>
        <v>0</v>
      </c>
      <c r="K831" s="10">
        <f t="shared" si="44"/>
        <v>0</v>
      </c>
      <c r="L831" s="50">
        <f>Table_246[[#This Row],[Valor da 
venda]]-Table_246[[#This Row],[Valor gasto]]</f>
        <v>0</v>
      </c>
      <c r="M831" s="111">
        <f t="shared" si="43"/>
        <v>0</v>
      </c>
      <c r="N831" s="112"/>
      <c r="O831" s="114" t="str">
        <f>IF([1]!Table_246[[#This Row],[Coluna2]]&gt;0.5, "🔥 Excelente", IF([1]!Table_246[[#This Row],[Coluna2]]&gt;0.4, "👍 Bom", "⚠️ Baixo"))</f>
        <v>⚠️ Baixo</v>
      </c>
    </row>
    <row r="832" spans="1:15" ht="15" customHeight="1">
      <c r="A832" s="28" t="str">
        <f>IF(Table_246[[#This Row],[Data]]="","",MONTH(Table_246[[#This Row],[Data]]))</f>
        <v/>
      </c>
      <c r="B832" s="32"/>
      <c r="C832" s="36"/>
      <c r="D832" s="43"/>
      <c r="E832" s="48"/>
      <c r="F832" s="48"/>
      <c r="G832" s="49" t="str">
        <f>IFERROR(VLOOKUP(C832,PROD!$A$2:$E$1204,5,0),"0")</f>
        <v>0</v>
      </c>
      <c r="H832" s="10">
        <f>Table_246[[#This Row],[QT]]*Table_246[[#This Row],[Custo 
Un]]</f>
        <v>0</v>
      </c>
      <c r="I832" s="52"/>
      <c r="J832" s="263">
        <f t="shared" si="42"/>
        <v>0</v>
      </c>
      <c r="K832" s="10">
        <f t="shared" si="44"/>
        <v>0</v>
      </c>
      <c r="L832" s="50">
        <f>Table_246[[#This Row],[Valor da 
venda]]-Table_246[[#This Row],[Valor gasto]]</f>
        <v>0</v>
      </c>
      <c r="M832" s="111">
        <f t="shared" si="43"/>
        <v>0</v>
      </c>
      <c r="N832" s="112"/>
      <c r="O832" s="114" t="str">
        <f>IF([1]!Table_246[[#This Row],[Coluna2]]&gt;0.5, "🔥 Excelente", IF([1]!Table_246[[#This Row],[Coluna2]]&gt;0.4, "👍 Bom", "⚠️ Baixo"))</f>
        <v>⚠️ Baixo</v>
      </c>
    </row>
    <row r="833" spans="1:15" ht="15" customHeight="1">
      <c r="A833" s="28" t="str">
        <f>IF(Table_246[[#This Row],[Data]]="","",MONTH(Table_246[[#This Row],[Data]]))</f>
        <v/>
      </c>
      <c r="B833" s="32"/>
      <c r="C833" s="36"/>
      <c r="D833" s="43"/>
      <c r="E833" s="48"/>
      <c r="F833" s="48"/>
      <c r="G833" s="49" t="str">
        <f>IFERROR(VLOOKUP(C833,PROD!$A$2:$E$1204,5,0),"0")</f>
        <v>0</v>
      </c>
      <c r="H833" s="10">
        <f>Table_246[[#This Row],[QT]]*Table_246[[#This Row],[Custo 
Un]]</f>
        <v>0</v>
      </c>
      <c r="I833" s="52"/>
      <c r="J833" s="263">
        <f t="shared" si="42"/>
        <v>0</v>
      </c>
      <c r="K833" s="10">
        <f t="shared" si="44"/>
        <v>0</v>
      </c>
      <c r="L833" s="50">
        <f>Table_246[[#This Row],[Valor da 
venda]]-Table_246[[#This Row],[Valor gasto]]</f>
        <v>0</v>
      </c>
      <c r="M833" s="111">
        <f t="shared" si="43"/>
        <v>0</v>
      </c>
      <c r="N833" s="112"/>
      <c r="O833" s="114" t="str">
        <f>IF([1]!Table_246[[#This Row],[Coluna2]]&gt;0.5, "🔥 Excelente", IF([1]!Table_246[[#This Row],[Coluna2]]&gt;0.4, "👍 Bom", "⚠️ Baixo"))</f>
        <v>⚠️ Baixo</v>
      </c>
    </row>
    <row r="834" spans="1:15" ht="15" customHeight="1">
      <c r="A834" s="28" t="str">
        <f>IF(Table_246[[#This Row],[Data]]="","",MONTH(Table_246[[#This Row],[Data]]))</f>
        <v/>
      </c>
      <c r="B834" s="32"/>
      <c r="C834" s="36"/>
      <c r="D834" s="43"/>
      <c r="E834" s="48"/>
      <c r="F834" s="48"/>
      <c r="G834" s="49" t="str">
        <f>IFERROR(VLOOKUP(C834,PROD!$A$2:$E$1204,5,0),"0")</f>
        <v>0</v>
      </c>
      <c r="H834" s="10">
        <f>Table_246[[#This Row],[QT]]*Table_246[[#This Row],[Custo 
Un]]</f>
        <v>0</v>
      </c>
      <c r="I834" s="52"/>
      <c r="J834" s="263">
        <f t="shared" ref="J834:J897" si="45">I834*D834</f>
        <v>0</v>
      </c>
      <c r="K834" s="10">
        <f t="shared" si="44"/>
        <v>0</v>
      </c>
      <c r="L834" s="50">
        <f>Table_246[[#This Row],[Valor da 
venda]]-Table_246[[#This Row],[Valor gasto]]</f>
        <v>0</v>
      </c>
      <c r="M834" s="111">
        <f t="shared" si="43"/>
        <v>0</v>
      </c>
      <c r="N834" s="112"/>
      <c r="O834" s="114" t="str">
        <f>IF([1]!Table_246[[#This Row],[Coluna2]]&gt;0.5, "🔥 Excelente", IF([1]!Table_246[[#This Row],[Coluna2]]&gt;0.4, "👍 Bom", "⚠️ Baixo"))</f>
        <v>⚠️ Baixo</v>
      </c>
    </row>
    <row r="835" spans="1:15" ht="15" customHeight="1">
      <c r="A835" s="28" t="str">
        <f>IF(Table_246[[#This Row],[Data]]="","",MONTH(Table_246[[#This Row],[Data]]))</f>
        <v/>
      </c>
      <c r="B835" s="32"/>
      <c r="C835" s="36"/>
      <c r="D835" s="43"/>
      <c r="E835" s="48"/>
      <c r="F835" s="48"/>
      <c r="G835" s="49" t="str">
        <f>IFERROR(VLOOKUP(C835,PROD!$A$2:$E$1204,5,0),"0")</f>
        <v>0</v>
      </c>
      <c r="H835" s="10">
        <f>Table_246[[#This Row],[QT]]*Table_246[[#This Row],[Custo 
Un]]</f>
        <v>0</v>
      </c>
      <c r="I835" s="52"/>
      <c r="J835" s="263">
        <f t="shared" si="45"/>
        <v>0</v>
      </c>
      <c r="K835" s="10">
        <f t="shared" si="44"/>
        <v>0</v>
      </c>
      <c r="L835" s="50">
        <f>Table_246[[#This Row],[Valor da 
venda]]-Table_246[[#This Row],[Valor gasto]]</f>
        <v>0</v>
      </c>
      <c r="M835" s="111">
        <f t="shared" si="43"/>
        <v>0</v>
      </c>
      <c r="N835" s="112"/>
      <c r="O835" s="114" t="str">
        <f>IF([1]!Table_246[[#This Row],[Coluna2]]&gt;0.5, "🔥 Excelente", IF([1]!Table_246[[#This Row],[Coluna2]]&gt;0.4, "👍 Bom", "⚠️ Baixo"))</f>
        <v>⚠️ Baixo</v>
      </c>
    </row>
    <row r="836" spans="1:15" ht="15" customHeight="1">
      <c r="A836" s="28" t="str">
        <f>IF(Table_246[[#This Row],[Data]]="","",MONTH(Table_246[[#This Row],[Data]]))</f>
        <v/>
      </c>
      <c r="B836" s="32"/>
      <c r="C836" s="36"/>
      <c r="D836" s="43"/>
      <c r="E836" s="48"/>
      <c r="F836" s="48"/>
      <c r="G836" s="49" t="str">
        <f>IFERROR(VLOOKUP(C836,PROD!$A$2:$E$1204,5,0),"0")</f>
        <v>0</v>
      </c>
      <c r="H836" s="10">
        <f>Table_246[[#This Row],[QT]]*Table_246[[#This Row],[Custo 
Un]]</f>
        <v>0</v>
      </c>
      <c r="I836" s="52"/>
      <c r="J836" s="263">
        <f t="shared" si="45"/>
        <v>0</v>
      </c>
      <c r="K836" s="10">
        <f t="shared" si="44"/>
        <v>0</v>
      </c>
      <c r="L836" s="50">
        <f>Table_246[[#This Row],[Valor da 
venda]]-Table_246[[#This Row],[Valor gasto]]</f>
        <v>0</v>
      </c>
      <c r="M836" s="111">
        <f t="shared" si="43"/>
        <v>0</v>
      </c>
      <c r="N836" s="112"/>
      <c r="O836" s="114" t="str">
        <f>IF([1]!Table_246[[#This Row],[Coluna2]]&gt;0.5, "🔥 Excelente", IF([1]!Table_246[[#This Row],[Coluna2]]&gt;0.4, "👍 Bom", "⚠️ Baixo"))</f>
        <v>⚠️ Baixo</v>
      </c>
    </row>
    <row r="837" spans="1:15" ht="15" customHeight="1">
      <c r="A837" s="28" t="str">
        <f>IF(Table_246[[#This Row],[Data]]="","",MONTH(Table_246[[#This Row],[Data]]))</f>
        <v/>
      </c>
      <c r="B837" s="32"/>
      <c r="C837" s="36"/>
      <c r="D837" s="43"/>
      <c r="E837" s="48"/>
      <c r="F837" s="48"/>
      <c r="G837" s="49" t="str">
        <f>IFERROR(VLOOKUP(C837,PROD!$A$2:$E$1204,5,0),"0")</f>
        <v>0</v>
      </c>
      <c r="H837" s="10">
        <f>Table_246[[#This Row],[QT]]*Table_246[[#This Row],[Custo 
Un]]</f>
        <v>0</v>
      </c>
      <c r="I837" s="52"/>
      <c r="J837" s="263">
        <f t="shared" si="45"/>
        <v>0</v>
      </c>
      <c r="K837" s="10">
        <f t="shared" si="44"/>
        <v>0</v>
      </c>
      <c r="L837" s="50">
        <f>Table_246[[#This Row],[Valor da 
venda]]-Table_246[[#This Row],[Valor gasto]]</f>
        <v>0</v>
      </c>
      <c r="M837" s="111">
        <f t="shared" ref="M837:M900" si="46">IFERROR(L837/K837, 0)</f>
        <v>0</v>
      </c>
      <c r="N837" s="112"/>
      <c r="O837" s="114" t="str">
        <f>IF([1]!Table_246[[#This Row],[Coluna2]]&gt;0.5, "🔥 Excelente", IF([1]!Table_246[[#This Row],[Coluna2]]&gt;0.4, "👍 Bom", "⚠️ Baixo"))</f>
        <v>⚠️ Baixo</v>
      </c>
    </row>
    <row r="838" spans="1:15" ht="15" customHeight="1">
      <c r="A838" s="28" t="str">
        <f>IF(Table_246[[#This Row],[Data]]="","",MONTH(Table_246[[#This Row],[Data]]))</f>
        <v/>
      </c>
      <c r="B838" s="32"/>
      <c r="C838" s="36"/>
      <c r="D838" s="43"/>
      <c r="E838" s="48"/>
      <c r="F838" s="48"/>
      <c r="G838" s="49" t="str">
        <f>IFERROR(VLOOKUP(C838,PROD!$A$2:$E$1204,5,0),"0")</f>
        <v>0</v>
      </c>
      <c r="H838" s="10">
        <f>Table_246[[#This Row],[QT]]*Table_246[[#This Row],[Custo 
Un]]</f>
        <v>0</v>
      </c>
      <c r="I838" s="52"/>
      <c r="J838" s="263">
        <f t="shared" si="45"/>
        <v>0</v>
      </c>
      <c r="K838" s="10">
        <f t="shared" si="44"/>
        <v>0</v>
      </c>
      <c r="L838" s="50">
        <f>Table_246[[#This Row],[Valor da 
venda]]-Table_246[[#This Row],[Valor gasto]]</f>
        <v>0</v>
      </c>
      <c r="M838" s="111">
        <f t="shared" si="46"/>
        <v>0</v>
      </c>
      <c r="N838" s="112"/>
      <c r="O838" s="114" t="str">
        <f>IF([1]!Table_246[[#This Row],[Coluna2]]&gt;0.5, "🔥 Excelente", IF([1]!Table_246[[#This Row],[Coluna2]]&gt;0.4, "👍 Bom", "⚠️ Baixo"))</f>
        <v>⚠️ Baixo</v>
      </c>
    </row>
    <row r="839" spans="1:15" ht="15" customHeight="1">
      <c r="A839" s="28" t="str">
        <f>IF(Table_246[[#This Row],[Data]]="","",MONTH(Table_246[[#This Row],[Data]]))</f>
        <v/>
      </c>
      <c r="B839" s="32"/>
      <c r="C839" s="36"/>
      <c r="D839" s="43"/>
      <c r="E839" s="48"/>
      <c r="F839" s="48"/>
      <c r="G839" s="49" t="str">
        <f>IFERROR(VLOOKUP(C839,PROD!$A$2:$E$1204,5,0),"0")</f>
        <v>0</v>
      </c>
      <c r="H839" s="10">
        <f>Table_246[[#This Row],[QT]]*Table_246[[#This Row],[Custo 
Un]]</f>
        <v>0</v>
      </c>
      <c r="I839" s="52"/>
      <c r="J839" s="263">
        <f t="shared" si="45"/>
        <v>0</v>
      </c>
      <c r="K839" s="10">
        <f t="shared" si="44"/>
        <v>0</v>
      </c>
      <c r="L839" s="50">
        <f>Table_246[[#This Row],[Valor da 
venda]]-Table_246[[#This Row],[Valor gasto]]</f>
        <v>0</v>
      </c>
      <c r="M839" s="111">
        <f t="shared" si="46"/>
        <v>0</v>
      </c>
      <c r="N839" s="112"/>
      <c r="O839" s="114" t="str">
        <f>IF([1]!Table_246[[#This Row],[Coluna2]]&gt;0.5, "🔥 Excelente", IF([1]!Table_246[[#This Row],[Coluna2]]&gt;0.4, "👍 Bom", "⚠️ Baixo"))</f>
        <v>⚠️ Baixo</v>
      </c>
    </row>
    <row r="840" spans="1:15" ht="15" customHeight="1">
      <c r="A840" s="28" t="str">
        <f>IF(Table_246[[#This Row],[Data]]="","",MONTH(Table_246[[#This Row],[Data]]))</f>
        <v/>
      </c>
      <c r="B840" s="32"/>
      <c r="C840" s="36"/>
      <c r="D840" s="43"/>
      <c r="E840" s="48"/>
      <c r="F840" s="48"/>
      <c r="G840" s="49" t="str">
        <f>IFERROR(VLOOKUP(C840,PROD!$A$2:$E$1204,5,0),"0")</f>
        <v>0</v>
      </c>
      <c r="H840" s="10">
        <f>Table_246[[#This Row],[QT]]*Table_246[[#This Row],[Custo 
Un]]</f>
        <v>0</v>
      </c>
      <c r="I840" s="52"/>
      <c r="J840" s="263">
        <f t="shared" si="45"/>
        <v>0</v>
      </c>
      <c r="K840" s="10">
        <f t="shared" si="44"/>
        <v>0</v>
      </c>
      <c r="L840" s="50">
        <f>Table_246[[#This Row],[Valor da 
venda]]-Table_246[[#This Row],[Valor gasto]]</f>
        <v>0</v>
      </c>
      <c r="M840" s="111">
        <f t="shared" si="46"/>
        <v>0</v>
      </c>
      <c r="N840" s="112"/>
      <c r="O840" s="114" t="str">
        <f>IF([1]!Table_246[[#This Row],[Coluna2]]&gt;0.5, "🔥 Excelente", IF([1]!Table_246[[#This Row],[Coluna2]]&gt;0.4, "👍 Bom", "⚠️ Baixo"))</f>
        <v>⚠️ Baixo</v>
      </c>
    </row>
    <row r="841" spans="1:15" ht="15" customHeight="1">
      <c r="A841" s="28" t="str">
        <f>IF(Table_246[[#This Row],[Data]]="","",MONTH(Table_246[[#This Row],[Data]]))</f>
        <v/>
      </c>
      <c r="B841" s="32"/>
      <c r="C841" s="36"/>
      <c r="D841" s="43"/>
      <c r="E841" s="48"/>
      <c r="F841" s="48"/>
      <c r="G841" s="49" t="str">
        <f>IFERROR(VLOOKUP(C841,PROD!$A$2:$E$1204,5,0),"0")</f>
        <v>0</v>
      </c>
      <c r="H841" s="10">
        <f>Table_246[[#This Row],[QT]]*Table_246[[#This Row],[Custo 
Un]]</f>
        <v>0</v>
      </c>
      <c r="I841" s="52"/>
      <c r="J841" s="263">
        <f t="shared" si="45"/>
        <v>0</v>
      </c>
      <c r="K841" s="10">
        <f t="shared" si="44"/>
        <v>0</v>
      </c>
      <c r="L841" s="50">
        <f>Table_246[[#This Row],[Valor da 
venda]]-Table_246[[#This Row],[Valor gasto]]</f>
        <v>0</v>
      </c>
      <c r="M841" s="111">
        <f t="shared" si="46"/>
        <v>0</v>
      </c>
      <c r="N841" s="112"/>
      <c r="O841" s="114" t="str">
        <f>IF([1]!Table_246[[#This Row],[Coluna2]]&gt;0.5, "🔥 Excelente", IF([1]!Table_246[[#This Row],[Coluna2]]&gt;0.4, "👍 Bom", "⚠️ Baixo"))</f>
        <v>⚠️ Baixo</v>
      </c>
    </row>
    <row r="842" spans="1:15" ht="15" customHeight="1">
      <c r="A842" s="28" t="str">
        <f>IF(Table_246[[#This Row],[Data]]="","",MONTH(Table_246[[#This Row],[Data]]))</f>
        <v/>
      </c>
      <c r="B842" s="32"/>
      <c r="C842" s="36"/>
      <c r="D842" s="43"/>
      <c r="E842" s="48"/>
      <c r="F842" s="48"/>
      <c r="G842" s="49" t="str">
        <f>IFERROR(VLOOKUP(C842,PROD!$A$2:$E$1204,5,0),"0")</f>
        <v>0</v>
      </c>
      <c r="H842" s="10">
        <f>Table_246[[#This Row],[QT]]*Table_246[[#This Row],[Custo 
Un]]</f>
        <v>0</v>
      </c>
      <c r="I842" s="52"/>
      <c r="J842" s="263">
        <f t="shared" si="45"/>
        <v>0</v>
      </c>
      <c r="K842" s="10">
        <f t="shared" si="44"/>
        <v>0</v>
      </c>
      <c r="L842" s="50">
        <f>Table_246[[#This Row],[Valor da 
venda]]-Table_246[[#This Row],[Valor gasto]]</f>
        <v>0</v>
      </c>
      <c r="M842" s="111">
        <f t="shared" si="46"/>
        <v>0</v>
      </c>
      <c r="N842" s="112"/>
      <c r="O842" s="114" t="str">
        <f>IF([1]!Table_246[[#This Row],[Coluna2]]&gt;0.5, "🔥 Excelente", IF([1]!Table_246[[#This Row],[Coluna2]]&gt;0.4, "👍 Bom", "⚠️ Baixo"))</f>
        <v>⚠️ Baixo</v>
      </c>
    </row>
    <row r="843" spans="1:15" ht="15" customHeight="1">
      <c r="A843" s="28" t="str">
        <f>IF(Table_246[[#This Row],[Data]]="","",MONTH(Table_246[[#This Row],[Data]]))</f>
        <v/>
      </c>
      <c r="B843" s="32"/>
      <c r="C843" s="36"/>
      <c r="D843" s="43"/>
      <c r="E843" s="48"/>
      <c r="F843" s="48"/>
      <c r="G843" s="49" t="str">
        <f>IFERROR(VLOOKUP(C843,PROD!$A$2:$E$1204,5,0),"0")</f>
        <v>0</v>
      </c>
      <c r="H843" s="10">
        <f>Table_246[[#This Row],[QT]]*Table_246[[#This Row],[Custo 
Un]]</f>
        <v>0</v>
      </c>
      <c r="I843" s="52"/>
      <c r="J843" s="263">
        <f t="shared" si="45"/>
        <v>0</v>
      </c>
      <c r="K843" s="10">
        <f t="shared" si="44"/>
        <v>0</v>
      </c>
      <c r="L843" s="50">
        <f>Table_246[[#This Row],[Valor da 
venda]]-Table_246[[#This Row],[Valor gasto]]</f>
        <v>0</v>
      </c>
      <c r="M843" s="111">
        <f t="shared" si="46"/>
        <v>0</v>
      </c>
      <c r="N843" s="112"/>
      <c r="O843" s="114" t="str">
        <f>IF([1]!Table_246[[#This Row],[Coluna2]]&gt;0.5, "🔥 Excelente", IF([1]!Table_246[[#This Row],[Coluna2]]&gt;0.4, "👍 Bom", "⚠️ Baixo"))</f>
        <v>⚠️ Baixo</v>
      </c>
    </row>
    <row r="844" spans="1:15" ht="15" customHeight="1">
      <c r="A844" s="28" t="str">
        <f>IF(Table_246[[#This Row],[Data]]="","",MONTH(Table_246[[#This Row],[Data]]))</f>
        <v/>
      </c>
      <c r="B844" s="32"/>
      <c r="C844" s="36"/>
      <c r="D844" s="43"/>
      <c r="E844" s="48"/>
      <c r="F844" s="48"/>
      <c r="G844" s="49" t="str">
        <f>IFERROR(VLOOKUP(C844,PROD!$A$2:$E$1204,5,0),"0")</f>
        <v>0</v>
      </c>
      <c r="H844" s="10">
        <f>Table_246[[#This Row],[QT]]*Table_246[[#This Row],[Custo 
Un]]</f>
        <v>0</v>
      </c>
      <c r="I844" s="52"/>
      <c r="J844" s="263">
        <f t="shared" si="45"/>
        <v>0</v>
      </c>
      <c r="K844" s="10">
        <f t="shared" si="44"/>
        <v>0</v>
      </c>
      <c r="L844" s="50">
        <f>Table_246[[#This Row],[Valor da 
venda]]-Table_246[[#This Row],[Valor gasto]]</f>
        <v>0</v>
      </c>
      <c r="M844" s="111">
        <f t="shared" si="46"/>
        <v>0</v>
      </c>
      <c r="N844" s="112"/>
      <c r="O844" s="114" t="str">
        <f>IF([1]!Table_246[[#This Row],[Coluna2]]&gt;0.5, "🔥 Excelente", IF([1]!Table_246[[#This Row],[Coluna2]]&gt;0.4, "👍 Bom", "⚠️ Baixo"))</f>
        <v>⚠️ Baixo</v>
      </c>
    </row>
    <row r="845" spans="1:15" ht="15" customHeight="1">
      <c r="A845" s="28" t="str">
        <f>IF(Table_246[[#This Row],[Data]]="","",MONTH(Table_246[[#This Row],[Data]]))</f>
        <v/>
      </c>
      <c r="B845" s="32"/>
      <c r="C845" s="36"/>
      <c r="D845" s="43"/>
      <c r="E845" s="48"/>
      <c r="F845" s="48"/>
      <c r="G845" s="49" t="str">
        <f>IFERROR(VLOOKUP(C845,PROD!$A$2:$E$1204,5,0),"0")</f>
        <v>0</v>
      </c>
      <c r="H845" s="10">
        <f>Table_246[[#This Row],[QT]]*Table_246[[#This Row],[Custo 
Un]]</f>
        <v>0</v>
      </c>
      <c r="I845" s="52"/>
      <c r="J845" s="263">
        <f t="shared" si="45"/>
        <v>0</v>
      </c>
      <c r="K845" s="10">
        <f t="shared" si="44"/>
        <v>0</v>
      </c>
      <c r="L845" s="50">
        <f>Table_246[[#This Row],[Valor da 
venda]]-Table_246[[#This Row],[Valor gasto]]</f>
        <v>0</v>
      </c>
      <c r="M845" s="111">
        <f t="shared" si="46"/>
        <v>0</v>
      </c>
      <c r="N845" s="112"/>
      <c r="O845" s="114" t="str">
        <f>IF([1]!Table_246[[#This Row],[Coluna2]]&gt;0.5, "🔥 Excelente", IF([1]!Table_246[[#This Row],[Coluna2]]&gt;0.4, "👍 Bom", "⚠️ Baixo"))</f>
        <v>⚠️ Baixo</v>
      </c>
    </row>
    <row r="846" spans="1:15" ht="15" customHeight="1">
      <c r="A846" s="28" t="str">
        <f>IF(Table_246[[#This Row],[Data]]="","",MONTH(Table_246[[#This Row],[Data]]))</f>
        <v/>
      </c>
      <c r="B846" s="32"/>
      <c r="C846" s="36"/>
      <c r="D846" s="43"/>
      <c r="E846" s="48"/>
      <c r="F846" s="48"/>
      <c r="G846" s="49" t="str">
        <f>IFERROR(VLOOKUP(C846,PROD!$A$2:$E$1204,5,0),"0")</f>
        <v>0</v>
      </c>
      <c r="H846" s="10">
        <f>Table_246[[#This Row],[QT]]*Table_246[[#This Row],[Custo 
Un]]</f>
        <v>0</v>
      </c>
      <c r="I846" s="52"/>
      <c r="J846" s="263">
        <f t="shared" si="45"/>
        <v>0</v>
      </c>
      <c r="K846" s="10">
        <f t="shared" si="44"/>
        <v>0</v>
      </c>
      <c r="L846" s="50">
        <f>Table_246[[#This Row],[Valor da 
venda]]-Table_246[[#This Row],[Valor gasto]]</f>
        <v>0</v>
      </c>
      <c r="M846" s="111">
        <f t="shared" si="46"/>
        <v>0</v>
      </c>
      <c r="N846" s="112"/>
      <c r="O846" s="114" t="str">
        <f>IF([1]!Table_246[[#This Row],[Coluna2]]&gt;0.5, "🔥 Excelente", IF([1]!Table_246[[#This Row],[Coluna2]]&gt;0.4, "👍 Bom", "⚠️ Baixo"))</f>
        <v>⚠️ Baixo</v>
      </c>
    </row>
    <row r="847" spans="1:15" ht="15" customHeight="1">
      <c r="A847" s="28" t="str">
        <f>IF(Table_246[[#This Row],[Data]]="","",MONTH(Table_246[[#This Row],[Data]]))</f>
        <v/>
      </c>
      <c r="B847" s="32"/>
      <c r="C847" s="36"/>
      <c r="D847" s="43"/>
      <c r="E847" s="48"/>
      <c r="F847" s="48"/>
      <c r="G847" s="49" t="str">
        <f>IFERROR(VLOOKUP(C847,PROD!$A$2:$E$1204,5,0),"0")</f>
        <v>0</v>
      </c>
      <c r="H847" s="10">
        <f>Table_246[[#This Row],[QT]]*Table_246[[#This Row],[Custo 
Un]]</f>
        <v>0</v>
      </c>
      <c r="I847" s="52"/>
      <c r="J847" s="263">
        <f t="shared" si="45"/>
        <v>0</v>
      </c>
      <c r="K847" s="10">
        <f t="shared" si="44"/>
        <v>0</v>
      </c>
      <c r="L847" s="50">
        <f>Table_246[[#This Row],[Valor da 
venda]]-Table_246[[#This Row],[Valor gasto]]</f>
        <v>0</v>
      </c>
      <c r="M847" s="111">
        <f t="shared" si="46"/>
        <v>0</v>
      </c>
      <c r="N847" s="112"/>
      <c r="O847" s="114" t="str">
        <f>IF([1]!Table_246[[#This Row],[Coluna2]]&gt;0.5, "🔥 Excelente", IF([1]!Table_246[[#This Row],[Coluna2]]&gt;0.4, "👍 Bom", "⚠️ Baixo"))</f>
        <v>⚠️ Baixo</v>
      </c>
    </row>
    <row r="848" spans="1:15" ht="15" customHeight="1">
      <c r="A848" s="28" t="str">
        <f>IF(Table_246[[#This Row],[Data]]="","",MONTH(Table_246[[#This Row],[Data]]))</f>
        <v/>
      </c>
      <c r="B848" s="32"/>
      <c r="C848" s="36"/>
      <c r="D848" s="43"/>
      <c r="E848" s="48"/>
      <c r="F848" s="48"/>
      <c r="G848" s="49" t="str">
        <f>IFERROR(VLOOKUP(C848,PROD!$A$2:$E$1204,5,0),"0")</f>
        <v>0</v>
      </c>
      <c r="H848" s="10">
        <f>Table_246[[#This Row],[QT]]*Table_246[[#This Row],[Custo 
Un]]</f>
        <v>0</v>
      </c>
      <c r="I848" s="52"/>
      <c r="J848" s="263">
        <f t="shared" si="45"/>
        <v>0</v>
      </c>
      <c r="K848" s="10">
        <f t="shared" si="44"/>
        <v>0</v>
      </c>
      <c r="L848" s="50">
        <f>Table_246[[#This Row],[Valor da 
venda]]-Table_246[[#This Row],[Valor gasto]]</f>
        <v>0</v>
      </c>
      <c r="M848" s="111">
        <f t="shared" si="46"/>
        <v>0</v>
      </c>
      <c r="N848" s="112"/>
      <c r="O848" s="114" t="str">
        <f>IF([1]!Table_246[[#This Row],[Coluna2]]&gt;0.5, "🔥 Excelente", IF([1]!Table_246[[#This Row],[Coluna2]]&gt;0.4, "👍 Bom", "⚠️ Baixo"))</f>
        <v>⚠️ Baixo</v>
      </c>
    </row>
    <row r="849" spans="1:15" ht="15" customHeight="1">
      <c r="A849" s="28" t="str">
        <f>IF(Table_246[[#This Row],[Data]]="","",MONTH(Table_246[[#This Row],[Data]]))</f>
        <v/>
      </c>
      <c r="B849" s="32"/>
      <c r="C849" s="36"/>
      <c r="D849" s="43"/>
      <c r="E849" s="48"/>
      <c r="F849" s="48"/>
      <c r="G849" s="49" t="str">
        <f>IFERROR(VLOOKUP(C849,PROD!$A$2:$E$1204,5,0),"0")</f>
        <v>0</v>
      </c>
      <c r="H849" s="10">
        <f>Table_246[[#This Row],[QT]]*Table_246[[#This Row],[Custo 
Un]]</f>
        <v>0</v>
      </c>
      <c r="I849" s="52"/>
      <c r="J849" s="263">
        <f t="shared" si="45"/>
        <v>0</v>
      </c>
      <c r="K849" s="10">
        <f t="shared" si="44"/>
        <v>0</v>
      </c>
      <c r="L849" s="50">
        <f>Table_246[[#This Row],[Valor da 
venda]]-Table_246[[#This Row],[Valor gasto]]</f>
        <v>0</v>
      </c>
      <c r="M849" s="111">
        <f t="shared" si="46"/>
        <v>0</v>
      </c>
      <c r="N849" s="112"/>
      <c r="O849" s="114" t="str">
        <f>IF([1]!Table_246[[#This Row],[Coluna2]]&gt;0.5, "🔥 Excelente", IF([1]!Table_246[[#This Row],[Coluna2]]&gt;0.4, "👍 Bom", "⚠️ Baixo"))</f>
        <v>⚠️ Baixo</v>
      </c>
    </row>
    <row r="850" spans="1:15" ht="15" customHeight="1">
      <c r="A850" s="28" t="str">
        <f>IF(Table_246[[#This Row],[Data]]="","",MONTH(Table_246[[#This Row],[Data]]))</f>
        <v/>
      </c>
      <c r="B850" s="32"/>
      <c r="C850" s="36"/>
      <c r="D850" s="43"/>
      <c r="E850" s="48"/>
      <c r="F850" s="48"/>
      <c r="G850" s="49" t="str">
        <f>IFERROR(VLOOKUP(C850,PROD!$A$2:$E$1204,5,0),"0")</f>
        <v>0</v>
      </c>
      <c r="H850" s="10">
        <f>Table_246[[#This Row],[QT]]*Table_246[[#This Row],[Custo 
Un]]</f>
        <v>0</v>
      </c>
      <c r="I850" s="52"/>
      <c r="J850" s="263">
        <f t="shared" si="45"/>
        <v>0</v>
      </c>
      <c r="K850" s="10">
        <f t="shared" si="44"/>
        <v>0</v>
      </c>
      <c r="L850" s="50">
        <f>Table_246[[#This Row],[Valor da 
venda]]-Table_246[[#This Row],[Valor gasto]]</f>
        <v>0</v>
      </c>
      <c r="M850" s="111">
        <f t="shared" si="46"/>
        <v>0</v>
      </c>
      <c r="N850" s="112"/>
      <c r="O850" s="114" t="str">
        <f>IF([1]!Table_246[[#This Row],[Coluna2]]&gt;0.5, "🔥 Excelente", IF([1]!Table_246[[#This Row],[Coluna2]]&gt;0.4, "👍 Bom", "⚠️ Baixo"))</f>
        <v>⚠️ Baixo</v>
      </c>
    </row>
    <row r="851" spans="1:15" ht="15" customHeight="1">
      <c r="A851" s="28" t="str">
        <f>IF(Table_246[[#This Row],[Data]]="","",MONTH(Table_246[[#This Row],[Data]]))</f>
        <v/>
      </c>
      <c r="B851" s="32"/>
      <c r="C851" s="36"/>
      <c r="D851" s="43"/>
      <c r="E851" s="48"/>
      <c r="F851" s="48"/>
      <c r="G851" s="49" t="str">
        <f>IFERROR(VLOOKUP(C851,PROD!$A$2:$E$1204,5,0),"0")</f>
        <v>0</v>
      </c>
      <c r="H851" s="10">
        <f>Table_246[[#This Row],[QT]]*Table_246[[#This Row],[Custo 
Un]]</f>
        <v>0</v>
      </c>
      <c r="I851" s="52"/>
      <c r="J851" s="263">
        <f t="shared" si="45"/>
        <v>0</v>
      </c>
      <c r="K851" s="10">
        <f t="shared" si="44"/>
        <v>0</v>
      </c>
      <c r="L851" s="50">
        <f>Table_246[[#This Row],[Valor da 
venda]]-Table_246[[#This Row],[Valor gasto]]</f>
        <v>0</v>
      </c>
      <c r="M851" s="111">
        <f t="shared" si="46"/>
        <v>0</v>
      </c>
      <c r="N851" s="112"/>
      <c r="O851" s="114" t="str">
        <f>IF([1]!Table_246[[#This Row],[Coluna2]]&gt;0.5, "🔥 Excelente", IF([1]!Table_246[[#This Row],[Coluna2]]&gt;0.4, "👍 Bom", "⚠️ Baixo"))</f>
        <v>⚠️ Baixo</v>
      </c>
    </row>
    <row r="852" spans="1:15" ht="15" customHeight="1">
      <c r="A852" s="28" t="str">
        <f>IF(Table_246[[#This Row],[Data]]="","",MONTH(Table_246[[#This Row],[Data]]))</f>
        <v/>
      </c>
      <c r="B852" s="32"/>
      <c r="C852" s="36"/>
      <c r="D852" s="43"/>
      <c r="E852" s="48"/>
      <c r="F852" s="48"/>
      <c r="G852" s="49" t="str">
        <f>IFERROR(VLOOKUP(C852,PROD!$A$2:$E$1204,5,0),"0")</f>
        <v>0</v>
      </c>
      <c r="H852" s="10">
        <f>Table_246[[#This Row],[QT]]*Table_246[[#This Row],[Custo 
Un]]</f>
        <v>0</v>
      </c>
      <c r="I852" s="52"/>
      <c r="J852" s="263">
        <f t="shared" si="45"/>
        <v>0</v>
      </c>
      <c r="K852" s="10">
        <f t="shared" si="44"/>
        <v>0</v>
      </c>
      <c r="L852" s="50">
        <f>Table_246[[#This Row],[Valor da 
venda]]-Table_246[[#This Row],[Valor gasto]]</f>
        <v>0</v>
      </c>
      <c r="M852" s="111">
        <f t="shared" si="46"/>
        <v>0</v>
      </c>
      <c r="N852" s="112"/>
      <c r="O852" s="114" t="str">
        <f>IF([1]!Table_246[[#This Row],[Coluna2]]&gt;0.5, "🔥 Excelente", IF([1]!Table_246[[#This Row],[Coluna2]]&gt;0.4, "👍 Bom", "⚠️ Baixo"))</f>
        <v>⚠️ Baixo</v>
      </c>
    </row>
    <row r="853" spans="1:15" ht="15" customHeight="1">
      <c r="A853" s="28" t="str">
        <f>IF(Table_246[[#This Row],[Data]]="","",MONTH(Table_246[[#This Row],[Data]]))</f>
        <v/>
      </c>
      <c r="B853" s="32"/>
      <c r="C853" s="36"/>
      <c r="D853" s="43"/>
      <c r="E853" s="48"/>
      <c r="F853" s="48"/>
      <c r="G853" s="49" t="str">
        <f>IFERROR(VLOOKUP(C853,PROD!$A$2:$E$1204,5,0),"0")</f>
        <v>0</v>
      </c>
      <c r="H853" s="10">
        <f>Table_246[[#This Row],[QT]]*Table_246[[#This Row],[Custo 
Un]]</f>
        <v>0</v>
      </c>
      <c r="I853" s="52"/>
      <c r="J853" s="263">
        <f t="shared" si="45"/>
        <v>0</v>
      </c>
      <c r="K853" s="10">
        <f t="shared" si="44"/>
        <v>0</v>
      </c>
      <c r="L853" s="50">
        <f>Table_246[[#This Row],[Valor da 
venda]]-Table_246[[#This Row],[Valor gasto]]</f>
        <v>0</v>
      </c>
      <c r="M853" s="111">
        <f t="shared" si="46"/>
        <v>0</v>
      </c>
      <c r="N853" s="112"/>
      <c r="O853" s="114" t="str">
        <f>IF([1]!Table_246[[#This Row],[Coluna2]]&gt;0.5, "🔥 Excelente", IF([1]!Table_246[[#This Row],[Coluna2]]&gt;0.4, "👍 Bom", "⚠️ Baixo"))</f>
        <v>⚠️ Baixo</v>
      </c>
    </row>
    <row r="854" spans="1:15" ht="15" customHeight="1">
      <c r="A854" s="28" t="str">
        <f>IF(Table_246[[#This Row],[Data]]="","",MONTH(Table_246[[#This Row],[Data]]))</f>
        <v/>
      </c>
      <c r="B854" s="32"/>
      <c r="C854" s="36"/>
      <c r="D854" s="43"/>
      <c r="E854" s="48"/>
      <c r="F854" s="48"/>
      <c r="G854" s="49" t="str">
        <f>IFERROR(VLOOKUP(C854,PROD!$A$2:$E$1204,5,0),"0")</f>
        <v>0</v>
      </c>
      <c r="H854" s="10">
        <f>Table_246[[#This Row],[QT]]*Table_246[[#This Row],[Custo 
Un]]</f>
        <v>0</v>
      </c>
      <c r="I854" s="52"/>
      <c r="J854" s="263">
        <f t="shared" si="45"/>
        <v>0</v>
      </c>
      <c r="K854" s="10">
        <f t="shared" si="44"/>
        <v>0</v>
      </c>
      <c r="L854" s="50">
        <f>Table_246[[#This Row],[Valor da 
venda]]-Table_246[[#This Row],[Valor gasto]]</f>
        <v>0</v>
      </c>
      <c r="M854" s="111">
        <f t="shared" si="46"/>
        <v>0</v>
      </c>
      <c r="N854" s="112"/>
      <c r="O854" s="114" t="str">
        <f>IF([1]!Table_246[[#This Row],[Coluna2]]&gt;0.5, "🔥 Excelente", IF([1]!Table_246[[#This Row],[Coluna2]]&gt;0.4, "👍 Bom", "⚠️ Baixo"))</f>
        <v>⚠️ Baixo</v>
      </c>
    </row>
    <row r="855" spans="1:15" ht="15" customHeight="1">
      <c r="A855" s="28" t="str">
        <f>IF(Table_246[[#This Row],[Data]]="","",MONTH(Table_246[[#This Row],[Data]]))</f>
        <v/>
      </c>
      <c r="B855" s="32"/>
      <c r="C855" s="36"/>
      <c r="D855" s="43"/>
      <c r="E855" s="48"/>
      <c r="F855" s="48"/>
      <c r="G855" s="49" t="str">
        <f>IFERROR(VLOOKUP(C855,PROD!$A$2:$E$1204,5,0),"0")</f>
        <v>0</v>
      </c>
      <c r="H855" s="10">
        <f>Table_246[[#This Row],[QT]]*Table_246[[#This Row],[Custo 
Un]]</f>
        <v>0</v>
      </c>
      <c r="I855" s="52"/>
      <c r="J855" s="263">
        <f t="shared" si="45"/>
        <v>0</v>
      </c>
      <c r="K855" s="10">
        <f t="shared" si="44"/>
        <v>0</v>
      </c>
      <c r="L855" s="50">
        <f>Table_246[[#This Row],[Valor da 
venda]]-Table_246[[#This Row],[Valor gasto]]</f>
        <v>0</v>
      </c>
      <c r="M855" s="111">
        <f t="shared" si="46"/>
        <v>0</v>
      </c>
      <c r="N855" s="112"/>
      <c r="O855" s="114" t="str">
        <f>IF([1]!Table_246[[#This Row],[Coluna2]]&gt;0.5, "🔥 Excelente", IF([1]!Table_246[[#This Row],[Coluna2]]&gt;0.4, "👍 Bom", "⚠️ Baixo"))</f>
        <v>⚠️ Baixo</v>
      </c>
    </row>
    <row r="856" spans="1:15" ht="15" customHeight="1">
      <c r="A856" s="28" t="str">
        <f>IF(Table_246[[#This Row],[Data]]="","",MONTH(Table_246[[#This Row],[Data]]))</f>
        <v/>
      </c>
      <c r="B856" s="32"/>
      <c r="C856" s="36"/>
      <c r="D856" s="43"/>
      <c r="E856" s="48"/>
      <c r="F856" s="48"/>
      <c r="G856" s="49" t="str">
        <f>IFERROR(VLOOKUP(C856,PROD!$A$2:$E$1204,5,0),"0")</f>
        <v>0</v>
      </c>
      <c r="H856" s="10">
        <f>Table_246[[#This Row],[QT]]*Table_246[[#This Row],[Custo 
Un]]</f>
        <v>0</v>
      </c>
      <c r="I856" s="52"/>
      <c r="J856" s="263">
        <f t="shared" si="45"/>
        <v>0</v>
      </c>
      <c r="K856" s="10">
        <f t="shared" si="44"/>
        <v>0</v>
      </c>
      <c r="L856" s="50">
        <f>Table_246[[#This Row],[Valor da 
venda]]-Table_246[[#This Row],[Valor gasto]]</f>
        <v>0</v>
      </c>
      <c r="M856" s="111">
        <f t="shared" si="46"/>
        <v>0</v>
      </c>
      <c r="N856" s="112"/>
      <c r="O856" s="114" t="str">
        <f>IF([1]!Table_246[[#This Row],[Coluna2]]&gt;0.5, "🔥 Excelente", IF([1]!Table_246[[#This Row],[Coluna2]]&gt;0.4, "👍 Bom", "⚠️ Baixo"))</f>
        <v>⚠️ Baixo</v>
      </c>
    </row>
    <row r="857" spans="1:15" ht="15" customHeight="1">
      <c r="A857" s="28" t="str">
        <f>IF(Table_246[[#This Row],[Data]]="","",MONTH(Table_246[[#This Row],[Data]]))</f>
        <v/>
      </c>
      <c r="B857" s="32"/>
      <c r="C857" s="36"/>
      <c r="D857" s="43"/>
      <c r="E857" s="48"/>
      <c r="F857" s="48"/>
      <c r="G857" s="49" t="str">
        <f>IFERROR(VLOOKUP(C857,PROD!$A$2:$E$1204,5,0),"0")</f>
        <v>0</v>
      </c>
      <c r="H857" s="10">
        <f>Table_246[[#This Row],[QT]]*Table_246[[#This Row],[Custo 
Un]]</f>
        <v>0</v>
      </c>
      <c r="I857" s="52"/>
      <c r="J857" s="263">
        <f t="shared" si="45"/>
        <v>0</v>
      </c>
      <c r="K857" s="10">
        <f t="shared" si="44"/>
        <v>0</v>
      </c>
      <c r="L857" s="50">
        <f>Table_246[[#This Row],[Valor da 
venda]]-Table_246[[#This Row],[Valor gasto]]</f>
        <v>0</v>
      </c>
      <c r="M857" s="111">
        <f t="shared" si="46"/>
        <v>0</v>
      </c>
      <c r="N857" s="112"/>
      <c r="O857" s="114" t="str">
        <f>IF([1]!Table_246[[#This Row],[Coluna2]]&gt;0.5, "🔥 Excelente", IF([1]!Table_246[[#This Row],[Coluna2]]&gt;0.4, "👍 Bom", "⚠️ Baixo"))</f>
        <v>⚠️ Baixo</v>
      </c>
    </row>
    <row r="858" spans="1:15" ht="15" customHeight="1">
      <c r="A858" s="28" t="str">
        <f>IF(Table_246[[#This Row],[Data]]="","",MONTH(Table_246[[#This Row],[Data]]))</f>
        <v/>
      </c>
      <c r="B858" s="32"/>
      <c r="C858" s="36"/>
      <c r="D858" s="43"/>
      <c r="E858" s="48"/>
      <c r="F858" s="48"/>
      <c r="G858" s="49" t="str">
        <f>IFERROR(VLOOKUP(C858,PROD!$A$2:$E$1204,5,0),"0")</f>
        <v>0</v>
      </c>
      <c r="H858" s="10">
        <f>Table_246[[#This Row],[QT]]*Table_246[[#This Row],[Custo 
Un]]</f>
        <v>0</v>
      </c>
      <c r="I858" s="52"/>
      <c r="J858" s="263">
        <f t="shared" si="45"/>
        <v>0</v>
      </c>
      <c r="K858" s="10">
        <f t="shared" si="44"/>
        <v>0</v>
      </c>
      <c r="L858" s="50">
        <f>Table_246[[#This Row],[Valor da 
venda]]-Table_246[[#This Row],[Valor gasto]]</f>
        <v>0</v>
      </c>
      <c r="M858" s="111">
        <f t="shared" si="46"/>
        <v>0</v>
      </c>
      <c r="N858" s="112"/>
      <c r="O858" s="114" t="str">
        <f>IF([1]!Table_246[[#This Row],[Coluna2]]&gt;0.5, "🔥 Excelente", IF([1]!Table_246[[#This Row],[Coluna2]]&gt;0.4, "👍 Bom", "⚠️ Baixo"))</f>
        <v>⚠️ Baixo</v>
      </c>
    </row>
    <row r="859" spans="1:15" ht="15" customHeight="1">
      <c r="A859" s="28" t="str">
        <f>IF(Table_246[[#This Row],[Data]]="","",MONTH(Table_246[[#This Row],[Data]]))</f>
        <v/>
      </c>
      <c r="B859" s="32"/>
      <c r="C859" s="36"/>
      <c r="D859" s="43"/>
      <c r="E859" s="48"/>
      <c r="F859" s="48"/>
      <c r="G859" s="49" t="str">
        <f>IFERROR(VLOOKUP(C859,PROD!$A$2:$E$1204,5,0),"0")</f>
        <v>0</v>
      </c>
      <c r="H859" s="10">
        <f>Table_246[[#This Row],[QT]]*Table_246[[#This Row],[Custo 
Un]]</f>
        <v>0</v>
      </c>
      <c r="I859" s="52"/>
      <c r="J859" s="263">
        <f t="shared" si="45"/>
        <v>0</v>
      </c>
      <c r="K859" s="10">
        <f t="shared" si="44"/>
        <v>0</v>
      </c>
      <c r="L859" s="50">
        <f>Table_246[[#This Row],[Valor da 
venda]]-Table_246[[#This Row],[Valor gasto]]</f>
        <v>0</v>
      </c>
      <c r="M859" s="111">
        <f t="shared" si="46"/>
        <v>0</v>
      </c>
      <c r="N859" s="112"/>
      <c r="O859" s="114" t="str">
        <f>IF([1]!Table_246[[#This Row],[Coluna2]]&gt;0.5, "🔥 Excelente", IF([1]!Table_246[[#This Row],[Coluna2]]&gt;0.4, "👍 Bom", "⚠️ Baixo"))</f>
        <v>⚠️ Baixo</v>
      </c>
    </row>
    <row r="860" spans="1:15" ht="15" customHeight="1">
      <c r="A860" s="28" t="str">
        <f>IF(Table_246[[#This Row],[Data]]="","",MONTH(Table_246[[#This Row],[Data]]))</f>
        <v/>
      </c>
      <c r="B860" s="32"/>
      <c r="C860" s="36"/>
      <c r="D860" s="43"/>
      <c r="E860" s="48"/>
      <c r="F860" s="48"/>
      <c r="G860" s="49" t="str">
        <f>IFERROR(VLOOKUP(C860,PROD!$A$2:$E$1204,5,0),"0")</f>
        <v>0</v>
      </c>
      <c r="H860" s="10">
        <f>Table_246[[#This Row],[QT]]*Table_246[[#This Row],[Custo 
Un]]</f>
        <v>0</v>
      </c>
      <c r="I860" s="52"/>
      <c r="J860" s="263">
        <f t="shared" si="45"/>
        <v>0</v>
      </c>
      <c r="K860" s="10">
        <f t="shared" si="44"/>
        <v>0</v>
      </c>
      <c r="L860" s="50">
        <f>Table_246[[#This Row],[Valor da 
venda]]-Table_246[[#This Row],[Valor gasto]]</f>
        <v>0</v>
      </c>
      <c r="M860" s="111">
        <f t="shared" si="46"/>
        <v>0</v>
      </c>
      <c r="N860" s="112"/>
      <c r="O860" s="114" t="str">
        <f>IF([1]!Table_246[[#This Row],[Coluna2]]&gt;0.5, "🔥 Excelente", IF([1]!Table_246[[#This Row],[Coluna2]]&gt;0.4, "👍 Bom", "⚠️ Baixo"))</f>
        <v>⚠️ Baixo</v>
      </c>
    </row>
    <row r="861" spans="1:15" ht="15" customHeight="1">
      <c r="A861" s="28" t="str">
        <f>IF(Table_246[[#This Row],[Data]]="","",MONTH(Table_246[[#This Row],[Data]]))</f>
        <v/>
      </c>
      <c r="B861" s="32"/>
      <c r="C861" s="36"/>
      <c r="D861" s="43"/>
      <c r="E861" s="48"/>
      <c r="F861" s="48"/>
      <c r="G861" s="49" t="str">
        <f>IFERROR(VLOOKUP(C861,PROD!$A$2:$E$1204,5,0),"0")</f>
        <v>0</v>
      </c>
      <c r="H861" s="10">
        <f>Table_246[[#This Row],[QT]]*Table_246[[#This Row],[Custo 
Un]]</f>
        <v>0</v>
      </c>
      <c r="I861" s="52"/>
      <c r="J861" s="263">
        <f t="shared" si="45"/>
        <v>0</v>
      </c>
      <c r="K861" s="10">
        <f t="shared" si="44"/>
        <v>0</v>
      </c>
      <c r="L861" s="50">
        <f>Table_246[[#This Row],[Valor da 
venda]]-Table_246[[#This Row],[Valor gasto]]</f>
        <v>0</v>
      </c>
      <c r="M861" s="111">
        <f t="shared" si="46"/>
        <v>0</v>
      </c>
      <c r="N861" s="112"/>
      <c r="O861" s="114" t="str">
        <f>IF([1]!Table_246[[#This Row],[Coluna2]]&gt;0.5, "🔥 Excelente", IF([1]!Table_246[[#This Row],[Coluna2]]&gt;0.4, "👍 Bom", "⚠️ Baixo"))</f>
        <v>⚠️ Baixo</v>
      </c>
    </row>
    <row r="862" spans="1:15" ht="15" customHeight="1">
      <c r="A862" s="28" t="str">
        <f>IF(Table_246[[#This Row],[Data]]="","",MONTH(Table_246[[#This Row],[Data]]))</f>
        <v/>
      </c>
      <c r="B862" s="32"/>
      <c r="C862" s="36"/>
      <c r="D862" s="43"/>
      <c r="E862" s="48"/>
      <c r="F862" s="48"/>
      <c r="G862" s="49" t="str">
        <f>IFERROR(VLOOKUP(C862,PROD!$A$2:$E$1204,5,0),"0")</f>
        <v>0</v>
      </c>
      <c r="H862" s="10">
        <f>Table_246[[#This Row],[QT]]*Table_246[[#This Row],[Custo 
Un]]</f>
        <v>0</v>
      </c>
      <c r="I862" s="52"/>
      <c r="J862" s="263">
        <f t="shared" si="45"/>
        <v>0</v>
      </c>
      <c r="K862" s="10">
        <f t="shared" si="44"/>
        <v>0</v>
      </c>
      <c r="L862" s="50">
        <f>Table_246[[#This Row],[Valor da 
venda]]-Table_246[[#This Row],[Valor gasto]]</f>
        <v>0</v>
      </c>
      <c r="M862" s="111">
        <f t="shared" si="46"/>
        <v>0</v>
      </c>
      <c r="N862" s="112"/>
      <c r="O862" s="114" t="str">
        <f>IF([1]!Table_246[[#This Row],[Coluna2]]&gt;0.5, "🔥 Excelente", IF([1]!Table_246[[#This Row],[Coluna2]]&gt;0.4, "👍 Bom", "⚠️ Baixo"))</f>
        <v>⚠️ Baixo</v>
      </c>
    </row>
    <row r="863" spans="1:15" ht="15" customHeight="1">
      <c r="A863" s="28" t="str">
        <f>IF(Table_246[[#This Row],[Data]]="","",MONTH(Table_246[[#This Row],[Data]]))</f>
        <v/>
      </c>
      <c r="B863" s="32"/>
      <c r="C863" s="36"/>
      <c r="D863" s="43"/>
      <c r="E863" s="48"/>
      <c r="F863" s="48"/>
      <c r="G863" s="49" t="str">
        <f>IFERROR(VLOOKUP(C863,PROD!$A$2:$E$1204,5,0),"0")</f>
        <v>0</v>
      </c>
      <c r="H863" s="10">
        <f>Table_246[[#This Row],[QT]]*Table_246[[#This Row],[Custo 
Un]]</f>
        <v>0</v>
      </c>
      <c r="I863" s="52"/>
      <c r="J863" s="263">
        <f t="shared" si="45"/>
        <v>0</v>
      </c>
      <c r="K863" s="10">
        <f t="shared" si="44"/>
        <v>0</v>
      </c>
      <c r="L863" s="50">
        <f>Table_246[[#This Row],[Valor da 
venda]]-Table_246[[#This Row],[Valor gasto]]</f>
        <v>0</v>
      </c>
      <c r="M863" s="111">
        <f t="shared" si="46"/>
        <v>0</v>
      </c>
      <c r="N863" s="112"/>
      <c r="O863" s="114" t="str">
        <f>IF([1]!Table_246[[#This Row],[Coluna2]]&gt;0.5, "🔥 Excelente", IF([1]!Table_246[[#This Row],[Coluna2]]&gt;0.4, "👍 Bom", "⚠️ Baixo"))</f>
        <v>⚠️ Baixo</v>
      </c>
    </row>
    <row r="864" spans="1:15" ht="15" customHeight="1">
      <c r="A864" s="28" t="str">
        <f>IF(Table_246[[#This Row],[Data]]="","",MONTH(Table_246[[#This Row],[Data]]))</f>
        <v/>
      </c>
      <c r="B864" s="32"/>
      <c r="C864" s="36"/>
      <c r="D864" s="43"/>
      <c r="E864" s="48"/>
      <c r="F864" s="48"/>
      <c r="G864" s="49" t="str">
        <f>IFERROR(VLOOKUP(C864,PROD!$A$2:$E$1204,5,0),"0")</f>
        <v>0</v>
      </c>
      <c r="H864" s="10">
        <f>Table_246[[#This Row],[QT]]*Table_246[[#This Row],[Custo 
Un]]</f>
        <v>0</v>
      </c>
      <c r="I864" s="52"/>
      <c r="J864" s="263">
        <f t="shared" si="45"/>
        <v>0</v>
      </c>
      <c r="K864" s="10">
        <f t="shared" si="44"/>
        <v>0</v>
      </c>
      <c r="L864" s="50">
        <f>Table_246[[#This Row],[Valor da 
venda]]-Table_246[[#This Row],[Valor gasto]]</f>
        <v>0</v>
      </c>
      <c r="M864" s="111">
        <f t="shared" si="46"/>
        <v>0</v>
      </c>
      <c r="N864" s="112"/>
      <c r="O864" s="114" t="str">
        <f>IF([1]!Table_246[[#This Row],[Coluna2]]&gt;0.5, "🔥 Excelente", IF([1]!Table_246[[#This Row],[Coluna2]]&gt;0.4, "👍 Bom", "⚠️ Baixo"))</f>
        <v>⚠️ Baixo</v>
      </c>
    </row>
    <row r="865" spans="1:15" ht="15" customHeight="1">
      <c r="A865" s="28" t="str">
        <f>IF(Table_246[[#This Row],[Data]]="","",MONTH(Table_246[[#This Row],[Data]]))</f>
        <v/>
      </c>
      <c r="B865" s="32"/>
      <c r="C865" s="36"/>
      <c r="D865" s="43"/>
      <c r="E865" s="48"/>
      <c r="F865" s="48"/>
      <c r="G865" s="49" t="str">
        <f>IFERROR(VLOOKUP(C865,PROD!$A$2:$E$1204,5,0),"0")</f>
        <v>0</v>
      </c>
      <c r="H865" s="10">
        <f>Table_246[[#This Row],[QT]]*Table_246[[#This Row],[Custo 
Un]]</f>
        <v>0</v>
      </c>
      <c r="I865" s="52"/>
      <c r="J865" s="263">
        <f t="shared" si="45"/>
        <v>0</v>
      </c>
      <c r="K865" s="10">
        <f t="shared" si="44"/>
        <v>0</v>
      </c>
      <c r="L865" s="50">
        <f>Table_246[[#This Row],[Valor da 
venda]]-Table_246[[#This Row],[Valor gasto]]</f>
        <v>0</v>
      </c>
      <c r="M865" s="111">
        <f t="shared" si="46"/>
        <v>0</v>
      </c>
      <c r="N865" s="112"/>
      <c r="O865" s="114" t="str">
        <f>IF([1]!Table_246[[#This Row],[Coluna2]]&gt;0.5, "🔥 Excelente", IF([1]!Table_246[[#This Row],[Coluna2]]&gt;0.4, "👍 Bom", "⚠️ Baixo"))</f>
        <v>⚠️ Baixo</v>
      </c>
    </row>
    <row r="866" spans="1:15" ht="15" customHeight="1">
      <c r="A866" s="28" t="str">
        <f>IF(Table_246[[#This Row],[Data]]="","",MONTH(Table_246[[#This Row],[Data]]))</f>
        <v/>
      </c>
      <c r="B866" s="32"/>
      <c r="C866" s="36"/>
      <c r="D866" s="43"/>
      <c r="E866" s="48"/>
      <c r="F866" s="48"/>
      <c r="G866" s="49" t="str">
        <f>IFERROR(VLOOKUP(C866,PROD!$A$2:$E$1204,5,0),"0")</f>
        <v>0</v>
      </c>
      <c r="H866" s="10">
        <f>Table_246[[#This Row],[QT]]*Table_246[[#This Row],[Custo 
Un]]</f>
        <v>0</v>
      </c>
      <c r="I866" s="52"/>
      <c r="J866" s="263">
        <f t="shared" si="45"/>
        <v>0</v>
      </c>
      <c r="K866" s="10">
        <f t="shared" si="44"/>
        <v>0</v>
      </c>
      <c r="L866" s="50">
        <f>Table_246[[#This Row],[Valor da 
venda]]-Table_246[[#This Row],[Valor gasto]]</f>
        <v>0</v>
      </c>
      <c r="M866" s="111">
        <f t="shared" si="46"/>
        <v>0</v>
      </c>
      <c r="N866" s="112"/>
      <c r="O866" s="114" t="str">
        <f>IF([1]!Table_246[[#This Row],[Coluna2]]&gt;0.5, "🔥 Excelente", IF([1]!Table_246[[#This Row],[Coluna2]]&gt;0.4, "👍 Bom", "⚠️ Baixo"))</f>
        <v>⚠️ Baixo</v>
      </c>
    </row>
    <row r="867" spans="1:15" ht="15" customHeight="1">
      <c r="A867" s="28" t="str">
        <f>IF(Table_246[[#This Row],[Data]]="","",MONTH(Table_246[[#This Row],[Data]]))</f>
        <v/>
      </c>
      <c r="B867" s="32"/>
      <c r="C867" s="36"/>
      <c r="D867" s="43"/>
      <c r="E867" s="48"/>
      <c r="F867" s="48"/>
      <c r="G867" s="49" t="str">
        <f>IFERROR(VLOOKUP(C867,PROD!$A$2:$E$1204,5,0),"0")</f>
        <v>0</v>
      </c>
      <c r="H867" s="10">
        <f>Table_246[[#This Row],[QT]]*Table_246[[#This Row],[Custo 
Un]]</f>
        <v>0</v>
      </c>
      <c r="I867" s="52"/>
      <c r="J867" s="263">
        <f t="shared" si="45"/>
        <v>0</v>
      </c>
      <c r="K867" s="10">
        <f t="shared" si="44"/>
        <v>0</v>
      </c>
      <c r="L867" s="50">
        <f>Table_246[[#This Row],[Valor da 
venda]]-Table_246[[#This Row],[Valor gasto]]</f>
        <v>0</v>
      </c>
      <c r="M867" s="111">
        <f t="shared" si="46"/>
        <v>0</v>
      </c>
      <c r="N867" s="112"/>
      <c r="O867" s="114" t="str">
        <f>IF([1]!Table_246[[#This Row],[Coluna2]]&gt;0.5, "🔥 Excelente", IF([1]!Table_246[[#This Row],[Coluna2]]&gt;0.4, "👍 Bom", "⚠️ Baixo"))</f>
        <v>⚠️ Baixo</v>
      </c>
    </row>
    <row r="868" spans="1:15" ht="15" customHeight="1">
      <c r="A868" s="28" t="str">
        <f>IF(Table_246[[#This Row],[Data]]="","",MONTH(Table_246[[#This Row],[Data]]))</f>
        <v/>
      </c>
      <c r="B868" s="32"/>
      <c r="C868" s="36"/>
      <c r="D868" s="43"/>
      <c r="E868" s="48"/>
      <c r="F868" s="48"/>
      <c r="G868" s="49" t="str">
        <f>IFERROR(VLOOKUP(C868,PROD!$A$2:$E$1204,5,0),"0")</f>
        <v>0</v>
      </c>
      <c r="H868" s="10">
        <f>Table_246[[#This Row],[QT]]*Table_246[[#This Row],[Custo 
Un]]</f>
        <v>0</v>
      </c>
      <c r="I868" s="52"/>
      <c r="J868" s="263">
        <f t="shared" si="45"/>
        <v>0</v>
      </c>
      <c r="K868" s="10">
        <f t="shared" si="44"/>
        <v>0</v>
      </c>
      <c r="L868" s="50">
        <f>Table_246[[#This Row],[Valor da 
venda]]-Table_246[[#This Row],[Valor gasto]]</f>
        <v>0</v>
      </c>
      <c r="M868" s="111">
        <f t="shared" si="46"/>
        <v>0</v>
      </c>
      <c r="N868" s="112"/>
      <c r="O868" s="114" t="str">
        <f>IF([1]!Table_246[[#This Row],[Coluna2]]&gt;0.5, "🔥 Excelente", IF([1]!Table_246[[#This Row],[Coluna2]]&gt;0.4, "👍 Bom", "⚠️ Baixo"))</f>
        <v>⚠️ Baixo</v>
      </c>
    </row>
    <row r="869" spans="1:15" ht="15" customHeight="1">
      <c r="A869" s="28" t="str">
        <f>IF(Table_246[[#This Row],[Data]]="","",MONTH(Table_246[[#This Row],[Data]]))</f>
        <v/>
      </c>
      <c r="B869" s="32"/>
      <c r="C869" s="36"/>
      <c r="D869" s="43"/>
      <c r="E869" s="48"/>
      <c r="F869" s="48"/>
      <c r="G869" s="49" t="str">
        <f>IFERROR(VLOOKUP(C869,PROD!$A$2:$E$1204,5,0),"0")</f>
        <v>0</v>
      </c>
      <c r="H869" s="10">
        <f>Table_246[[#This Row],[QT]]*Table_246[[#This Row],[Custo 
Un]]</f>
        <v>0</v>
      </c>
      <c r="I869" s="52"/>
      <c r="J869" s="263">
        <f t="shared" si="45"/>
        <v>0</v>
      </c>
      <c r="K869" s="10">
        <f t="shared" si="44"/>
        <v>0</v>
      </c>
      <c r="L869" s="50">
        <f>Table_246[[#This Row],[Valor da 
venda]]-Table_246[[#This Row],[Valor gasto]]</f>
        <v>0</v>
      </c>
      <c r="M869" s="111">
        <f t="shared" si="46"/>
        <v>0</v>
      </c>
      <c r="N869" s="112"/>
      <c r="O869" s="114" t="str">
        <f>IF([1]!Table_246[[#This Row],[Coluna2]]&gt;0.5, "🔥 Excelente", IF([1]!Table_246[[#This Row],[Coluna2]]&gt;0.4, "👍 Bom", "⚠️ Baixo"))</f>
        <v>⚠️ Baixo</v>
      </c>
    </row>
    <row r="870" spans="1:15" ht="15" customHeight="1">
      <c r="A870" s="28" t="str">
        <f>IF(Table_246[[#This Row],[Data]]="","",MONTH(Table_246[[#This Row],[Data]]))</f>
        <v/>
      </c>
      <c r="B870" s="32"/>
      <c r="C870" s="36"/>
      <c r="D870" s="43"/>
      <c r="E870" s="48"/>
      <c r="F870" s="48"/>
      <c r="G870" s="49" t="str">
        <f>IFERROR(VLOOKUP(C870,PROD!$A$2:$E$1204,5,0),"0")</f>
        <v>0</v>
      </c>
      <c r="H870" s="10">
        <f>Table_246[[#This Row],[QT]]*Table_246[[#This Row],[Custo 
Un]]</f>
        <v>0</v>
      </c>
      <c r="I870" s="52"/>
      <c r="J870" s="263">
        <f t="shared" si="45"/>
        <v>0</v>
      </c>
      <c r="K870" s="10">
        <f t="shared" si="44"/>
        <v>0</v>
      </c>
      <c r="L870" s="50">
        <f>Table_246[[#This Row],[Valor da 
venda]]-Table_246[[#This Row],[Valor gasto]]</f>
        <v>0</v>
      </c>
      <c r="M870" s="111">
        <f t="shared" si="46"/>
        <v>0</v>
      </c>
      <c r="N870" s="112"/>
      <c r="O870" s="114" t="str">
        <f>IF([1]!Table_246[[#This Row],[Coluna2]]&gt;0.5, "🔥 Excelente", IF([1]!Table_246[[#This Row],[Coluna2]]&gt;0.4, "👍 Bom", "⚠️ Baixo"))</f>
        <v>⚠️ Baixo</v>
      </c>
    </row>
    <row r="871" spans="1:15" ht="15" customHeight="1">
      <c r="A871" s="28" t="str">
        <f>IF(Table_246[[#This Row],[Data]]="","",MONTH(Table_246[[#This Row],[Data]]))</f>
        <v/>
      </c>
      <c r="B871" s="32"/>
      <c r="C871" s="36"/>
      <c r="D871" s="43"/>
      <c r="E871" s="48"/>
      <c r="F871" s="48"/>
      <c r="G871" s="49" t="str">
        <f>IFERROR(VLOOKUP(C871,PROD!$A$2:$E$1204,5,0),"0")</f>
        <v>0</v>
      </c>
      <c r="H871" s="10">
        <f>Table_246[[#This Row],[QT]]*Table_246[[#This Row],[Custo 
Un]]</f>
        <v>0</v>
      </c>
      <c r="I871" s="52"/>
      <c r="J871" s="263">
        <f t="shared" si="45"/>
        <v>0</v>
      </c>
      <c r="K871" s="10">
        <f t="shared" si="44"/>
        <v>0</v>
      </c>
      <c r="L871" s="50">
        <f>Table_246[[#This Row],[Valor da 
venda]]-Table_246[[#This Row],[Valor gasto]]</f>
        <v>0</v>
      </c>
      <c r="M871" s="111">
        <f t="shared" si="46"/>
        <v>0</v>
      </c>
      <c r="N871" s="112"/>
      <c r="O871" s="114" t="str">
        <f>IF([1]!Table_246[[#This Row],[Coluna2]]&gt;0.5, "🔥 Excelente", IF([1]!Table_246[[#This Row],[Coluna2]]&gt;0.4, "👍 Bom", "⚠️ Baixo"))</f>
        <v>⚠️ Baixo</v>
      </c>
    </row>
    <row r="872" spans="1:15" ht="15" customHeight="1">
      <c r="A872" s="28" t="str">
        <f>IF(Table_246[[#This Row],[Data]]="","",MONTH(Table_246[[#This Row],[Data]]))</f>
        <v/>
      </c>
      <c r="B872" s="32"/>
      <c r="C872" s="36"/>
      <c r="D872" s="43"/>
      <c r="E872" s="48"/>
      <c r="F872" s="48"/>
      <c r="G872" s="49" t="str">
        <f>IFERROR(VLOOKUP(C872,PROD!$A$2:$E$1204,5,0),"0")</f>
        <v>0</v>
      </c>
      <c r="H872" s="10">
        <f>Table_246[[#This Row],[QT]]*Table_246[[#This Row],[Custo 
Un]]</f>
        <v>0</v>
      </c>
      <c r="I872" s="52"/>
      <c r="J872" s="263">
        <f t="shared" si="45"/>
        <v>0</v>
      </c>
      <c r="K872" s="10">
        <f t="shared" si="44"/>
        <v>0</v>
      </c>
      <c r="L872" s="50">
        <f>Table_246[[#This Row],[Valor da 
venda]]-Table_246[[#This Row],[Valor gasto]]</f>
        <v>0</v>
      </c>
      <c r="M872" s="111">
        <f t="shared" si="46"/>
        <v>0</v>
      </c>
      <c r="N872" s="112"/>
      <c r="O872" s="114" t="str">
        <f>IF([1]!Table_246[[#This Row],[Coluna2]]&gt;0.5, "🔥 Excelente", IF([1]!Table_246[[#This Row],[Coluna2]]&gt;0.4, "👍 Bom", "⚠️ Baixo"))</f>
        <v>⚠️ Baixo</v>
      </c>
    </row>
    <row r="873" spans="1:15" ht="15" customHeight="1">
      <c r="A873" s="28" t="str">
        <f>IF(Table_246[[#This Row],[Data]]="","",MONTH(Table_246[[#This Row],[Data]]))</f>
        <v/>
      </c>
      <c r="B873" s="32"/>
      <c r="C873" s="36"/>
      <c r="D873" s="43"/>
      <c r="E873" s="48"/>
      <c r="F873" s="48"/>
      <c r="G873" s="49" t="str">
        <f>IFERROR(VLOOKUP(C873,PROD!$A$2:$E$1204,5,0),"0")</f>
        <v>0</v>
      </c>
      <c r="H873" s="10">
        <f>Table_246[[#This Row],[QT]]*Table_246[[#This Row],[Custo 
Un]]</f>
        <v>0</v>
      </c>
      <c r="I873" s="52"/>
      <c r="J873" s="263">
        <f t="shared" si="45"/>
        <v>0</v>
      </c>
      <c r="K873" s="10">
        <f t="shared" si="44"/>
        <v>0</v>
      </c>
      <c r="L873" s="50">
        <f>Table_246[[#This Row],[Valor da 
venda]]-Table_246[[#This Row],[Valor gasto]]</f>
        <v>0</v>
      </c>
      <c r="M873" s="111">
        <f t="shared" si="46"/>
        <v>0</v>
      </c>
      <c r="N873" s="112"/>
      <c r="O873" s="114" t="str">
        <f>IF([1]!Table_246[[#This Row],[Coluna2]]&gt;0.5, "🔥 Excelente", IF([1]!Table_246[[#This Row],[Coluna2]]&gt;0.4, "👍 Bom", "⚠️ Baixo"))</f>
        <v>⚠️ Baixo</v>
      </c>
    </row>
    <row r="874" spans="1:15" ht="15" customHeight="1">
      <c r="A874" s="28" t="str">
        <f>IF(Table_246[[#This Row],[Data]]="","",MONTH(Table_246[[#This Row],[Data]]))</f>
        <v/>
      </c>
      <c r="B874" s="32"/>
      <c r="C874" s="36"/>
      <c r="D874" s="43"/>
      <c r="E874" s="48"/>
      <c r="F874" s="48"/>
      <c r="G874" s="49" t="str">
        <f>IFERROR(VLOOKUP(C874,PROD!$A$2:$E$1204,5,0),"0")</f>
        <v>0</v>
      </c>
      <c r="H874" s="10">
        <f>Table_246[[#This Row],[QT]]*Table_246[[#This Row],[Custo 
Un]]</f>
        <v>0</v>
      </c>
      <c r="I874" s="52"/>
      <c r="J874" s="263">
        <f t="shared" si="45"/>
        <v>0</v>
      </c>
      <c r="K874" s="10">
        <f t="shared" si="44"/>
        <v>0</v>
      </c>
      <c r="L874" s="50">
        <f>Table_246[[#This Row],[Valor da 
venda]]-Table_246[[#This Row],[Valor gasto]]</f>
        <v>0</v>
      </c>
      <c r="M874" s="111">
        <f t="shared" si="46"/>
        <v>0</v>
      </c>
      <c r="N874" s="112"/>
      <c r="O874" s="114" t="str">
        <f>IF([1]!Table_246[[#This Row],[Coluna2]]&gt;0.5, "🔥 Excelente", IF([1]!Table_246[[#This Row],[Coluna2]]&gt;0.4, "👍 Bom", "⚠️ Baixo"))</f>
        <v>⚠️ Baixo</v>
      </c>
    </row>
    <row r="875" spans="1:15" ht="15" customHeight="1">
      <c r="A875" s="28" t="str">
        <f>IF(Table_246[[#This Row],[Data]]="","",MONTH(Table_246[[#This Row],[Data]]))</f>
        <v/>
      </c>
      <c r="B875" s="32"/>
      <c r="C875" s="36"/>
      <c r="D875" s="43"/>
      <c r="E875" s="48"/>
      <c r="F875" s="48"/>
      <c r="G875" s="49" t="str">
        <f>IFERROR(VLOOKUP(C875,PROD!$A$2:$E$1204,5,0),"0")</f>
        <v>0</v>
      </c>
      <c r="H875" s="10">
        <f>Table_246[[#This Row],[QT]]*Table_246[[#This Row],[Custo 
Un]]</f>
        <v>0</v>
      </c>
      <c r="I875" s="52"/>
      <c r="J875" s="263">
        <f t="shared" si="45"/>
        <v>0</v>
      </c>
      <c r="K875" s="10">
        <f t="shared" si="44"/>
        <v>0</v>
      </c>
      <c r="L875" s="50">
        <f>Table_246[[#This Row],[Valor da 
venda]]-Table_246[[#This Row],[Valor gasto]]</f>
        <v>0</v>
      </c>
      <c r="M875" s="111">
        <f t="shared" si="46"/>
        <v>0</v>
      </c>
      <c r="N875" s="112"/>
      <c r="O875" s="114" t="str">
        <f>IF([1]!Table_246[[#This Row],[Coluna2]]&gt;0.5, "🔥 Excelente", IF([1]!Table_246[[#This Row],[Coluna2]]&gt;0.4, "👍 Bom", "⚠️ Baixo"))</f>
        <v>⚠️ Baixo</v>
      </c>
    </row>
    <row r="876" spans="1:15" ht="15" customHeight="1">
      <c r="A876" s="28" t="str">
        <f>IF(Table_246[[#This Row],[Data]]="","",MONTH(Table_246[[#This Row],[Data]]))</f>
        <v/>
      </c>
      <c r="B876" s="32"/>
      <c r="C876" s="36"/>
      <c r="D876" s="43"/>
      <c r="E876" s="48"/>
      <c r="F876" s="48"/>
      <c r="G876" s="49" t="str">
        <f>IFERROR(VLOOKUP(C876,PROD!$A$2:$E$1204,5,0),"0")</f>
        <v>0</v>
      </c>
      <c r="H876" s="10">
        <f>Table_246[[#This Row],[QT]]*Table_246[[#This Row],[Custo 
Un]]</f>
        <v>0</v>
      </c>
      <c r="I876" s="52"/>
      <c r="J876" s="263">
        <f t="shared" si="45"/>
        <v>0</v>
      </c>
      <c r="K876" s="10">
        <f t="shared" si="44"/>
        <v>0</v>
      </c>
      <c r="L876" s="50">
        <f>Table_246[[#This Row],[Valor da 
venda]]-Table_246[[#This Row],[Valor gasto]]</f>
        <v>0</v>
      </c>
      <c r="M876" s="111">
        <f t="shared" si="46"/>
        <v>0</v>
      </c>
      <c r="N876" s="112"/>
      <c r="O876" s="114" t="str">
        <f>IF([1]!Table_246[[#This Row],[Coluna2]]&gt;0.5, "🔥 Excelente", IF([1]!Table_246[[#This Row],[Coluna2]]&gt;0.4, "👍 Bom", "⚠️ Baixo"))</f>
        <v>⚠️ Baixo</v>
      </c>
    </row>
    <row r="877" spans="1:15" ht="15" customHeight="1">
      <c r="A877" s="28" t="str">
        <f>IF(Table_246[[#This Row],[Data]]="","",MONTH(Table_246[[#This Row],[Data]]))</f>
        <v/>
      </c>
      <c r="B877" s="32"/>
      <c r="C877" s="36"/>
      <c r="D877" s="43"/>
      <c r="E877" s="48"/>
      <c r="F877" s="48"/>
      <c r="G877" s="49" t="str">
        <f>IFERROR(VLOOKUP(C877,PROD!$A$2:$E$1204,5,0),"0")</f>
        <v>0</v>
      </c>
      <c r="H877" s="10">
        <f>Table_246[[#This Row],[QT]]*Table_246[[#This Row],[Custo 
Un]]</f>
        <v>0</v>
      </c>
      <c r="I877" s="52"/>
      <c r="J877" s="263">
        <f t="shared" si="45"/>
        <v>0</v>
      </c>
      <c r="K877" s="10">
        <f t="shared" si="44"/>
        <v>0</v>
      </c>
      <c r="L877" s="50">
        <f>Table_246[[#This Row],[Valor da 
venda]]-Table_246[[#This Row],[Valor gasto]]</f>
        <v>0</v>
      </c>
      <c r="M877" s="111">
        <f t="shared" si="46"/>
        <v>0</v>
      </c>
      <c r="N877" s="112"/>
      <c r="O877" s="114" t="str">
        <f>IF([1]!Table_246[[#This Row],[Coluna2]]&gt;0.5, "🔥 Excelente", IF([1]!Table_246[[#This Row],[Coluna2]]&gt;0.4, "👍 Bom", "⚠️ Baixo"))</f>
        <v>⚠️ Baixo</v>
      </c>
    </row>
    <row r="878" spans="1:15" ht="15" customHeight="1">
      <c r="A878" s="28" t="str">
        <f>IF(Table_246[[#This Row],[Data]]="","",MONTH(Table_246[[#This Row],[Data]]))</f>
        <v/>
      </c>
      <c r="B878" s="32"/>
      <c r="C878" s="36"/>
      <c r="D878" s="43"/>
      <c r="E878" s="48"/>
      <c r="F878" s="48"/>
      <c r="G878" s="49" t="str">
        <f>IFERROR(VLOOKUP(C878,PROD!$A$2:$E$1204,5,0),"0")</f>
        <v>0</v>
      </c>
      <c r="H878" s="10">
        <f>Table_246[[#This Row],[QT]]*Table_246[[#This Row],[Custo 
Un]]</f>
        <v>0</v>
      </c>
      <c r="I878" s="52"/>
      <c r="J878" s="263">
        <f t="shared" si="45"/>
        <v>0</v>
      </c>
      <c r="K878" s="10">
        <f t="shared" si="44"/>
        <v>0</v>
      </c>
      <c r="L878" s="50">
        <f>Table_246[[#This Row],[Valor da 
venda]]-Table_246[[#This Row],[Valor gasto]]</f>
        <v>0</v>
      </c>
      <c r="M878" s="111">
        <f t="shared" si="46"/>
        <v>0</v>
      </c>
      <c r="N878" s="112"/>
      <c r="O878" s="114" t="str">
        <f>IF([1]!Table_246[[#This Row],[Coluna2]]&gt;0.5, "🔥 Excelente", IF([1]!Table_246[[#This Row],[Coluna2]]&gt;0.4, "👍 Bom", "⚠️ Baixo"))</f>
        <v>⚠️ Baixo</v>
      </c>
    </row>
    <row r="879" spans="1:15" ht="15" customHeight="1">
      <c r="A879" s="28" t="str">
        <f>IF(Table_246[[#This Row],[Data]]="","",MONTH(Table_246[[#This Row],[Data]]))</f>
        <v/>
      </c>
      <c r="B879" s="32"/>
      <c r="C879" s="36"/>
      <c r="D879" s="43"/>
      <c r="E879" s="48"/>
      <c r="F879" s="48"/>
      <c r="G879" s="49" t="str">
        <f>IFERROR(VLOOKUP(C879,PROD!$A$2:$E$1204,5,0),"0")</f>
        <v>0</v>
      </c>
      <c r="H879" s="10">
        <f>Table_246[[#This Row],[QT]]*Table_246[[#This Row],[Custo 
Un]]</f>
        <v>0</v>
      </c>
      <c r="I879" s="52"/>
      <c r="J879" s="263">
        <f t="shared" si="45"/>
        <v>0</v>
      </c>
      <c r="K879" s="10">
        <f t="shared" si="44"/>
        <v>0</v>
      </c>
      <c r="L879" s="50">
        <f>Table_246[[#This Row],[Valor da 
venda]]-Table_246[[#This Row],[Valor gasto]]</f>
        <v>0</v>
      </c>
      <c r="M879" s="111">
        <f t="shared" si="46"/>
        <v>0</v>
      </c>
      <c r="N879" s="112"/>
      <c r="O879" s="114" t="str">
        <f>IF([1]!Table_246[[#This Row],[Coluna2]]&gt;0.5, "🔥 Excelente", IF([1]!Table_246[[#This Row],[Coluna2]]&gt;0.4, "👍 Bom", "⚠️ Baixo"))</f>
        <v>⚠️ Baixo</v>
      </c>
    </row>
    <row r="880" spans="1:15" ht="15" customHeight="1">
      <c r="A880" s="28" t="str">
        <f>IF(Table_246[[#This Row],[Data]]="","",MONTH(Table_246[[#This Row],[Data]]))</f>
        <v/>
      </c>
      <c r="B880" s="32"/>
      <c r="C880" s="36"/>
      <c r="D880" s="43"/>
      <c r="E880" s="48"/>
      <c r="F880" s="48"/>
      <c r="G880" s="49" t="str">
        <f>IFERROR(VLOOKUP(C880,PROD!$A$2:$E$1204,5,0),"0")</f>
        <v>0</v>
      </c>
      <c r="H880" s="10">
        <f>Table_246[[#This Row],[QT]]*Table_246[[#This Row],[Custo 
Un]]</f>
        <v>0</v>
      </c>
      <c r="I880" s="52"/>
      <c r="J880" s="263">
        <f t="shared" si="45"/>
        <v>0</v>
      </c>
      <c r="K880" s="10">
        <f t="shared" si="44"/>
        <v>0</v>
      </c>
      <c r="L880" s="50">
        <f>Table_246[[#This Row],[Valor da 
venda]]-Table_246[[#This Row],[Valor gasto]]</f>
        <v>0</v>
      </c>
      <c r="M880" s="111">
        <f t="shared" si="46"/>
        <v>0</v>
      </c>
      <c r="N880" s="112"/>
      <c r="O880" s="114" t="str">
        <f>IF([1]!Table_246[[#This Row],[Coluna2]]&gt;0.5, "🔥 Excelente", IF([1]!Table_246[[#This Row],[Coluna2]]&gt;0.4, "👍 Bom", "⚠️ Baixo"))</f>
        <v>⚠️ Baixo</v>
      </c>
    </row>
    <row r="881" spans="1:15" ht="15" customHeight="1">
      <c r="A881" s="28" t="str">
        <f>IF(Table_246[[#This Row],[Data]]="","",MONTH(Table_246[[#This Row],[Data]]))</f>
        <v/>
      </c>
      <c r="B881" s="32"/>
      <c r="C881" s="36"/>
      <c r="D881" s="43"/>
      <c r="E881" s="48"/>
      <c r="F881" s="48"/>
      <c r="G881" s="49" t="str">
        <f>IFERROR(VLOOKUP(C881,PROD!$A$2:$E$1204,5,0),"0")</f>
        <v>0</v>
      </c>
      <c r="H881" s="10">
        <f>Table_246[[#This Row],[QT]]*Table_246[[#This Row],[Custo 
Un]]</f>
        <v>0</v>
      </c>
      <c r="I881" s="52"/>
      <c r="J881" s="263">
        <f t="shared" si="45"/>
        <v>0</v>
      </c>
      <c r="K881" s="10">
        <f t="shared" si="44"/>
        <v>0</v>
      </c>
      <c r="L881" s="50">
        <f>Table_246[[#This Row],[Valor da 
venda]]-Table_246[[#This Row],[Valor gasto]]</f>
        <v>0</v>
      </c>
      <c r="M881" s="111">
        <f t="shared" si="46"/>
        <v>0</v>
      </c>
      <c r="N881" s="112"/>
      <c r="O881" s="114" t="str">
        <f>IF([1]!Table_246[[#This Row],[Coluna2]]&gt;0.5, "🔥 Excelente", IF([1]!Table_246[[#This Row],[Coluna2]]&gt;0.4, "👍 Bom", "⚠️ Baixo"))</f>
        <v>⚠️ Baixo</v>
      </c>
    </row>
    <row r="882" spans="1:15" ht="15" customHeight="1">
      <c r="A882" s="28" t="str">
        <f>IF(Table_246[[#This Row],[Data]]="","",MONTH(Table_246[[#This Row],[Data]]))</f>
        <v/>
      </c>
      <c r="B882" s="32"/>
      <c r="C882" s="36"/>
      <c r="D882" s="43"/>
      <c r="E882" s="48"/>
      <c r="F882" s="48"/>
      <c r="G882" s="49" t="str">
        <f>IFERROR(VLOOKUP(C882,PROD!$A$2:$E$1204,5,0),"0")</f>
        <v>0</v>
      </c>
      <c r="H882" s="10">
        <f>Table_246[[#This Row],[QT]]*Table_246[[#This Row],[Custo 
Un]]</f>
        <v>0</v>
      </c>
      <c r="I882" s="52"/>
      <c r="J882" s="263">
        <f t="shared" si="45"/>
        <v>0</v>
      </c>
      <c r="K882" s="10">
        <f t="shared" si="44"/>
        <v>0</v>
      </c>
      <c r="L882" s="50">
        <f>Table_246[[#This Row],[Valor da 
venda]]-Table_246[[#This Row],[Valor gasto]]</f>
        <v>0</v>
      </c>
      <c r="M882" s="111">
        <f t="shared" si="46"/>
        <v>0</v>
      </c>
      <c r="N882" s="112"/>
      <c r="O882" s="114" t="str">
        <f>IF([1]!Table_246[[#This Row],[Coluna2]]&gt;0.5, "🔥 Excelente", IF([1]!Table_246[[#This Row],[Coluna2]]&gt;0.4, "👍 Bom", "⚠️ Baixo"))</f>
        <v>⚠️ Baixo</v>
      </c>
    </row>
    <row r="883" spans="1:15" ht="15" customHeight="1">
      <c r="A883" s="28" t="str">
        <f>IF(Table_246[[#This Row],[Data]]="","",MONTH(Table_246[[#This Row],[Data]]))</f>
        <v/>
      </c>
      <c r="B883" s="32"/>
      <c r="C883" s="36"/>
      <c r="D883" s="43"/>
      <c r="E883" s="48"/>
      <c r="F883" s="48"/>
      <c r="G883" s="49" t="str">
        <f>IFERROR(VLOOKUP(C883,PROD!$A$2:$E$1204,5,0),"0")</f>
        <v>0</v>
      </c>
      <c r="H883" s="10">
        <f>Table_246[[#This Row],[QT]]*Table_246[[#This Row],[Custo 
Un]]</f>
        <v>0</v>
      </c>
      <c r="I883" s="52"/>
      <c r="J883" s="263">
        <f t="shared" si="45"/>
        <v>0</v>
      </c>
      <c r="K883" s="10">
        <f t="shared" si="44"/>
        <v>0</v>
      </c>
      <c r="L883" s="50">
        <f>Table_246[[#This Row],[Valor da 
venda]]-Table_246[[#This Row],[Valor gasto]]</f>
        <v>0</v>
      </c>
      <c r="M883" s="111">
        <f t="shared" si="46"/>
        <v>0</v>
      </c>
      <c r="N883" s="112"/>
      <c r="O883" s="114" t="str">
        <f>IF([1]!Table_246[[#This Row],[Coluna2]]&gt;0.5, "🔥 Excelente", IF([1]!Table_246[[#This Row],[Coluna2]]&gt;0.4, "👍 Bom", "⚠️ Baixo"))</f>
        <v>⚠️ Baixo</v>
      </c>
    </row>
    <row r="884" spans="1:15" ht="15" customHeight="1">
      <c r="A884" s="28" t="str">
        <f>IF(Table_246[[#This Row],[Data]]="","",MONTH(Table_246[[#This Row],[Data]]))</f>
        <v/>
      </c>
      <c r="B884" s="32"/>
      <c r="C884" s="36"/>
      <c r="D884" s="43"/>
      <c r="E884" s="48"/>
      <c r="F884" s="48"/>
      <c r="G884" s="49" t="str">
        <f>IFERROR(VLOOKUP(C884,PROD!$A$2:$E$1204,5,0),"0")</f>
        <v>0</v>
      </c>
      <c r="H884" s="10">
        <f>Table_246[[#This Row],[QT]]*Table_246[[#This Row],[Custo 
Un]]</f>
        <v>0</v>
      </c>
      <c r="I884" s="52"/>
      <c r="J884" s="263">
        <f t="shared" si="45"/>
        <v>0</v>
      </c>
      <c r="K884" s="10">
        <f t="shared" ref="K884:K947" si="47">I884*D884</f>
        <v>0</v>
      </c>
      <c r="L884" s="50">
        <f>Table_246[[#This Row],[Valor da 
venda]]-Table_246[[#This Row],[Valor gasto]]</f>
        <v>0</v>
      </c>
      <c r="M884" s="111">
        <f t="shared" si="46"/>
        <v>0</v>
      </c>
      <c r="N884" s="112"/>
      <c r="O884" s="114" t="str">
        <f>IF([1]!Table_246[[#This Row],[Coluna2]]&gt;0.5, "🔥 Excelente", IF([1]!Table_246[[#This Row],[Coluna2]]&gt;0.4, "👍 Bom", "⚠️ Baixo"))</f>
        <v>⚠️ Baixo</v>
      </c>
    </row>
    <row r="885" spans="1:15" ht="15" customHeight="1">
      <c r="A885" s="28" t="str">
        <f>IF(Table_246[[#This Row],[Data]]="","",MONTH(Table_246[[#This Row],[Data]]))</f>
        <v/>
      </c>
      <c r="B885" s="32"/>
      <c r="C885" s="36"/>
      <c r="D885" s="43"/>
      <c r="E885" s="48"/>
      <c r="F885" s="48"/>
      <c r="G885" s="49" t="str">
        <f>IFERROR(VLOOKUP(C885,PROD!$A$2:$E$1204,5,0),"0")</f>
        <v>0</v>
      </c>
      <c r="H885" s="10">
        <f>Table_246[[#This Row],[QT]]*Table_246[[#This Row],[Custo 
Un]]</f>
        <v>0</v>
      </c>
      <c r="I885" s="52"/>
      <c r="J885" s="263">
        <f t="shared" si="45"/>
        <v>0</v>
      </c>
      <c r="K885" s="10">
        <f t="shared" si="47"/>
        <v>0</v>
      </c>
      <c r="L885" s="50">
        <f>Table_246[[#This Row],[Valor da 
venda]]-Table_246[[#This Row],[Valor gasto]]</f>
        <v>0</v>
      </c>
      <c r="M885" s="111">
        <f t="shared" si="46"/>
        <v>0</v>
      </c>
      <c r="N885" s="112"/>
      <c r="O885" s="114" t="str">
        <f>IF([1]!Table_246[[#This Row],[Coluna2]]&gt;0.5, "🔥 Excelente", IF([1]!Table_246[[#This Row],[Coluna2]]&gt;0.4, "👍 Bom", "⚠️ Baixo"))</f>
        <v>⚠️ Baixo</v>
      </c>
    </row>
    <row r="886" spans="1:15" ht="15" customHeight="1">
      <c r="A886" s="28" t="str">
        <f>IF(Table_246[[#This Row],[Data]]="","",MONTH(Table_246[[#This Row],[Data]]))</f>
        <v/>
      </c>
      <c r="B886" s="32"/>
      <c r="C886" s="36"/>
      <c r="D886" s="43"/>
      <c r="E886" s="48"/>
      <c r="F886" s="48"/>
      <c r="G886" s="49" t="str">
        <f>IFERROR(VLOOKUP(C886,PROD!$A$2:$E$1204,5,0),"0")</f>
        <v>0</v>
      </c>
      <c r="H886" s="10">
        <f>Table_246[[#This Row],[QT]]*Table_246[[#This Row],[Custo 
Un]]</f>
        <v>0</v>
      </c>
      <c r="I886" s="52"/>
      <c r="J886" s="263">
        <f t="shared" si="45"/>
        <v>0</v>
      </c>
      <c r="K886" s="10">
        <f t="shared" si="47"/>
        <v>0</v>
      </c>
      <c r="L886" s="50">
        <f>Table_246[[#This Row],[Valor da 
venda]]-Table_246[[#This Row],[Valor gasto]]</f>
        <v>0</v>
      </c>
      <c r="M886" s="111">
        <f t="shared" si="46"/>
        <v>0</v>
      </c>
      <c r="N886" s="112"/>
      <c r="O886" s="114" t="str">
        <f>IF([1]!Table_246[[#This Row],[Coluna2]]&gt;0.5, "🔥 Excelente", IF([1]!Table_246[[#This Row],[Coluna2]]&gt;0.4, "👍 Bom", "⚠️ Baixo"))</f>
        <v>⚠️ Baixo</v>
      </c>
    </row>
    <row r="887" spans="1:15" ht="15" customHeight="1">
      <c r="A887" s="28" t="str">
        <f>IF(Table_246[[#This Row],[Data]]="","",MONTH(Table_246[[#This Row],[Data]]))</f>
        <v/>
      </c>
      <c r="B887" s="32"/>
      <c r="C887" s="36"/>
      <c r="D887" s="43"/>
      <c r="E887" s="48"/>
      <c r="F887" s="48"/>
      <c r="G887" s="49" t="str">
        <f>IFERROR(VLOOKUP(C887,PROD!$A$2:$E$1204,5,0),"0")</f>
        <v>0</v>
      </c>
      <c r="H887" s="10">
        <f>Table_246[[#This Row],[QT]]*Table_246[[#This Row],[Custo 
Un]]</f>
        <v>0</v>
      </c>
      <c r="I887" s="52"/>
      <c r="J887" s="263">
        <f t="shared" si="45"/>
        <v>0</v>
      </c>
      <c r="K887" s="10">
        <f t="shared" si="47"/>
        <v>0</v>
      </c>
      <c r="L887" s="50">
        <f>Table_246[[#This Row],[Valor da 
venda]]-Table_246[[#This Row],[Valor gasto]]</f>
        <v>0</v>
      </c>
      <c r="M887" s="111">
        <f t="shared" si="46"/>
        <v>0</v>
      </c>
      <c r="N887" s="112"/>
      <c r="O887" s="114" t="str">
        <f>IF([1]!Table_246[[#This Row],[Coluna2]]&gt;0.5, "🔥 Excelente", IF([1]!Table_246[[#This Row],[Coluna2]]&gt;0.4, "👍 Bom", "⚠️ Baixo"))</f>
        <v>⚠️ Baixo</v>
      </c>
    </row>
    <row r="888" spans="1:15" ht="15" customHeight="1">
      <c r="A888" s="28" t="str">
        <f>IF(Table_246[[#This Row],[Data]]="","",MONTH(Table_246[[#This Row],[Data]]))</f>
        <v/>
      </c>
      <c r="B888" s="32"/>
      <c r="C888" s="36"/>
      <c r="D888" s="43"/>
      <c r="E888" s="48"/>
      <c r="F888" s="48"/>
      <c r="G888" s="49" t="str">
        <f>IFERROR(VLOOKUP(C888,PROD!$A$2:$E$1204,5,0),"0")</f>
        <v>0</v>
      </c>
      <c r="H888" s="10">
        <f>Table_246[[#This Row],[QT]]*Table_246[[#This Row],[Custo 
Un]]</f>
        <v>0</v>
      </c>
      <c r="I888" s="52"/>
      <c r="J888" s="263">
        <f t="shared" si="45"/>
        <v>0</v>
      </c>
      <c r="K888" s="10">
        <f t="shared" si="47"/>
        <v>0</v>
      </c>
      <c r="L888" s="50">
        <f>Table_246[[#This Row],[Valor da 
venda]]-Table_246[[#This Row],[Valor gasto]]</f>
        <v>0</v>
      </c>
      <c r="M888" s="111">
        <f t="shared" si="46"/>
        <v>0</v>
      </c>
      <c r="N888" s="112"/>
      <c r="O888" s="114" t="str">
        <f>IF([1]!Table_246[[#This Row],[Coluna2]]&gt;0.5, "🔥 Excelente", IF([1]!Table_246[[#This Row],[Coluna2]]&gt;0.4, "👍 Bom", "⚠️ Baixo"))</f>
        <v>⚠️ Baixo</v>
      </c>
    </row>
    <row r="889" spans="1:15" ht="15" customHeight="1">
      <c r="A889" s="28" t="str">
        <f>IF(Table_246[[#This Row],[Data]]="","",MONTH(Table_246[[#This Row],[Data]]))</f>
        <v/>
      </c>
      <c r="B889" s="32"/>
      <c r="C889" s="36"/>
      <c r="D889" s="43"/>
      <c r="E889" s="48"/>
      <c r="F889" s="48"/>
      <c r="G889" s="49" t="str">
        <f>IFERROR(VLOOKUP(C889,PROD!$A$2:$E$1204,5,0),"0")</f>
        <v>0</v>
      </c>
      <c r="H889" s="10">
        <f>Table_246[[#This Row],[QT]]*Table_246[[#This Row],[Custo 
Un]]</f>
        <v>0</v>
      </c>
      <c r="I889" s="52"/>
      <c r="J889" s="263">
        <f t="shared" si="45"/>
        <v>0</v>
      </c>
      <c r="K889" s="10">
        <f t="shared" si="47"/>
        <v>0</v>
      </c>
      <c r="L889" s="50">
        <f>Table_246[[#This Row],[Valor da 
venda]]-Table_246[[#This Row],[Valor gasto]]</f>
        <v>0</v>
      </c>
      <c r="M889" s="111">
        <f t="shared" si="46"/>
        <v>0</v>
      </c>
      <c r="N889" s="112"/>
      <c r="O889" s="114" t="str">
        <f>IF([1]!Table_246[[#This Row],[Coluna2]]&gt;0.5, "🔥 Excelente", IF([1]!Table_246[[#This Row],[Coluna2]]&gt;0.4, "👍 Bom", "⚠️ Baixo"))</f>
        <v>⚠️ Baixo</v>
      </c>
    </row>
    <row r="890" spans="1:15" ht="15" customHeight="1">
      <c r="A890" s="28" t="str">
        <f>IF(Table_246[[#This Row],[Data]]="","",MONTH(Table_246[[#This Row],[Data]]))</f>
        <v/>
      </c>
      <c r="B890" s="32"/>
      <c r="C890" s="36"/>
      <c r="D890" s="43"/>
      <c r="E890" s="48"/>
      <c r="F890" s="48"/>
      <c r="G890" s="49" t="str">
        <f>IFERROR(VLOOKUP(C890,PROD!$A$2:$E$1204,5,0),"0")</f>
        <v>0</v>
      </c>
      <c r="H890" s="10">
        <f>Table_246[[#This Row],[QT]]*Table_246[[#This Row],[Custo 
Un]]</f>
        <v>0</v>
      </c>
      <c r="I890" s="52"/>
      <c r="J890" s="263">
        <f t="shared" si="45"/>
        <v>0</v>
      </c>
      <c r="K890" s="10">
        <f t="shared" si="47"/>
        <v>0</v>
      </c>
      <c r="L890" s="50">
        <f>Table_246[[#This Row],[Valor da 
venda]]-Table_246[[#This Row],[Valor gasto]]</f>
        <v>0</v>
      </c>
      <c r="M890" s="111">
        <f t="shared" si="46"/>
        <v>0</v>
      </c>
      <c r="N890" s="112"/>
      <c r="O890" s="114" t="str">
        <f>IF([1]!Table_246[[#This Row],[Coluna2]]&gt;0.5, "🔥 Excelente", IF([1]!Table_246[[#This Row],[Coluna2]]&gt;0.4, "👍 Bom", "⚠️ Baixo"))</f>
        <v>⚠️ Baixo</v>
      </c>
    </row>
    <row r="891" spans="1:15" ht="15" customHeight="1">
      <c r="A891" s="28" t="str">
        <f>IF(Table_246[[#This Row],[Data]]="","",MONTH(Table_246[[#This Row],[Data]]))</f>
        <v/>
      </c>
      <c r="B891" s="32"/>
      <c r="C891" s="36"/>
      <c r="D891" s="43"/>
      <c r="E891" s="48"/>
      <c r="F891" s="48"/>
      <c r="G891" s="49" t="str">
        <f>IFERROR(VLOOKUP(C891,PROD!$A$2:$E$1204,5,0),"0")</f>
        <v>0</v>
      </c>
      <c r="H891" s="10">
        <f>Table_246[[#This Row],[QT]]*Table_246[[#This Row],[Custo 
Un]]</f>
        <v>0</v>
      </c>
      <c r="I891" s="52"/>
      <c r="J891" s="263">
        <f t="shared" si="45"/>
        <v>0</v>
      </c>
      <c r="K891" s="10">
        <f t="shared" si="47"/>
        <v>0</v>
      </c>
      <c r="L891" s="50">
        <f>Table_246[[#This Row],[Valor da 
venda]]-Table_246[[#This Row],[Valor gasto]]</f>
        <v>0</v>
      </c>
      <c r="M891" s="111">
        <f t="shared" si="46"/>
        <v>0</v>
      </c>
      <c r="N891" s="112"/>
      <c r="O891" s="114" t="str">
        <f>IF([1]!Table_246[[#This Row],[Coluna2]]&gt;0.5, "🔥 Excelente", IF([1]!Table_246[[#This Row],[Coluna2]]&gt;0.4, "👍 Bom", "⚠️ Baixo"))</f>
        <v>⚠️ Baixo</v>
      </c>
    </row>
    <row r="892" spans="1:15" ht="15" customHeight="1">
      <c r="A892" s="28" t="str">
        <f>IF(Table_246[[#This Row],[Data]]="","",MONTH(Table_246[[#This Row],[Data]]))</f>
        <v/>
      </c>
      <c r="B892" s="32"/>
      <c r="C892" s="36"/>
      <c r="D892" s="43"/>
      <c r="E892" s="48"/>
      <c r="F892" s="48"/>
      <c r="G892" s="49" t="str">
        <f>IFERROR(VLOOKUP(C892,PROD!$A$2:$E$1204,5,0),"0")</f>
        <v>0</v>
      </c>
      <c r="H892" s="10">
        <f>Table_246[[#This Row],[QT]]*Table_246[[#This Row],[Custo 
Un]]</f>
        <v>0</v>
      </c>
      <c r="I892" s="52"/>
      <c r="J892" s="263">
        <f t="shared" si="45"/>
        <v>0</v>
      </c>
      <c r="K892" s="10">
        <f t="shared" si="47"/>
        <v>0</v>
      </c>
      <c r="L892" s="50">
        <f>Table_246[[#This Row],[Valor da 
venda]]-Table_246[[#This Row],[Valor gasto]]</f>
        <v>0</v>
      </c>
      <c r="M892" s="111">
        <f t="shared" si="46"/>
        <v>0</v>
      </c>
      <c r="N892" s="112"/>
      <c r="O892" s="114" t="str">
        <f>IF([1]!Table_246[[#This Row],[Coluna2]]&gt;0.5, "🔥 Excelente", IF([1]!Table_246[[#This Row],[Coluna2]]&gt;0.4, "👍 Bom", "⚠️ Baixo"))</f>
        <v>⚠️ Baixo</v>
      </c>
    </row>
    <row r="893" spans="1:15" ht="15" customHeight="1">
      <c r="A893" s="28" t="str">
        <f>IF(Table_246[[#This Row],[Data]]="","",MONTH(Table_246[[#This Row],[Data]]))</f>
        <v/>
      </c>
      <c r="B893" s="32"/>
      <c r="C893" s="36"/>
      <c r="D893" s="43"/>
      <c r="E893" s="48"/>
      <c r="F893" s="48"/>
      <c r="G893" s="49" t="str">
        <f>IFERROR(VLOOKUP(C893,PROD!$A$2:$E$1204,5,0),"0")</f>
        <v>0</v>
      </c>
      <c r="H893" s="10">
        <f>Table_246[[#This Row],[QT]]*Table_246[[#This Row],[Custo 
Un]]</f>
        <v>0</v>
      </c>
      <c r="I893" s="52"/>
      <c r="J893" s="263">
        <f t="shared" si="45"/>
        <v>0</v>
      </c>
      <c r="K893" s="10">
        <f t="shared" si="47"/>
        <v>0</v>
      </c>
      <c r="L893" s="50">
        <f>Table_246[[#This Row],[Valor da 
venda]]-Table_246[[#This Row],[Valor gasto]]</f>
        <v>0</v>
      </c>
      <c r="M893" s="111">
        <f t="shared" si="46"/>
        <v>0</v>
      </c>
      <c r="N893" s="112"/>
      <c r="O893" s="114" t="str">
        <f>IF([1]!Table_246[[#This Row],[Coluna2]]&gt;0.5, "🔥 Excelente", IF([1]!Table_246[[#This Row],[Coluna2]]&gt;0.4, "👍 Bom", "⚠️ Baixo"))</f>
        <v>⚠️ Baixo</v>
      </c>
    </row>
    <row r="894" spans="1:15" ht="15" customHeight="1">
      <c r="A894" s="28" t="str">
        <f>IF(Table_246[[#This Row],[Data]]="","",MONTH(Table_246[[#This Row],[Data]]))</f>
        <v/>
      </c>
      <c r="B894" s="32"/>
      <c r="C894" s="36"/>
      <c r="D894" s="43"/>
      <c r="E894" s="48"/>
      <c r="F894" s="48"/>
      <c r="G894" s="49" t="str">
        <f>IFERROR(VLOOKUP(C894,PROD!$A$2:$E$1204,5,0),"0")</f>
        <v>0</v>
      </c>
      <c r="H894" s="10">
        <f>Table_246[[#This Row],[QT]]*Table_246[[#This Row],[Custo 
Un]]</f>
        <v>0</v>
      </c>
      <c r="I894" s="52"/>
      <c r="J894" s="263">
        <f t="shared" si="45"/>
        <v>0</v>
      </c>
      <c r="K894" s="10">
        <f t="shared" si="47"/>
        <v>0</v>
      </c>
      <c r="L894" s="50">
        <f>Table_246[[#This Row],[Valor da 
venda]]-Table_246[[#This Row],[Valor gasto]]</f>
        <v>0</v>
      </c>
      <c r="M894" s="111">
        <f t="shared" si="46"/>
        <v>0</v>
      </c>
      <c r="N894" s="112"/>
      <c r="O894" s="114" t="str">
        <f>IF([1]!Table_246[[#This Row],[Coluna2]]&gt;0.5, "🔥 Excelente", IF([1]!Table_246[[#This Row],[Coluna2]]&gt;0.4, "👍 Bom", "⚠️ Baixo"))</f>
        <v>⚠️ Baixo</v>
      </c>
    </row>
    <row r="895" spans="1:15" ht="15" customHeight="1">
      <c r="A895" s="28" t="str">
        <f>IF(Table_246[[#This Row],[Data]]="","",MONTH(Table_246[[#This Row],[Data]]))</f>
        <v/>
      </c>
      <c r="B895" s="32"/>
      <c r="C895" s="36"/>
      <c r="D895" s="43"/>
      <c r="E895" s="48"/>
      <c r="F895" s="48"/>
      <c r="G895" s="49" t="str">
        <f>IFERROR(VLOOKUP(C895,PROD!$A$2:$E$1204,5,0),"0")</f>
        <v>0</v>
      </c>
      <c r="H895" s="10">
        <f>Table_246[[#This Row],[QT]]*Table_246[[#This Row],[Custo 
Un]]</f>
        <v>0</v>
      </c>
      <c r="I895" s="52"/>
      <c r="J895" s="263">
        <f t="shared" si="45"/>
        <v>0</v>
      </c>
      <c r="K895" s="10">
        <f t="shared" si="47"/>
        <v>0</v>
      </c>
      <c r="L895" s="50">
        <f>Table_246[[#This Row],[Valor da 
venda]]-Table_246[[#This Row],[Valor gasto]]</f>
        <v>0</v>
      </c>
      <c r="M895" s="111">
        <f t="shared" si="46"/>
        <v>0</v>
      </c>
      <c r="N895" s="112"/>
      <c r="O895" s="114" t="str">
        <f>IF([1]!Table_246[[#This Row],[Coluna2]]&gt;0.5, "🔥 Excelente", IF([1]!Table_246[[#This Row],[Coluna2]]&gt;0.4, "👍 Bom", "⚠️ Baixo"))</f>
        <v>⚠️ Baixo</v>
      </c>
    </row>
    <row r="896" spans="1:15" ht="15" customHeight="1">
      <c r="A896" s="28" t="str">
        <f>IF(Table_246[[#This Row],[Data]]="","",MONTH(Table_246[[#This Row],[Data]]))</f>
        <v/>
      </c>
      <c r="B896" s="32"/>
      <c r="C896" s="36"/>
      <c r="D896" s="43"/>
      <c r="E896" s="48"/>
      <c r="F896" s="48"/>
      <c r="G896" s="49" t="str">
        <f>IFERROR(VLOOKUP(C896,PROD!$A$2:$E$1204,5,0),"0")</f>
        <v>0</v>
      </c>
      <c r="H896" s="10">
        <f>Table_246[[#This Row],[QT]]*Table_246[[#This Row],[Custo 
Un]]</f>
        <v>0</v>
      </c>
      <c r="I896" s="52"/>
      <c r="J896" s="263">
        <f t="shared" si="45"/>
        <v>0</v>
      </c>
      <c r="K896" s="10">
        <f t="shared" si="47"/>
        <v>0</v>
      </c>
      <c r="L896" s="50">
        <f>Table_246[[#This Row],[Valor da 
venda]]-Table_246[[#This Row],[Valor gasto]]</f>
        <v>0</v>
      </c>
      <c r="M896" s="111">
        <f t="shared" si="46"/>
        <v>0</v>
      </c>
      <c r="N896" s="112"/>
      <c r="O896" s="114" t="str">
        <f>IF([1]!Table_246[[#This Row],[Coluna2]]&gt;0.5, "🔥 Excelente", IF([1]!Table_246[[#This Row],[Coluna2]]&gt;0.4, "👍 Bom", "⚠️ Baixo"))</f>
        <v>⚠️ Baixo</v>
      </c>
    </row>
    <row r="897" spans="1:15" ht="15" customHeight="1">
      <c r="A897" s="28" t="str">
        <f>IF(Table_246[[#This Row],[Data]]="","",MONTH(Table_246[[#This Row],[Data]]))</f>
        <v/>
      </c>
      <c r="B897" s="32"/>
      <c r="C897" s="36"/>
      <c r="D897" s="43"/>
      <c r="E897" s="48"/>
      <c r="F897" s="48"/>
      <c r="G897" s="49" t="str">
        <f>IFERROR(VLOOKUP(C897,PROD!$A$2:$E$1204,5,0),"0")</f>
        <v>0</v>
      </c>
      <c r="H897" s="10">
        <f>Table_246[[#This Row],[QT]]*Table_246[[#This Row],[Custo 
Un]]</f>
        <v>0</v>
      </c>
      <c r="I897" s="52"/>
      <c r="J897" s="263">
        <f t="shared" si="45"/>
        <v>0</v>
      </c>
      <c r="K897" s="10">
        <f t="shared" si="47"/>
        <v>0</v>
      </c>
      <c r="L897" s="50">
        <f>Table_246[[#This Row],[Valor da 
venda]]-Table_246[[#This Row],[Valor gasto]]</f>
        <v>0</v>
      </c>
      <c r="M897" s="111">
        <f t="shared" si="46"/>
        <v>0</v>
      </c>
      <c r="N897" s="112"/>
      <c r="O897" s="114" t="str">
        <f>IF([1]!Table_246[[#This Row],[Coluna2]]&gt;0.5, "🔥 Excelente", IF([1]!Table_246[[#This Row],[Coluna2]]&gt;0.4, "👍 Bom", "⚠️ Baixo"))</f>
        <v>⚠️ Baixo</v>
      </c>
    </row>
    <row r="898" spans="1:15" ht="15" customHeight="1">
      <c r="A898" s="28" t="str">
        <f>IF(Table_246[[#This Row],[Data]]="","",MONTH(Table_246[[#This Row],[Data]]))</f>
        <v/>
      </c>
      <c r="B898" s="32"/>
      <c r="C898" s="36"/>
      <c r="D898" s="43"/>
      <c r="E898" s="48"/>
      <c r="F898" s="48"/>
      <c r="G898" s="49" t="str">
        <f>IFERROR(VLOOKUP(C898,PROD!$A$2:$E$1204,5,0),"0")</f>
        <v>0</v>
      </c>
      <c r="H898" s="10">
        <f>Table_246[[#This Row],[QT]]*Table_246[[#This Row],[Custo 
Un]]</f>
        <v>0</v>
      </c>
      <c r="I898" s="52"/>
      <c r="J898" s="263">
        <f t="shared" ref="J898:J961" si="48">I898*D898</f>
        <v>0</v>
      </c>
      <c r="K898" s="10">
        <f t="shared" si="47"/>
        <v>0</v>
      </c>
      <c r="L898" s="50">
        <f>Table_246[[#This Row],[Valor da 
venda]]-Table_246[[#This Row],[Valor gasto]]</f>
        <v>0</v>
      </c>
      <c r="M898" s="111">
        <f t="shared" si="46"/>
        <v>0</v>
      </c>
      <c r="N898" s="112"/>
      <c r="O898" s="114" t="str">
        <f>IF([1]!Table_246[[#This Row],[Coluna2]]&gt;0.5, "🔥 Excelente", IF([1]!Table_246[[#This Row],[Coluna2]]&gt;0.4, "👍 Bom", "⚠️ Baixo"))</f>
        <v>⚠️ Baixo</v>
      </c>
    </row>
    <row r="899" spans="1:15" ht="15" customHeight="1">
      <c r="A899" s="28" t="str">
        <f>IF(Table_246[[#This Row],[Data]]="","",MONTH(Table_246[[#This Row],[Data]]))</f>
        <v/>
      </c>
      <c r="B899" s="32"/>
      <c r="C899" s="36"/>
      <c r="D899" s="43"/>
      <c r="E899" s="48"/>
      <c r="F899" s="48"/>
      <c r="G899" s="49" t="str">
        <f>IFERROR(VLOOKUP(C899,PROD!$A$2:$E$1204,5,0),"0")</f>
        <v>0</v>
      </c>
      <c r="H899" s="10">
        <f>Table_246[[#This Row],[QT]]*Table_246[[#This Row],[Custo 
Un]]</f>
        <v>0</v>
      </c>
      <c r="I899" s="52"/>
      <c r="J899" s="263">
        <f t="shared" si="48"/>
        <v>0</v>
      </c>
      <c r="K899" s="10">
        <f t="shared" si="47"/>
        <v>0</v>
      </c>
      <c r="L899" s="50">
        <f>Table_246[[#This Row],[Valor da 
venda]]-Table_246[[#This Row],[Valor gasto]]</f>
        <v>0</v>
      </c>
      <c r="M899" s="111">
        <f t="shared" si="46"/>
        <v>0</v>
      </c>
      <c r="N899" s="112"/>
      <c r="O899" s="114" t="str">
        <f>IF([1]!Table_246[[#This Row],[Coluna2]]&gt;0.5, "🔥 Excelente", IF([1]!Table_246[[#This Row],[Coluna2]]&gt;0.4, "👍 Bom", "⚠️ Baixo"))</f>
        <v>⚠️ Baixo</v>
      </c>
    </row>
    <row r="900" spans="1:15" ht="15" customHeight="1">
      <c r="A900" s="28" t="str">
        <f>IF(Table_246[[#This Row],[Data]]="","",MONTH(Table_246[[#This Row],[Data]]))</f>
        <v/>
      </c>
      <c r="B900" s="32"/>
      <c r="C900" s="36"/>
      <c r="D900" s="43"/>
      <c r="E900" s="48"/>
      <c r="F900" s="48"/>
      <c r="G900" s="49" t="str">
        <f>IFERROR(VLOOKUP(C900,PROD!$A$2:$E$1204,5,0),"0")</f>
        <v>0</v>
      </c>
      <c r="H900" s="10">
        <f>Table_246[[#This Row],[QT]]*Table_246[[#This Row],[Custo 
Un]]</f>
        <v>0</v>
      </c>
      <c r="I900" s="52"/>
      <c r="J900" s="263">
        <f t="shared" si="48"/>
        <v>0</v>
      </c>
      <c r="K900" s="10">
        <f t="shared" si="47"/>
        <v>0</v>
      </c>
      <c r="L900" s="50">
        <f>Table_246[[#This Row],[Valor da 
venda]]-Table_246[[#This Row],[Valor gasto]]</f>
        <v>0</v>
      </c>
      <c r="M900" s="111">
        <f t="shared" si="46"/>
        <v>0</v>
      </c>
      <c r="N900" s="52"/>
      <c r="O900" s="114" t="str">
        <f>IF([1]!Table_246[[#This Row],[Coluna2]]&gt;0.5, "🔥 Excelente", IF([1]!Table_246[[#This Row],[Coluna2]]&gt;0.4, "👍 Bom", "⚠️ Baixo"))</f>
        <v>⚠️ Baixo</v>
      </c>
    </row>
    <row r="901" spans="1:15" ht="15" customHeight="1">
      <c r="A901" s="28" t="str">
        <f>IF(Table_246[[#This Row],[Data]]="","",MONTH(Table_246[[#This Row],[Data]]))</f>
        <v/>
      </c>
      <c r="B901" s="32"/>
      <c r="C901" s="36"/>
      <c r="D901" s="43"/>
      <c r="E901" s="48"/>
      <c r="F901" s="48"/>
      <c r="G901" s="49" t="str">
        <f>IFERROR(VLOOKUP(C901,PROD!$A$2:$E$1204,5,0),"0")</f>
        <v>0</v>
      </c>
      <c r="H901" s="10">
        <f>Table_246[[#This Row],[QT]]*Table_246[[#This Row],[Custo 
Un]]</f>
        <v>0</v>
      </c>
      <c r="I901" s="52"/>
      <c r="J901" s="263">
        <f t="shared" si="48"/>
        <v>0</v>
      </c>
      <c r="K901" s="10">
        <f t="shared" si="47"/>
        <v>0</v>
      </c>
      <c r="L901" s="50">
        <f>Table_246[[#This Row],[Valor da 
venda]]-Table_246[[#This Row],[Valor gasto]]</f>
        <v>0</v>
      </c>
      <c r="M901" s="111">
        <f t="shared" ref="M901:M964" si="49">IFERROR(L901/K901, 0)</f>
        <v>0</v>
      </c>
      <c r="N901" s="52"/>
      <c r="O901" s="114" t="str">
        <f>IF([1]!Table_246[[#This Row],[Coluna2]]&gt;0.5, "🔥 Excelente", IF([1]!Table_246[[#This Row],[Coluna2]]&gt;0.4, "👍 Bom", "⚠️ Baixo"))</f>
        <v>⚠️ Baixo</v>
      </c>
    </row>
    <row r="902" spans="1:15" ht="15" customHeight="1">
      <c r="A902" s="28" t="str">
        <f>IF(Table_246[[#This Row],[Data]]="","",MONTH(Table_246[[#This Row],[Data]]))</f>
        <v/>
      </c>
      <c r="B902" s="32"/>
      <c r="C902" s="36"/>
      <c r="D902" s="43"/>
      <c r="E902" s="48"/>
      <c r="F902" s="48"/>
      <c r="G902" s="49" t="str">
        <f>IFERROR(VLOOKUP(C902,PROD!$A$2:$E$1204,5,0),"0")</f>
        <v>0</v>
      </c>
      <c r="H902" s="10">
        <f>Table_246[[#This Row],[QT]]*Table_246[[#This Row],[Custo 
Un]]</f>
        <v>0</v>
      </c>
      <c r="I902" s="52"/>
      <c r="J902" s="263">
        <f t="shared" si="48"/>
        <v>0</v>
      </c>
      <c r="K902" s="10">
        <f t="shared" si="47"/>
        <v>0</v>
      </c>
      <c r="L902" s="50">
        <f>Table_246[[#This Row],[Valor da 
venda]]-Table_246[[#This Row],[Valor gasto]]</f>
        <v>0</v>
      </c>
      <c r="M902" s="111">
        <f t="shared" si="49"/>
        <v>0</v>
      </c>
      <c r="N902" s="52"/>
      <c r="O902" s="114" t="str">
        <f>IF([1]!Table_246[[#This Row],[Coluna2]]&gt;0.5, "🔥 Excelente", IF([1]!Table_246[[#This Row],[Coluna2]]&gt;0.4, "👍 Bom", "⚠️ Baixo"))</f>
        <v>⚠️ Baixo</v>
      </c>
    </row>
    <row r="903" spans="1:15" ht="15" customHeight="1">
      <c r="A903" s="28" t="str">
        <f>IF(Table_246[[#This Row],[Data]]="","",MONTH(Table_246[[#This Row],[Data]]))</f>
        <v/>
      </c>
      <c r="B903" s="32"/>
      <c r="C903" s="36"/>
      <c r="D903" s="43"/>
      <c r="E903" s="48"/>
      <c r="F903" s="48"/>
      <c r="G903" s="49" t="str">
        <f>IFERROR(VLOOKUP(C903,PROD!$A$2:$E$1204,5,0),"0")</f>
        <v>0</v>
      </c>
      <c r="H903" s="10">
        <f>Table_246[[#This Row],[QT]]*Table_246[[#This Row],[Custo 
Un]]</f>
        <v>0</v>
      </c>
      <c r="I903" s="52"/>
      <c r="J903" s="263">
        <f t="shared" si="48"/>
        <v>0</v>
      </c>
      <c r="K903" s="10">
        <f t="shared" si="47"/>
        <v>0</v>
      </c>
      <c r="L903" s="50">
        <f>Table_246[[#This Row],[Valor da 
venda]]-Table_246[[#This Row],[Valor gasto]]</f>
        <v>0</v>
      </c>
      <c r="M903" s="111">
        <f t="shared" si="49"/>
        <v>0</v>
      </c>
      <c r="N903" s="52"/>
      <c r="O903" s="114" t="str">
        <f>IF([1]!Table_246[[#This Row],[Coluna2]]&gt;0.5, "🔥 Excelente", IF([1]!Table_246[[#This Row],[Coluna2]]&gt;0.4, "👍 Bom", "⚠️ Baixo"))</f>
        <v>⚠️ Baixo</v>
      </c>
    </row>
    <row r="904" spans="1:15" ht="15" customHeight="1">
      <c r="A904" s="28" t="str">
        <f>IF(Table_246[[#This Row],[Data]]="","",MONTH(Table_246[[#This Row],[Data]]))</f>
        <v/>
      </c>
      <c r="B904" s="32"/>
      <c r="C904" s="36"/>
      <c r="D904" s="43"/>
      <c r="E904" s="48"/>
      <c r="F904" s="48"/>
      <c r="G904" s="49" t="str">
        <f>IFERROR(VLOOKUP(C904,PROD!$A$2:$E$1204,5,0),"0")</f>
        <v>0</v>
      </c>
      <c r="H904" s="10">
        <f>Table_246[[#This Row],[QT]]*Table_246[[#This Row],[Custo 
Un]]</f>
        <v>0</v>
      </c>
      <c r="I904" s="52"/>
      <c r="J904" s="263">
        <f t="shared" si="48"/>
        <v>0</v>
      </c>
      <c r="K904" s="10">
        <f t="shared" si="47"/>
        <v>0</v>
      </c>
      <c r="L904" s="50">
        <f>Table_246[[#This Row],[Valor da 
venda]]-Table_246[[#This Row],[Valor gasto]]</f>
        <v>0</v>
      </c>
      <c r="M904" s="111">
        <f t="shared" si="49"/>
        <v>0</v>
      </c>
      <c r="N904" s="52"/>
      <c r="O904" s="114" t="str">
        <f>IF([1]!Table_246[[#This Row],[Coluna2]]&gt;0.5, "🔥 Excelente", IF([1]!Table_246[[#This Row],[Coluna2]]&gt;0.4, "👍 Bom", "⚠️ Baixo"))</f>
        <v>⚠️ Baixo</v>
      </c>
    </row>
    <row r="905" spans="1:15" ht="15" customHeight="1">
      <c r="A905" s="28" t="str">
        <f>IF(Table_246[[#This Row],[Data]]="","",MONTH(Table_246[[#This Row],[Data]]))</f>
        <v/>
      </c>
      <c r="B905" s="32"/>
      <c r="C905" s="36"/>
      <c r="D905" s="43"/>
      <c r="E905" s="48"/>
      <c r="F905" s="48"/>
      <c r="G905" s="49" t="str">
        <f>IFERROR(VLOOKUP(C905,PROD!$A$2:$E$1204,5,0),"0")</f>
        <v>0</v>
      </c>
      <c r="H905" s="10">
        <f>Table_246[[#This Row],[QT]]*Table_246[[#This Row],[Custo 
Un]]</f>
        <v>0</v>
      </c>
      <c r="I905" s="52"/>
      <c r="J905" s="263">
        <f t="shared" si="48"/>
        <v>0</v>
      </c>
      <c r="K905" s="10">
        <f t="shared" si="47"/>
        <v>0</v>
      </c>
      <c r="L905" s="50">
        <f>Table_246[[#This Row],[Valor da 
venda]]-Table_246[[#This Row],[Valor gasto]]</f>
        <v>0</v>
      </c>
      <c r="M905" s="111">
        <f t="shared" si="49"/>
        <v>0</v>
      </c>
      <c r="N905" s="52"/>
      <c r="O905" s="114" t="str">
        <f>IF([1]!Table_246[[#This Row],[Coluna2]]&gt;0.5, "🔥 Excelente", IF([1]!Table_246[[#This Row],[Coluna2]]&gt;0.4, "👍 Bom", "⚠️ Baixo"))</f>
        <v>⚠️ Baixo</v>
      </c>
    </row>
    <row r="906" spans="1:15" ht="15" customHeight="1">
      <c r="A906" s="28" t="str">
        <f>IF(Table_246[[#This Row],[Data]]="","",MONTH(Table_246[[#This Row],[Data]]))</f>
        <v/>
      </c>
      <c r="B906" s="32"/>
      <c r="C906" s="36"/>
      <c r="D906" s="43"/>
      <c r="E906" s="48"/>
      <c r="F906" s="48"/>
      <c r="G906" s="49" t="str">
        <f>IFERROR(VLOOKUP(C906,PROD!$A$2:$E$1204,5,0),"0")</f>
        <v>0</v>
      </c>
      <c r="H906" s="10">
        <f>Table_246[[#This Row],[QT]]*Table_246[[#This Row],[Custo 
Un]]</f>
        <v>0</v>
      </c>
      <c r="I906" s="52"/>
      <c r="J906" s="263">
        <f t="shared" si="48"/>
        <v>0</v>
      </c>
      <c r="K906" s="10">
        <f t="shared" si="47"/>
        <v>0</v>
      </c>
      <c r="L906" s="50">
        <f>Table_246[[#This Row],[Valor da 
venda]]-Table_246[[#This Row],[Valor gasto]]</f>
        <v>0</v>
      </c>
      <c r="M906" s="111">
        <f t="shared" si="49"/>
        <v>0</v>
      </c>
      <c r="N906" s="52"/>
      <c r="O906" s="114" t="str">
        <f>IF([1]!Table_246[[#This Row],[Coluna2]]&gt;0.5, "🔥 Excelente", IF([1]!Table_246[[#This Row],[Coluna2]]&gt;0.4, "👍 Bom", "⚠️ Baixo"))</f>
        <v>⚠️ Baixo</v>
      </c>
    </row>
    <row r="907" spans="1:15" ht="15" customHeight="1">
      <c r="A907" s="28" t="str">
        <f>IF(Table_246[[#This Row],[Data]]="","",MONTH(Table_246[[#This Row],[Data]]))</f>
        <v/>
      </c>
      <c r="B907" s="32"/>
      <c r="C907" s="36"/>
      <c r="D907" s="43"/>
      <c r="E907" s="48"/>
      <c r="F907" s="48"/>
      <c r="G907" s="49" t="str">
        <f>IFERROR(VLOOKUP(C907,PROD!$A$2:$E$1204,5,0),"0")</f>
        <v>0</v>
      </c>
      <c r="H907" s="10">
        <f>Table_246[[#This Row],[QT]]*Table_246[[#This Row],[Custo 
Un]]</f>
        <v>0</v>
      </c>
      <c r="I907" s="52"/>
      <c r="J907" s="263">
        <f t="shared" si="48"/>
        <v>0</v>
      </c>
      <c r="K907" s="10">
        <f t="shared" si="47"/>
        <v>0</v>
      </c>
      <c r="L907" s="50">
        <f>Table_246[[#This Row],[Valor da 
venda]]-Table_246[[#This Row],[Valor gasto]]</f>
        <v>0</v>
      </c>
      <c r="M907" s="111">
        <f t="shared" si="49"/>
        <v>0</v>
      </c>
      <c r="N907" s="52"/>
      <c r="O907" s="114" t="str">
        <f>IF([1]!Table_246[[#This Row],[Coluna2]]&gt;0.5, "🔥 Excelente", IF([1]!Table_246[[#This Row],[Coluna2]]&gt;0.4, "👍 Bom", "⚠️ Baixo"))</f>
        <v>⚠️ Baixo</v>
      </c>
    </row>
    <row r="908" spans="1:15" ht="15" customHeight="1">
      <c r="A908" s="28" t="str">
        <f>IF(Table_246[[#This Row],[Data]]="","",MONTH(Table_246[[#This Row],[Data]]))</f>
        <v/>
      </c>
      <c r="B908" s="32"/>
      <c r="C908" s="36"/>
      <c r="D908" s="43"/>
      <c r="E908" s="48"/>
      <c r="F908" s="48"/>
      <c r="G908" s="49" t="str">
        <f>IFERROR(VLOOKUP(C908,PROD!$A$2:$E$1204,5,0),"0")</f>
        <v>0</v>
      </c>
      <c r="H908" s="10">
        <f>Table_246[[#This Row],[QT]]*Table_246[[#This Row],[Custo 
Un]]</f>
        <v>0</v>
      </c>
      <c r="I908" s="52"/>
      <c r="J908" s="263">
        <f t="shared" si="48"/>
        <v>0</v>
      </c>
      <c r="K908" s="10">
        <f t="shared" si="47"/>
        <v>0</v>
      </c>
      <c r="L908" s="50">
        <f>Table_246[[#This Row],[Valor da 
venda]]-Table_246[[#This Row],[Valor gasto]]</f>
        <v>0</v>
      </c>
      <c r="M908" s="111">
        <f t="shared" si="49"/>
        <v>0</v>
      </c>
      <c r="N908" s="52"/>
      <c r="O908" s="114" t="str">
        <f>IF([1]!Table_246[[#This Row],[Coluna2]]&gt;0.5, "🔥 Excelente", IF([1]!Table_246[[#This Row],[Coluna2]]&gt;0.4, "👍 Bom", "⚠️ Baixo"))</f>
        <v>⚠️ Baixo</v>
      </c>
    </row>
    <row r="909" spans="1:15" ht="15" customHeight="1">
      <c r="A909" s="28" t="str">
        <f>IF(Table_246[[#This Row],[Data]]="","",MONTH(Table_246[[#This Row],[Data]]))</f>
        <v/>
      </c>
      <c r="B909" s="32"/>
      <c r="C909" s="36"/>
      <c r="D909" s="43"/>
      <c r="E909" s="48"/>
      <c r="F909" s="48"/>
      <c r="G909" s="49" t="str">
        <f>IFERROR(VLOOKUP(C909,PROD!$A$2:$E$1204,5,0),"0")</f>
        <v>0</v>
      </c>
      <c r="H909" s="10">
        <f>Table_246[[#This Row],[QT]]*Table_246[[#This Row],[Custo 
Un]]</f>
        <v>0</v>
      </c>
      <c r="I909" s="52"/>
      <c r="J909" s="263">
        <f t="shared" si="48"/>
        <v>0</v>
      </c>
      <c r="K909" s="10">
        <f t="shared" si="47"/>
        <v>0</v>
      </c>
      <c r="L909" s="50">
        <f>Table_246[[#This Row],[Valor da 
venda]]-Table_246[[#This Row],[Valor gasto]]</f>
        <v>0</v>
      </c>
      <c r="M909" s="111">
        <f t="shared" si="49"/>
        <v>0</v>
      </c>
      <c r="N909" s="52"/>
      <c r="O909" s="114" t="str">
        <f>IF([1]!Table_246[[#This Row],[Coluna2]]&gt;0.5, "🔥 Excelente", IF([1]!Table_246[[#This Row],[Coluna2]]&gt;0.4, "👍 Bom", "⚠️ Baixo"))</f>
        <v>⚠️ Baixo</v>
      </c>
    </row>
    <row r="910" spans="1:15" ht="15" customHeight="1">
      <c r="A910" s="28" t="str">
        <f>IF(Table_246[[#This Row],[Data]]="","",MONTH(Table_246[[#This Row],[Data]]))</f>
        <v/>
      </c>
      <c r="B910" s="32"/>
      <c r="C910" s="36"/>
      <c r="D910" s="43"/>
      <c r="E910" s="48"/>
      <c r="F910" s="48"/>
      <c r="G910" s="49" t="str">
        <f>IFERROR(VLOOKUP(C910,PROD!$A$2:$E$1204,5,0),"0")</f>
        <v>0</v>
      </c>
      <c r="H910" s="10">
        <f>Table_246[[#This Row],[QT]]*Table_246[[#This Row],[Custo 
Un]]</f>
        <v>0</v>
      </c>
      <c r="I910" s="52"/>
      <c r="J910" s="263">
        <f t="shared" si="48"/>
        <v>0</v>
      </c>
      <c r="K910" s="10">
        <f t="shared" si="47"/>
        <v>0</v>
      </c>
      <c r="L910" s="50">
        <f>Table_246[[#This Row],[Valor da 
venda]]-Table_246[[#This Row],[Valor gasto]]</f>
        <v>0</v>
      </c>
      <c r="M910" s="111">
        <f t="shared" si="49"/>
        <v>0</v>
      </c>
      <c r="N910" s="52"/>
      <c r="O910" s="114" t="str">
        <f>IF([1]!Table_246[[#This Row],[Coluna2]]&gt;0.5, "🔥 Excelente", IF([1]!Table_246[[#This Row],[Coluna2]]&gt;0.4, "👍 Bom", "⚠️ Baixo"))</f>
        <v>⚠️ Baixo</v>
      </c>
    </row>
    <row r="911" spans="1:15" ht="15" customHeight="1">
      <c r="A911" s="28" t="str">
        <f>IF(Table_246[[#This Row],[Data]]="","",MONTH(Table_246[[#This Row],[Data]]))</f>
        <v/>
      </c>
      <c r="B911" s="32"/>
      <c r="C911" s="36"/>
      <c r="D911" s="43"/>
      <c r="E911" s="48"/>
      <c r="F911" s="48"/>
      <c r="G911" s="49" t="str">
        <f>IFERROR(VLOOKUP(C911,PROD!$A$2:$E$1204,5,0),"0")</f>
        <v>0</v>
      </c>
      <c r="H911" s="10">
        <f>Table_246[[#This Row],[QT]]*Table_246[[#This Row],[Custo 
Un]]</f>
        <v>0</v>
      </c>
      <c r="I911" s="52"/>
      <c r="J911" s="263">
        <f t="shared" si="48"/>
        <v>0</v>
      </c>
      <c r="K911" s="10">
        <f t="shared" si="47"/>
        <v>0</v>
      </c>
      <c r="L911" s="50">
        <f>Table_246[[#This Row],[Valor da 
venda]]-Table_246[[#This Row],[Valor gasto]]</f>
        <v>0</v>
      </c>
      <c r="M911" s="111">
        <f t="shared" si="49"/>
        <v>0</v>
      </c>
      <c r="N911" s="52"/>
      <c r="O911" s="114" t="str">
        <f>IF([1]!Table_246[[#This Row],[Coluna2]]&gt;0.5, "🔥 Excelente", IF([1]!Table_246[[#This Row],[Coluna2]]&gt;0.4, "👍 Bom", "⚠️ Baixo"))</f>
        <v>⚠️ Baixo</v>
      </c>
    </row>
    <row r="912" spans="1:15" ht="15" customHeight="1">
      <c r="A912" s="28" t="str">
        <f>IF(Table_246[[#This Row],[Data]]="","",MONTH(Table_246[[#This Row],[Data]]))</f>
        <v/>
      </c>
      <c r="B912" s="32"/>
      <c r="C912" s="36"/>
      <c r="D912" s="43"/>
      <c r="E912" s="48"/>
      <c r="F912" s="48"/>
      <c r="G912" s="49" t="str">
        <f>IFERROR(VLOOKUP(C912,PROD!$A$2:$E$1204,5,0),"0")</f>
        <v>0</v>
      </c>
      <c r="H912" s="10">
        <f>Table_246[[#This Row],[QT]]*Table_246[[#This Row],[Custo 
Un]]</f>
        <v>0</v>
      </c>
      <c r="I912" s="52"/>
      <c r="J912" s="263">
        <f t="shared" si="48"/>
        <v>0</v>
      </c>
      <c r="K912" s="10">
        <f t="shared" si="47"/>
        <v>0</v>
      </c>
      <c r="L912" s="50">
        <f>Table_246[[#This Row],[Valor da 
venda]]-Table_246[[#This Row],[Valor gasto]]</f>
        <v>0</v>
      </c>
      <c r="M912" s="111">
        <f t="shared" si="49"/>
        <v>0</v>
      </c>
      <c r="N912" s="52"/>
      <c r="O912" s="114" t="str">
        <f>IF([1]!Table_246[[#This Row],[Coluna2]]&gt;0.5, "🔥 Excelente", IF([1]!Table_246[[#This Row],[Coluna2]]&gt;0.4, "👍 Bom", "⚠️ Baixo"))</f>
        <v>⚠️ Baixo</v>
      </c>
    </row>
    <row r="913" spans="1:15" ht="15" customHeight="1">
      <c r="A913" s="28" t="str">
        <f>IF(Table_246[[#This Row],[Data]]="","",MONTH(Table_246[[#This Row],[Data]]))</f>
        <v/>
      </c>
      <c r="B913" s="32"/>
      <c r="C913" s="36"/>
      <c r="D913" s="43"/>
      <c r="E913" s="48"/>
      <c r="F913" s="48"/>
      <c r="G913" s="49" t="str">
        <f>IFERROR(VLOOKUP(C913,PROD!$A$2:$E$1204,5,0),"0")</f>
        <v>0</v>
      </c>
      <c r="H913" s="10">
        <f>Table_246[[#This Row],[QT]]*Table_246[[#This Row],[Custo 
Un]]</f>
        <v>0</v>
      </c>
      <c r="I913" s="52"/>
      <c r="J913" s="263">
        <f t="shared" si="48"/>
        <v>0</v>
      </c>
      <c r="K913" s="10">
        <f t="shared" si="47"/>
        <v>0</v>
      </c>
      <c r="L913" s="50">
        <f>Table_246[[#This Row],[Valor da 
venda]]-Table_246[[#This Row],[Valor gasto]]</f>
        <v>0</v>
      </c>
      <c r="M913" s="111">
        <f t="shared" si="49"/>
        <v>0</v>
      </c>
      <c r="N913" s="52"/>
      <c r="O913" s="114" t="str">
        <f>IF([1]!Table_246[[#This Row],[Coluna2]]&gt;0.5, "🔥 Excelente", IF([1]!Table_246[[#This Row],[Coluna2]]&gt;0.4, "👍 Bom", "⚠️ Baixo"))</f>
        <v>⚠️ Baixo</v>
      </c>
    </row>
    <row r="914" spans="1:15" ht="15" customHeight="1">
      <c r="A914" s="28" t="str">
        <f>IF(Table_246[[#This Row],[Data]]="","",MONTH(Table_246[[#This Row],[Data]]))</f>
        <v/>
      </c>
      <c r="B914" s="32"/>
      <c r="C914" s="36"/>
      <c r="D914" s="43"/>
      <c r="E914" s="48"/>
      <c r="F914" s="48"/>
      <c r="G914" s="49" t="str">
        <f>IFERROR(VLOOKUP(C914,PROD!$A$2:$E$1204,5,0),"0")</f>
        <v>0</v>
      </c>
      <c r="H914" s="10">
        <f>Table_246[[#This Row],[QT]]*Table_246[[#This Row],[Custo 
Un]]</f>
        <v>0</v>
      </c>
      <c r="I914" s="52"/>
      <c r="J914" s="263">
        <f t="shared" si="48"/>
        <v>0</v>
      </c>
      <c r="K914" s="10">
        <f t="shared" si="47"/>
        <v>0</v>
      </c>
      <c r="L914" s="50">
        <f>Table_246[[#This Row],[Valor da 
venda]]-Table_246[[#This Row],[Valor gasto]]</f>
        <v>0</v>
      </c>
      <c r="M914" s="111">
        <f t="shared" si="49"/>
        <v>0</v>
      </c>
      <c r="N914" s="52"/>
      <c r="O914" s="114" t="str">
        <f>IF([1]!Table_246[[#This Row],[Coluna2]]&gt;0.5, "🔥 Excelente", IF([1]!Table_246[[#This Row],[Coluna2]]&gt;0.4, "👍 Bom", "⚠️ Baixo"))</f>
        <v>⚠️ Baixo</v>
      </c>
    </row>
    <row r="915" spans="1:15" ht="15" customHeight="1">
      <c r="A915" s="28" t="str">
        <f>IF(Table_246[[#This Row],[Data]]="","",MONTH(Table_246[[#This Row],[Data]]))</f>
        <v/>
      </c>
      <c r="B915" s="32"/>
      <c r="C915" s="36"/>
      <c r="D915" s="43"/>
      <c r="E915" s="48"/>
      <c r="F915" s="48"/>
      <c r="G915" s="49" t="str">
        <f>IFERROR(VLOOKUP(C915,PROD!$A$2:$E$1204,5,0),"0")</f>
        <v>0</v>
      </c>
      <c r="H915" s="10">
        <f>Table_246[[#This Row],[QT]]*Table_246[[#This Row],[Custo 
Un]]</f>
        <v>0</v>
      </c>
      <c r="I915" s="52"/>
      <c r="J915" s="263">
        <f t="shared" si="48"/>
        <v>0</v>
      </c>
      <c r="K915" s="10">
        <f t="shared" si="47"/>
        <v>0</v>
      </c>
      <c r="L915" s="50">
        <f>Table_246[[#This Row],[Valor da 
venda]]-Table_246[[#This Row],[Valor gasto]]</f>
        <v>0</v>
      </c>
      <c r="M915" s="111">
        <f t="shared" si="49"/>
        <v>0</v>
      </c>
      <c r="N915" s="52"/>
      <c r="O915" s="114" t="str">
        <f>IF([1]!Table_246[[#This Row],[Coluna2]]&gt;0.5, "🔥 Excelente", IF([1]!Table_246[[#This Row],[Coluna2]]&gt;0.4, "👍 Bom", "⚠️ Baixo"))</f>
        <v>⚠️ Baixo</v>
      </c>
    </row>
    <row r="916" spans="1:15" ht="15" customHeight="1">
      <c r="A916" s="28" t="str">
        <f>IF(Table_246[[#This Row],[Data]]="","",MONTH(Table_246[[#This Row],[Data]]))</f>
        <v/>
      </c>
      <c r="B916" s="32"/>
      <c r="C916" s="36"/>
      <c r="D916" s="43"/>
      <c r="E916" s="48"/>
      <c r="F916" s="48"/>
      <c r="G916" s="49" t="str">
        <f>IFERROR(VLOOKUP(C916,PROD!$A$2:$E$1204,5,0),"0")</f>
        <v>0</v>
      </c>
      <c r="H916" s="10">
        <f>Table_246[[#This Row],[QT]]*Table_246[[#This Row],[Custo 
Un]]</f>
        <v>0</v>
      </c>
      <c r="I916" s="52"/>
      <c r="J916" s="263">
        <f t="shared" si="48"/>
        <v>0</v>
      </c>
      <c r="K916" s="10">
        <f t="shared" si="47"/>
        <v>0</v>
      </c>
      <c r="L916" s="50">
        <f>Table_246[[#This Row],[Valor da 
venda]]-Table_246[[#This Row],[Valor gasto]]</f>
        <v>0</v>
      </c>
      <c r="M916" s="111">
        <f t="shared" si="49"/>
        <v>0</v>
      </c>
      <c r="N916" s="52"/>
      <c r="O916" s="114" t="str">
        <f>IF([1]!Table_246[[#This Row],[Coluna2]]&gt;0.5, "🔥 Excelente", IF([1]!Table_246[[#This Row],[Coluna2]]&gt;0.4, "👍 Bom", "⚠️ Baixo"))</f>
        <v>⚠️ Baixo</v>
      </c>
    </row>
    <row r="917" spans="1:15" ht="15" customHeight="1">
      <c r="A917" s="28" t="str">
        <f>IF(Table_246[[#This Row],[Data]]="","",MONTH(Table_246[[#This Row],[Data]]))</f>
        <v/>
      </c>
      <c r="B917" s="32"/>
      <c r="C917" s="36"/>
      <c r="D917" s="43"/>
      <c r="E917" s="48"/>
      <c r="F917" s="48"/>
      <c r="G917" s="49" t="str">
        <f>IFERROR(VLOOKUP(C917,PROD!$A$2:$E$1204,5,0),"0")</f>
        <v>0</v>
      </c>
      <c r="H917" s="10">
        <f>Table_246[[#This Row],[QT]]*Table_246[[#This Row],[Custo 
Un]]</f>
        <v>0</v>
      </c>
      <c r="I917" s="52"/>
      <c r="J917" s="263">
        <f t="shared" si="48"/>
        <v>0</v>
      </c>
      <c r="K917" s="10">
        <f t="shared" si="47"/>
        <v>0</v>
      </c>
      <c r="L917" s="50">
        <f>Table_246[[#This Row],[Valor da 
venda]]-Table_246[[#This Row],[Valor gasto]]</f>
        <v>0</v>
      </c>
      <c r="M917" s="111">
        <f t="shared" si="49"/>
        <v>0</v>
      </c>
      <c r="N917" s="52"/>
      <c r="O917" s="114" t="str">
        <f>IF([1]!Table_246[[#This Row],[Coluna2]]&gt;0.5, "🔥 Excelente", IF([1]!Table_246[[#This Row],[Coluna2]]&gt;0.4, "👍 Bom", "⚠️ Baixo"))</f>
        <v>⚠️ Baixo</v>
      </c>
    </row>
    <row r="918" spans="1:15" ht="15" customHeight="1">
      <c r="A918" s="28" t="str">
        <f>IF(Table_246[[#This Row],[Data]]="","",MONTH(Table_246[[#This Row],[Data]]))</f>
        <v/>
      </c>
      <c r="B918" s="32"/>
      <c r="C918" s="36"/>
      <c r="D918" s="43"/>
      <c r="E918" s="48"/>
      <c r="F918" s="48"/>
      <c r="G918" s="49" t="str">
        <f>IFERROR(VLOOKUP(C918,PROD!$A$2:$E$1204,5,0),"0")</f>
        <v>0</v>
      </c>
      <c r="H918" s="10">
        <f>Table_246[[#This Row],[QT]]*Table_246[[#This Row],[Custo 
Un]]</f>
        <v>0</v>
      </c>
      <c r="I918" s="52"/>
      <c r="J918" s="263">
        <f t="shared" si="48"/>
        <v>0</v>
      </c>
      <c r="K918" s="10">
        <f t="shared" si="47"/>
        <v>0</v>
      </c>
      <c r="L918" s="50">
        <f>Table_246[[#This Row],[Valor da 
venda]]-Table_246[[#This Row],[Valor gasto]]</f>
        <v>0</v>
      </c>
      <c r="M918" s="111">
        <f t="shared" si="49"/>
        <v>0</v>
      </c>
      <c r="N918" s="52"/>
      <c r="O918" s="114" t="str">
        <f>IF([1]!Table_246[[#This Row],[Coluna2]]&gt;0.5, "🔥 Excelente", IF([1]!Table_246[[#This Row],[Coluna2]]&gt;0.4, "👍 Bom", "⚠️ Baixo"))</f>
        <v>⚠️ Baixo</v>
      </c>
    </row>
    <row r="919" spans="1:15" ht="15" customHeight="1">
      <c r="A919" s="28" t="str">
        <f>IF(Table_246[[#This Row],[Data]]="","",MONTH(Table_246[[#This Row],[Data]]))</f>
        <v/>
      </c>
      <c r="B919" s="32"/>
      <c r="C919" s="36"/>
      <c r="D919" s="43"/>
      <c r="E919" s="48"/>
      <c r="F919" s="48"/>
      <c r="G919" s="49" t="str">
        <f>IFERROR(VLOOKUP(C919,PROD!$A$2:$E$1204,5,0),"0")</f>
        <v>0</v>
      </c>
      <c r="H919" s="10">
        <f>Table_246[[#This Row],[QT]]*Table_246[[#This Row],[Custo 
Un]]</f>
        <v>0</v>
      </c>
      <c r="I919" s="52"/>
      <c r="J919" s="263">
        <f t="shared" si="48"/>
        <v>0</v>
      </c>
      <c r="K919" s="10">
        <f t="shared" si="47"/>
        <v>0</v>
      </c>
      <c r="L919" s="50">
        <f>Table_246[[#This Row],[Valor da 
venda]]-Table_246[[#This Row],[Valor gasto]]</f>
        <v>0</v>
      </c>
      <c r="M919" s="111">
        <f t="shared" si="49"/>
        <v>0</v>
      </c>
      <c r="N919" s="52"/>
      <c r="O919" s="114" t="str">
        <f>IF([1]!Table_246[[#This Row],[Coluna2]]&gt;0.5, "🔥 Excelente", IF([1]!Table_246[[#This Row],[Coluna2]]&gt;0.4, "👍 Bom", "⚠️ Baixo"))</f>
        <v>⚠️ Baixo</v>
      </c>
    </row>
    <row r="920" spans="1:15" ht="15" customHeight="1">
      <c r="A920" s="28" t="str">
        <f>IF(Table_246[[#This Row],[Data]]="","",MONTH(Table_246[[#This Row],[Data]]))</f>
        <v/>
      </c>
      <c r="B920" s="32"/>
      <c r="C920" s="36"/>
      <c r="D920" s="43"/>
      <c r="E920" s="48"/>
      <c r="F920" s="48"/>
      <c r="G920" s="49" t="str">
        <f>IFERROR(VLOOKUP(C920,PROD!$A$2:$E$1204,5,0),"0")</f>
        <v>0</v>
      </c>
      <c r="H920" s="10">
        <f>Table_246[[#This Row],[QT]]*Table_246[[#This Row],[Custo 
Un]]</f>
        <v>0</v>
      </c>
      <c r="I920" s="52"/>
      <c r="J920" s="263">
        <f t="shared" si="48"/>
        <v>0</v>
      </c>
      <c r="K920" s="10">
        <f t="shared" si="47"/>
        <v>0</v>
      </c>
      <c r="L920" s="50">
        <f>Table_246[[#This Row],[Valor da 
venda]]-Table_246[[#This Row],[Valor gasto]]</f>
        <v>0</v>
      </c>
      <c r="M920" s="111">
        <f t="shared" si="49"/>
        <v>0</v>
      </c>
      <c r="N920" s="52"/>
      <c r="O920" s="114" t="str">
        <f>IF([1]!Table_246[[#This Row],[Coluna2]]&gt;0.5, "🔥 Excelente", IF([1]!Table_246[[#This Row],[Coluna2]]&gt;0.4, "👍 Bom", "⚠️ Baixo"))</f>
        <v>⚠️ Baixo</v>
      </c>
    </row>
    <row r="921" spans="1:15" ht="15" customHeight="1">
      <c r="A921" s="28" t="str">
        <f>IF(Table_246[[#This Row],[Data]]="","",MONTH(Table_246[[#This Row],[Data]]))</f>
        <v/>
      </c>
      <c r="B921" s="32"/>
      <c r="C921" s="36"/>
      <c r="D921" s="43"/>
      <c r="E921" s="48"/>
      <c r="F921" s="48"/>
      <c r="G921" s="49" t="str">
        <f>IFERROR(VLOOKUP(C921,PROD!$A$2:$E$1204,5,0),"0")</f>
        <v>0</v>
      </c>
      <c r="H921" s="10">
        <f>Table_246[[#This Row],[QT]]*Table_246[[#This Row],[Custo 
Un]]</f>
        <v>0</v>
      </c>
      <c r="I921" s="52"/>
      <c r="J921" s="263">
        <f t="shared" si="48"/>
        <v>0</v>
      </c>
      <c r="K921" s="10">
        <f t="shared" si="47"/>
        <v>0</v>
      </c>
      <c r="L921" s="50">
        <f>Table_246[[#This Row],[Valor da 
venda]]-Table_246[[#This Row],[Valor gasto]]</f>
        <v>0</v>
      </c>
      <c r="M921" s="111">
        <f t="shared" si="49"/>
        <v>0</v>
      </c>
      <c r="N921" s="52"/>
      <c r="O921" s="114" t="str">
        <f>IF([1]!Table_246[[#This Row],[Coluna2]]&gt;0.5, "🔥 Excelente", IF([1]!Table_246[[#This Row],[Coluna2]]&gt;0.4, "👍 Bom", "⚠️ Baixo"))</f>
        <v>⚠️ Baixo</v>
      </c>
    </row>
    <row r="922" spans="1:15" ht="15" customHeight="1">
      <c r="A922" s="28" t="str">
        <f>IF(Table_246[[#This Row],[Data]]="","",MONTH(Table_246[[#This Row],[Data]]))</f>
        <v/>
      </c>
      <c r="B922" s="32"/>
      <c r="C922" s="36"/>
      <c r="D922" s="43"/>
      <c r="E922" s="48"/>
      <c r="F922" s="48"/>
      <c r="G922" s="49" t="str">
        <f>IFERROR(VLOOKUP(C922,PROD!$A$2:$E$1204,5,0),"0")</f>
        <v>0</v>
      </c>
      <c r="H922" s="10">
        <f>Table_246[[#This Row],[QT]]*Table_246[[#This Row],[Custo 
Un]]</f>
        <v>0</v>
      </c>
      <c r="I922" s="52"/>
      <c r="J922" s="263">
        <f t="shared" si="48"/>
        <v>0</v>
      </c>
      <c r="K922" s="10">
        <f t="shared" si="47"/>
        <v>0</v>
      </c>
      <c r="L922" s="50">
        <f>Table_246[[#This Row],[Valor da 
venda]]-Table_246[[#This Row],[Valor gasto]]</f>
        <v>0</v>
      </c>
      <c r="M922" s="111">
        <f t="shared" si="49"/>
        <v>0</v>
      </c>
      <c r="N922" s="52"/>
      <c r="O922" s="114" t="str">
        <f>IF([1]!Table_246[[#This Row],[Coluna2]]&gt;0.5, "🔥 Excelente", IF([1]!Table_246[[#This Row],[Coluna2]]&gt;0.4, "👍 Bom", "⚠️ Baixo"))</f>
        <v>⚠️ Baixo</v>
      </c>
    </row>
    <row r="923" spans="1:15" ht="15" customHeight="1">
      <c r="A923" s="28" t="str">
        <f>IF(Table_246[[#This Row],[Data]]="","",MONTH(Table_246[[#This Row],[Data]]))</f>
        <v/>
      </c>
      <c r="B923" s="32"/>
      <c r="C923" s="36"/>
      <c r="D923" s="43"/>
      <c r="E923" s="48"/>
      <c r="F923" s="48"/>
      <c r="G923" s="49" t="str">
        <f>IFERROR(VLOOKUP(C923,PROD!$A$2:$E$1204,5,0),"0")</f>
        <v>0</v>
      </c>
      <c r="H923" s="10">
        <f>Table_246[[#This Row],[QT]]*Table_246[[#This Row],[Custo 
Un]]</f>
        <v>0</v>
      </c>
      <c r="I923" s="52"/>
      <c r="J923" s="263">
        <f t="shared" si="48"/>
        <v>0</v>
      </c>
      <c r="K923" s="10">
        <f t="shared" si="47"/>
        <v>0</v>
      </c>
      <c r="L923" s="50">
        <f>Table_246[[#This Row],[Valor da 
venda]]-Table_246[[#This Row],[Valor gasto]]</f>
        <v>0</v>
      </c>
      <c r="M923" s="111">
        <f t="shared" si="49"/>
        <v>0</v>
      </c>
      <c r="N923" s="52"/>
      <c r="O923" s="114" t="str">
        <f>IF([1]!Table_246[[#This Row],[Coluna2]]&gt;0.5, "🔥 Excelente", IF([1]!Table_246[[#This Row],[Coluna2]]&gt;0.4, "👍 Bom", "⚠️ Baixo"))</f>
        <v>⚠️ Baixo</v>
      </c>
    </row>
    <row r="924" spans="1:15" ht="15" customHeight="1">
      <c r="A924" s="28" t="str">
        <f>IF(Table_246[[#This Row],[Data]]="","",MONTH(Table_246[[#This Row],[Data]]))</f>
        <v/>
      </c>
      <c r="B924" s="32"/>
      <c r="C924" s="36"/>
      <c r="D924" s="43"/>
      <c r="E924" s="48"/>
      <c r="F924" s="48"/>
      <c r="G924" s="49" t="str">
        <f>IFERROR(VLOOKUP(C924,PROD!$A$2:$E$1204,5,0),"0")</f>
        <v>0</v>
      </c>
      <c r="H924" s="10">
        <f>Table_246[[#This Row],[QT]]*Table_246[[#This Row],[Custo 
Un]]</f>
        <v>0</v>
      </c>
      <c r="I924" s="52"/>
      <c r="J924" s="263">
        <f t="shared" si="48"/>
        <v>0</v>
      </c>
      <c r="K924" s="10">
        <f t="shared" si="47"/>
        <v>0</v>
      </c>
      <c r="L924" s="50">
        <f>Table_246[[#This Row],[Valor da 
venda]]-Table_246[[#This Row],[Valor gasto]]</f>
        <v>0</v>
      </c>
      <c r="M924" s="111">
        <f t="shared" si="49"/>
        <v>0</v>
      </c>
      <c r="N924" s="52"/>
      <c r="O924" s="114" t="str">
        <f>IF([1]!Table_246[[#This Row],[Coluna2]]&gt;0.5, "🔥 Excelente", IF([1]!Table_246[[#This Row],[Coluna2]]&gt;0.4, "👍 Bom", "⚠️ Baixo"))</f>
        <v>⚠️ Baixo</v>
      </c>
    </row>
    <row r="925" spans="1:15" ht="15" customHeight="1">
      <c r="A925" s="28" t="str">
        <f>IF(Table_246[[#This Row],[Data]]="","",MONTH(Table_246[[#This Row],[Data]]))</f>
        <v/>
      </c>
      <c r="B925" s="32"/>
      <c r="C925" s="36"/>
      <c r="D925" s="43"/>
      <c r="E925" s="48"/>
      <c r="F925" s="48"/>
      <c r="G925" s="49" t="str">
        <f>IFERROR(VLOOKUP(C925,PROD!$A$2:$E$1204,5,0),"0")</f>
        <v>0</v>
      </c>
      <c r="H925" s="10">
        <f>Table_246[[#This Row],[QT]]*Table_246[[#This Row],[Custo 
Un]]</f>
        <v>0</v>
      </c>
      <c r="I925" s="52"/>
      <c r="J925" s="263">
        <f t="shared" si="48"/>
        <v>0</v>
      </c>
      <c r="K925" s="10">
        <f t="shared" si="47"/>
        <v>0</v>
      </c>
      <c r="L925" s="50">
        <f>Table_246[[#This Row],[Valor da 
venda]]-Table_246[[#This Row],[Valor gasto]]</f>
        <v>0</v>
      </c>
      <c r="M925" s="111">
        <f t="shared" si="49"/>
        <v>0</v>
      </c>
      <c r="N925" s="52"/>
      <c r="O925" s="114" t="str">
        <f>IF([1]!Table_246[[#This Row],[Coluna2]]&gt;0.5, "🔥 Excelente", IF([1]!Table_246[[#This Row],[Coluna2]]&gt;0.4, "👍 Bom", "⚠️ Baixo"))</f>
        <v>⚠️ Baixo</v>
      </c>
    </row>
    <row r="926" spans="1:15" ht="15" customHeight="1">
      <c r="A926" s="28" t="str">
        <f>IF(Table_246[[#This Row],[Data]]="","",MONTH(Table_246[[#This Row],[Data]]))</f>
        <v/>
      </c>
      <c r="B926" s="32"/>
      <c r="C926" s="36"/>
      <c r="D926" s="43"/>
      <c r="E926" s="48"/>
      <c r="F926" s="48"/>
      <c r="G926" s="49" t="str">
        <f>IFERROR(VLOOKUP(C926,PROD!$A$2:$E$1204,5,0),"0")</f>
        <v>0</v>
      </c>
      <c r="H926" s="10">
        <f>Table_246[[#This Row],[QT]]*Table_246[[#This Row],[Custo 
Un]]</f>
        <v>0</v>
      </c>
      <c r="I926" s="52"/>
      <c r="J926" s="263">
        <f t="shared" si="48"/>
        <v>0</v>
      </c>
      <c r="K926" s="10">
        <f t="shared" si="47"/>
        <v>0</v>
      </c>
      <c r="L926" s="50">
        <f>Table_246[[#This Row],[Valor da 
venda]]-Table_246[[#This Row],[Valor gasto]]</f>
        <v>0</v>
      </c>
      <c r="M926" s="111">
        <f t="shared" si="49"/>
        <v>0</v>
      </c>
      <c r="N926" s="52"/>
      <c r="O926" s="114" t="str">
        <f>IF([1]!Table_246[[#This Row],[Coluna2]]&gt;0.5, "🔥 Excelente", IF([1]!Table_246[[#This Row],[Coluna2]]&gt;0.4, "👍 Bom", "⚠️ Baixo"))</f>
        <v>⚠️ Baixo</v>
      </c>
    </row>
    <row r="927" spans="1:15" ht="15" customHeight="1">
      <c r="A927" s="28" t="str">
        <f>IF(Table_246[[#This Row],[Data]]="","",MONTH(Table_246[[#This Row],[Data]]))</f>
        <v/>
      </c>
      <c r="B927" s="32"/>
      <c r="C927" s="36"/>
      <c r="D927" s="43"/>
      <c r="E927" s="48"/>
      <c r="F927" s="48"/>
      <c r="G927" s="49" t="str">
        <f>IFERROR(VLOOKUP(C927,PROD!$A$2:$E$1204,5,0),"0")</f>
        <v>0</v>
      </c>
      <c r="H927" s="10">
        <f>Table_246[[#This Row],[QT]]*Table_246[[#This Row],[Custo 
Un]]</f>
        <v>0</v>
      </c>
      <c r="I927" s="52"/>
      <c r="J927" s="263">
        <f t="shared" si="48"/>
        <v>0</v>
      </c>
      <c r="K927" s="10">
        <f t="shared" si="47"/>
        <v>0</v>
      </c>
      <c r="L927" s="50">
        <f>Table_246[[#This Row],[Valor da 
venda]]-Table_246[[#This Row],[Valor gasto]]</f>
        <v>0</v>
      </c>
      <c r="M927" s="111">
        <f t="shared" si="49"/>
        <v>0</v>
      </c>
      <c r="N927" s="52"/>
      <c r="O927" s="114" t="str">
        <f>IF([1]!Table_246[[#This Row],[Coluna2]]&gt;0.5, "🔥 Excelente", IF([1]!Table_246[[#This Row],[Coluna2]]&gt;0.4, "👍 Bom", "⚠️ Baixo"))</f>
        <v>⚠️ Baixo</v>
      </c>
    </row>
    <row r="928" spans="1:15" ht="15" customHeight="1">
      <c r="A928" s="28" t="str">
        <f>IF(Table_246[[#This Row],[Data]]="","",MONTH(Table_246[[#This Row],[Data]]))</f>
        <v/>
      </c>
      <c r="B928" s="32"/>
      <c r="C928" s="36"/>
      <c r="D928" s="43"/>
      <c r="E928" s="48"/>
      <c r="F928" s="48"/>
      <c r="G928" s="49" t="str">
        <f>IFERROR(VLOOKUP(C928,PROD!$A$2:$E$1204,5,0),"0")</f>
        <v>0</v>
      </c>
      <c r="H928" s="10">
        <f>Table_246[[#This Row],[QT]]*Table_246[[#This Row],[Custo 
Un]]</f>
        <v>0</v>
      </c>
      <c r="I928" s="52"/>
      <c r="J928" s="263">
        <f t="shared" si="48"/>
        <v>0</v>
      </c>
      <c r="K928" s="10">
        <f t="shared" si="47"/>
        <v>0</v>
      </c>
      <c r="L928" s="50">
        <f>Table_246[[#This Row],[Valor da 
venda]]-Table_246[[#This Row],[Valor gasto]]</f>
        <v>0</v>
      </c>
      <c r="M928" s="111">
        <f t="shared" si="49"/>
        <v>0</v>
      </c>
      <c r="N928" s="52"/>
      <c r="O928" s="114" t="str">
        <f>IF([1]!Table_246[[#This Row],[Coluna2]]&gt;0.5, "🔥 Excelente", IF([1]!Table_246[[#This Row],[Coluna2]]&gt;0.4, "👍 Bom", "⚠️ Baixo"))</f>
        <v>⚠️ Baixo</v>
      </c>
    </row>
    <row r="929" spans="1:15" ht="15" customHeight="1">
      <c r="A929" s="28" t="str">
        <f>IF(Table_246[[#This Row],[Data]]="","",MONTH(Table_246[[#This Row],[Data]]))</f>
        <v/>
      </c>
      <c r="B929" s="32"/>
      <c r="C929" s="36"/>
      <c r="D929" s="43"/>
      <c r="E929" s="48"/>
      <c r="F929" s="48"/>
      <c r="G929" s="49" t="str">
        <f>IFERROR(VLOOKUP(C929,PROD!$A$2:$E$1204,5,0),"0")</f>
        <v>0</v>
      </c>
      <c r="H929" s="10">
        <f>Table_246[[#This Row],[QT]]*Table_246[[#This Row],[Custo 
Un]]</f>
        <v>0</v>
      </c>
      <c r="I929" s="52"/>
      <c r="J929" s="263">
        <f t="shared" si="48"/>
        <v>0</v>
      </c>
      <c r="K929" s="10">
        <f t="shared" si="47"/>
        <v>0</v>
      </c>
      <c r="L929" s="50">
        <f>Table_246[[#This Row],[Valor da 
venda]]-Table_246[[#This Row],[Valor gasto]]</f>
        <v>0</v>
      </c>
      <c r="M929" s="111">
        <f t="shared" si="49"/>
        <v>0</v>
      </c>
      <c r="N929" s="52"/>
      <c r="O929" s="114" t="str">
        <f>IF([1]!Table_246[[#This Row],[Coluna2]]&gt;0.5, "🔥 Excelente", IF([1]!Table_246[[#This Row],[Coluna2]]&gt;0.4, "👍 Bom", "⚠️ Baixo"))</f>
        <v>⚠️ Baixo</v>
      </c>
    </row>
    <row r="930" spans="1:15" ht="15" customHeight="1">
      <c r="A930" s="28" t="str">
        <f>IF(Table_246[[#This Row],[Data]]="","",MONTH(Table_246[[#This Row],[Data]]))</f>
        <v/>
      </c>
      <c r="B930" s="32"/>
      <c r="C930" s="36"/>
      <c r="D930" s="43"/>
      <c r="E930" s="48"/>
      <c r="F930" s="48"/>
      <c r="G930" s="49" t="str">
        <f>IFERROR(VLOOKUP(C930,PROD!$A$2:$E$1204,5,0),"0")</f>
        <v>0</v>
      </c>
      <c r="H930" s="10">
        <f>Table_246[[#This Row],[QT]]*Table_246[[#This Row],[Custo 
Un]]</f>
        <v>0</v>
      </c>
      <c r="I930" s="52"/>
      <c r="J930" s="263">
        <f t="shared" si="48"/>
        <v>0</v>
      </c>
      <c r="K930" s="10">
        <f t="shared" si="47"/>
        <v>0</v>
      </c>
      <c r="L930" s="50">
        <f>Table_246[[#This Row],[Valor da 
venda]]-Table_246[[#This Row],[Valor gasto]]</f>
        <v>0</v>
      </c>
      <c r="M930" s="111">
        <f t="shared" si="49"/>
        <v>0</v>
      </c>
      <c r="N930" s="52"/>
      <c r="O930" s="114" t="str">
        <f>IF([1]!Table_246[[#This Row],[Coluna2]]&gt;0.5, "🔥 Excelente", IF([1]!Table_246[[#This Row],[Coluna2]]&gt;0.4, "👍 Bom", "⚠️ Baixo"))</f>
        <v>⚠️ Baixo</v>
      </c>
    </row>
    <row r="931" spans="1:15" ht="15" customHeight="1">
      <c r="A931" s="28" t="str">
        <f>IF(Table_246[[#This Row],[Data]]="","",MONTH(Table_246[[#This Row],[Data]]))</f>
        <v/>
      </c>
      <c r="B931" s="32"/>
      <c r="C931" s="36"/>
      <c r="D931" s="43"/>
      <c r="E931" s="48"/>
      <c r="F931" s="48"/>
      <c r="G931" s="49" t="str">
        <f>IFERROR(VLOOKUP(C931,PROD!$A$2:$E$1204,5,0),"0")</f>
        <v>0</v>
      </c>
      <c r="H931" s="10">
        <f>Table_246[[#This Row],[QT]]*Table_246[[#This Row],[Custo 
Un]]</f>
        <v>0</v>
      </c>
      <c r="I931" s="52"/>
      <c r="J931" s="263">
        <f t="shared" si="48"/>
        <v>0</v>
      </c>
      <c r="K931" s="10">
        <f t="shared" si="47"/>
        <v>0</v>
      </c>
      <c r="L931" s="50">
        <f>Table_246[[#This Row],[Valor da 
venda]]-Table_246[[#This Row],[Valor gasto]]</f>
        <v>0</v>
      </c>
      <c r="M931" s="111">
        <f t="shared" si="49"/>
        <v>0</v>
      </c>
      <c r="N931" s="52"/>
      <c r="O931" s="114" t="str">
        <f>IF([1]!Table_246[[#This Row],[Coluna2]]&gt;0.5, "🔥 Excelente", IF([1]!Table_246[[#This Row],[Coluna2]]&gt;0.4, "👍 Bom", "⚠️ Baixo"))</f>
        <v>⚠️ Baixo</v>
      </c>
    </row>
    <row r="932" spans="1:15" ht="15" customHeight="1">
      <c r="A932" s="28" t="str">
        <f>IF(Table_246[[#This Row],[Data]]="","",MONTH(Table_246[[#This Row],[Data]]))</f>
        <v/>
      </c>
      <c r="B932" s="32"/>
      <c r="C932" s="36"/>
      <c r="D932" s="43"/>
      <c r="E932" s="48"/>
      <c r="F932" s="48"/>
      <c r="G932" s="49" t="str">
        <f>IFERROR(VLOOKUP(C932,PROD!$A$2:$E$1204,5,0),"0")</f>
        <v>0</v>
      </c>
      <c r="H932" s="10">
        <f>Table_246[[#This Row],[QT]]*Table_246[[#This Row],[Custo 
Un]]</f>
        <v>0</v>
      </c>
      <c r="I932" s="52"/>
      <c r="J932" s="263">
        <f t="shared" si="48"/>
        <v>0</v>
      </c>
      <c r="K932" s="10">
        <f t="shared" si="47"/>
        <v>0</v>
      </c>
      <c r="L932" s="50">
        <f>Table_246[[#This Row],[Valor da 
venda]]-Table_246[[#This Row],[Valor gasto]]</f>
        <v>0</v>
      </c>
      <c r="M932" s="111">
        <f t="shared" si="49"/>
        <v>0</v>
      </c>
      <c r="N932" s="52"/>
      <c r="O932" s="114" t="str">
        <f>IF([1]!Table_246[[#This Row],[Coluna2]]&gt;0.5, "🔥 Excelente", IF([1]!Table_246[[#This Row],[Coluna2]]&gt;0.4, "👍 Bom", "⚠️ Baixo"))</f>
        <v>⚠️ Baixo</v>
      </c>
    </row>
    <row r="933" spans="1:15" ht="15" customHeight="1">
      <c r="A933" s="28" t="str">
        <f>IF(Table_246[[#This Row],[Data]]="","",MONTH(Table_246[[#This Row],[Data]]))</f>
        <v/>
      </c>
      <c r="B933" s="32"/>
      <c r="C933" s="36"/>
      <c r="D933" s="43"/>
      <c r="E933" s="48"/>
      <c r="F933" s="48"/>
      <c r="G933" s="49" t="str">
        <f>IFERROR(VLOOKUP(C933,PROD!$A$2:$E$1204,5,0),"0")</f>
        <v>0</v>
      </c>
      <c r="H933" s="10">
        <f>Table_246[[#This Row],[QT]]*Table_246[[#This Row],[Custo 
Un]]</f>
        <v>0</v>
      </c>
      <c r="I933" s="52"/>
      <c r="J933" s="263">
        <f t="shared" si="48"/>
        <v>0</v>
      </c>
      <c r="K933" s="10">
        <f t="shared" si="47"/>
        <v>0</v>
      </c>
      <c r="L933" s="50">
        <f>Table_246[[#This Row],[Valor da 
venda]]-Table_246[[#This Row],[Valor gasto]]</f>
        <v>0</v>
      </c>
      <c r="M933" s="111">
        <f t="shared" si="49"/>
        <v>0</v>
      </c>
      <c r="N933" s="52"/>
      <c r="O933" s="114" t="str">
        <f>IF([1]!Table_246[[#This Row],[Coluna2]]&gt;0.5, "🔥 Excelente", IF([1]!Table_246[[#This Row],[Coluna2]]&gt;0.4, "👍 Bom", "⚠️ Baixo"))</f>
        <v>⚠️ Baixo</v>
      </c>
    </row>
    <row r="934" spans="1:15" ht="15" customHeight="1">
      <c r="A934" s="28" t="str">
        <f>IF(Table_246[[#This Row],[Data]]="","",MONTH(Table_246[[#This Row],[Data]]))</f>
        <v/>
      </c>
      <c r="B934" s="32"/>
      <c r="C934" s="36"/>
      <c r="D934" s="43"/>
      <c r="E934" s="48"/>
      <c r="F934" s="48"/>
      <c r="G934" s="49" t="str">
        <f>IFERROR(VLOOKUP(C934,PROD!$A$2:$E$1204,5,0),"0")</f>
        <v>0</v>
      </c>
      <c r="H934" s="10">
        <f>Table_246[[#This Row],[QT]]*Table_246[[#This Row],[Custo 
Un]]</f>
        <v>0</v>
      </c>
      <c r="I934" s="52"/>
      <c r="J934" s="263">
        <f t="shared" si="48"/>
        <v>0</v>
      </c>
      <c r="K934" s="10">
        <f t="shared" si="47"/>
        <v>0</v>
      </c>
      <c r="L934" s="50">
        <f>Table_246[[#This Row],[Valor da 
venda]]-Table_246[[#This Row],[Valor gasto]]</f>
        <v>0</v>
      </c>
      <c r="M934" s="111">
        <f t="shared" si="49"/>
        <v>0</v>
      </c>
      <c r="N934" s="52"/>
      <c r="O934" s="114" t="str">
        <f>IF([1]!Table_246[[#This Row],[Coluna2]]&gt;0.5, "🔥 Excelente", IF([1]!Table_246[[#This Row],[Coluna2]]&gt;0.4, "👍 Bom", "⚠️ Baixo"))</f>
        <v>⚠️ Baixo</v>
      </c>
    </row>
    <row r="935" spans="1:15" ht="15" customHeight="1">
      <c r="A935" s="28" t="str">
        <f>IF(Table_246[[#This Row],[Data]]="","",MONTH(Table_246[[#This Row],[Data]]))</f>
        <v/>
      </c>
      <c r="B935" s="32"/>
      <c r="C935" s="36"/>
      <c r="D935" s="43"/>
      <c r="E935" s="48"/>
      <c r="F935" s="48"/>
      <c r="G935" s="49" t="str">
        <f>IFERROR(VLOOKUP(C935,PROD!$A$2:$E$1204,5,0),"0")</f>
        <v>0</v>
      </c>
      <c r="H935" s="10">
        <f>Table_246[[#This Row],[QT]]*Table_246[[#This Row],[Custo 
Un]]</f>
        <v>0</v>
      </c>
      <c r="I935" s="52"/>
      <c r="J935" s="263">
        <f t="shared" si="48"/>
        <v>0</v>
      </c>
      <c r="K935" s="10">
        <f t="shared" si="47"/>
        <v>0</v>
      </c>
      <c r="L935" s="50">
        <f>Table_246[[#This Row],[Valor da 
venda]]-Table_246[[#This Row],[Valor gasto]]</f>
        <v>0</v>
      </c>
      <c r="M935" s="111">
        <f t="shared" si="49"/>
        <v>0</v>
      </c>
      <c r="N935" s="52"/>
      <c r="O935" s="114" t="str">
        <f>IF([1]!Table_246[[#This Row],[Coluna2]]&gt;0.5, "🔥 Excelente", IF([1]!Table_246[[#This Row],[Coluna2]]&gt;0.4, "👍 Bom", "⚠️ Baixo"))</f>
        <v>⚠️ Baixo</v>
      </c>
    </row>
    <row r="936" spans="1:15" ht="15" customHeight="1">
      <c r="A936" s="28" t="str">
        <f>IF(Table_246[[#This Row],[Data]]="","",MONTH(Table_246[[#This Row],[Data]]))</f>
        <v/>
      </c>
      <c r="B936" s="32"/>
      <c r="C936" s="36"/>
      <c r="D936" s="43"/>
      <c r="E936" s="48"/>
      <c r="F936" s="48"/>
      <c r="G936" s="49" t="str">
        <f>IFERROR(VLOOKUP(C936,PROD!$A$2:$E$1204,5,0),"0")</f>
        <v>0</v>
      </c>
      <c r="H936" s="10">
        <f>Table_246[[#This Row],[QT]]*Table_246[[#This Row],[Custo 
Un]]</f>
        <v>0</v>
      </c>
      <c r="I936" s="52"/>
      <c r="J936" s="263">
        <f t="shared" si="48"/>
        <v>0</v>
      </c>
      <c r="K936" s="10">
        <f t="shared" si="47"/>
        <v>0</v>
      </c>
      <c r="L936" s="50">
        <f>Table_246[[#This Row],[Valor da 
venda]]-Table_246[[#This Row],[Valor gasto]]</f>
        <v>0</v>
      </c>
      <c r="M936" s="111">
        <f t="shared" si="49"/>
        <v>0</v>
      </c>
      <c r="N936" s="52"/>
      <c r="O936" s="114" t="str">
        <f>IF([1]!Table_246[[#This Row],[Coluna2]]&gt;0.5, "🔥 Excelente", IF([1]!Table_246[[#This Row],[Coluna2]]&gt;0.4, "👍 Bom", "⚠️ Baixo"))</f>
        <v>⚠️ Baixo</v>
      </c>
    </row>
    <row r="937" spans="1:15" ht="15" customHeight="1">
      <c r="A937" s="28" t="str">
        <f>IF(Table_246[[#This Row],[Data]]="","",MONTH(Table_246[[#This Row],[Data]]))</f>
        <v/>
      </c>
      <c r="B937" s="32"/>
      <c r="C937" s="36"/>
      <c r="D937" s="43"/>
      <c r="E937" s="48"/>
      <c r="F937" s="48"/>
      <c r="G937" s="49" t="str">
        <f>IFERROR(VLOOKUP(C937,PROD!$A$2:$E$1204,5,0),"0")</f>
        <v>0</v>
      </c>
      <c r="H937" s="10">
        <f>Table_246[[#This Row],[QT]]*Table_246[[#This Row],[Custo 
Un]]</f>
        <v>0</v>
      </c>
      <c r="I937" s="52"/>
      <c r="J937" s="263">
        <f t="shared" si="48"/>
        <v>0</v>
      </c>
      <c r="K937" s="10">
        <f t="shared" si="47"/>
        <v>0</v>
      </c>
      <c r="L937" s="50">
        <f>Table_246[[#This Row],[Valor da 
venda]]-Table_246[[#This Row],[Valor gasto]]</f>
        <v>0</v>
      </c>
      <c r="M937" s="111">
        <f t="shared" si="49"/>
        <v>0</v>
      </c>
      <c r="N937" s="52"/>
      <c r="O937" s="114" t="str">
        <f>IF([1]!Table_246[[#This Row],[Coluna2]]&gt;0.5, "🔥 Excelente", IF([1]!Table_246[[#This Row],[Coluna2]]&gt;0.4, "👍 Bom", "⚠️ Baixo"))</f>
        <v>⚠️ Baixo</v>
      </c>
    </row>
    <row r="938" spans="1:15" ht="15" customHeight="1">
      <c r="A938" s="28" t="str">
        <f>IF(Table_246[[#This Row],[Data]]="","",MONTH(Table_246[[#This Row],[Data]]))</f>
        <v/>
      </c>
      <c r="B938" s="32"/>
      <c r="C938" s="36"/>
      <c r="D938" s="43"/>
      <c r="E938" s="48"/>
      <c r="F938" s="48"/>
      <c r="G938" s="49" t="str">
        <f>IFERROR(VLOOKUP(C938,PROD!$A$2:$E$1204,5,0),"0")</f>
        <v>0</v>
      </c>
      <c r="H938" s="10">
        <f>Table_246[[#This Row],[QT]]*Table_246[[#This Row],[Custo 
Un]]</f>
        <v>0</v>
      </c>
      <c r="I938" s="52"/>
      <c r="J938" s="263">
        <f t="shared" si="48"/>
        <v>0</v>
      </c>
      <c r="K938" s="10">
        <f t="shared" si="47"/>
        <v>0</v>
      </c>
      <c r="L938" s="50">
        <f>Table_246[[#This Row],[Valor da 
venda]]-Table_246[[#This Row],[Valor gasto]]</f>
        <v>0</v>
      </c>
      <c r="M938" s="111">
        <f t="shared" si="49"/>
        <v>0</v>
      </c>
      <c r="N938" s="52"/>
      <c r="O938" s="114" t="str">
        <f>IF([1]!Table_246[[#This Row],[Coluna2]]&gt;0.5, "🔥 Excelente", IF([1]!Table_246[[#This Row],[Coluna2]]&gt;0.4, "👍 Bom", "⚠️ Baixo"))</f>
        <v>⚠️ Baixo</v>
      </c>
    </row>
    <row r="939" spans="1:15" ht="15" customHeight="1">
      <c r="A939" s="28" t="str">
        <f>IF(Table_246[[#This Row],[Data]]="","",MONTH(Table_246[[#This Row],[Data]]))</f>
        <v/>
      </c>
      <c r="B939" s="32"/>
      <c r="C939" s="36"/>
      <c r="D939" s="43"/>
      <c r="E939" s="48"/>
      <c r="F939" s="48"/>
      <c r="G939" s="49" t="str">
        <f>IFERROR(VLOOKUP(C939,PROD!$A$2:$E$1204,5,0),"0")</f>
        <v>0</v>
      </c>
      <c r="H939" s="10">
        <f>Table_246[[#This Row],[QT]]*Table_246[[#This Row],[Custo 
Un]]</f>
        <v>0</v>
      </c>
      <c r="I939" s="52"/>
      <c r="J939" s="263">
        <f t="shared" si="48"/>
        <v>0</v>
      </c>
      <c r="K939" s="10">
        <f t="shared" si="47"/>
        <v>0</v>
      </c>
      <c r="L939" s="50">
        <f>Table_246[[#This Row],[Valor da 
venda]]-Table_246[[#This Row],[Valor gasto]]</f>
        <v>0</v>
      </c>
      <c r="M939" s="111">
        <f t="shared" si="49"/>
        <v>0</v>
      </c>
      <c r="N939" s="52"/>
      <c r="O939" s="114" t="str">
        <f>IF([1]!Table_246[[#This Row],[Coluna2]]&gt;0.5, "🔥 Excelente", IF([1]!Table_246[[#This Row],[Coluna2]]&gt;0.4, "👍 Bom", "⚠️ Baixo"))</f>
        <v>⚠️ Baixo</v>
      </c>
    </row>
    <row r="940" spans="1:15" ht="15" customHeight="1">
      <c r="A940" s="28" t="str">
        <f>IF(Table_246[[#This Row],[Data]]="","",MONTH(Table_246[[#This Row],[Data]]))</f>
        <v/>
      </c>
      <c r="B940" s="32"/>
      <c r="C940" s="36"/>
      <c r="D940" s="43"/>
      <c r="E940" s="48"/>
      <c r="F940" s="48"/>
      <c r="G940" s="49" t="str">
        <f>IFERROR(VLOOKUP(C940,PROD!$A$2:$E$1204,5,0),"0")</f>
        <v>0</v>
      </c>
      <c r="H940" s="10">
        <f>Table_246[[#This Row],[QT]]*Table_246[[#This Row],[Custo 
Un]]</f>
        <v>0</v>
      </c>
      <c r="I940" s="52"/>
      <c r="J940" s="263">
        <f t="shared" si="48"/>
        <v>0</v>
      </c>
      <c r="K940" s="10">
        <f t="shared" si="47"/>
        <v>0</v>
      </c>
      <c r="L940" s="50">
        <f>Table_246[[#This Row],[Valor da 
venda]]-Table_246[[#This Row],[Valor gasto]]</f>
        <v>0</v>
      </c>
      <c r="M940" s="111">
        <f t="shared" si="49"/>
        <v>0</v>
      </c>
      <c r="N940" s="52"/>
      <c r="O940" s="114" t="str">
        <f>IF([1]!Table_246[[#This Row],[Coluna2]]&gt;0.5, "🔥 Excelente", IF([1]!Table_246[[#This Row],[Coluna2]]&gt;0.4, "👍 Bom", "⚠️ Baixo"))</f>
        <v>⚠️ Baixo</v>
      </c>
    </row>
    <row r="941" spans="1:15" ht="15" customHeight="1">
      <c r="A941" s="28" t="str">
        <f>IF(Table_246[[#This Row],[Data]]="","",MONTH(Table_246[[#This Row],[Data]]))</f>
        <v/>
      </c>
      <c r="B941" s="32"/>
      <c r="C941" s="36"/>
      <c r="D941" s="43"/>
      <c r="E941" s="48"/>
      <c r="F941" s="48"/>
      <c r="G941" s="49" t="str">
        <f>IFERROR(VLOOKUP(C941,PROD!$A$2:$E$1204,5,0),"0")</f>
        <v>0</v>
      </c>
      <c r="H941" s="10">
        <f>Table_246[[#This Row],[QT]]*Table_246[[#This Row],[Custo 
Un]]</f>
        <v>0</v>
      </c>
      <c r="I941" s="52"/>
      <c r="J941" s="263">
        <f t="shared" si="48"/>
        <v>0</v>
      </c>
      <c r="K941" s="10">
        <f t="shared" si="47"/>
        <v>0</v>
      </c>
      <c r="L941" s="50">
        <f>Table_246[[#This Row],[Valor da 
venda]]-Table_246[[#This Row],[Valor gasto]]</f>
        <v>0</v>
      </c>
      <c r="M941" s="111">
        <f t="shared" si="49"/>
        <v>0</v>
      </c>
      <c r="N941" s="52"/>
      <c r="O941" s="114" t="str">
        <f>IF([1]!Table_246[[#This Row],[Coluna2]]&gt;0.5, "🔥 Excelente", IF([1]!Table_246[[#This Row],[Coluna2]]&gt;0.4, "👍 Bom", "⚠️ Baixo"))</f>
        <v>⚠️ Baixo</v>
      </c>
    </row>
    <row r="942" spans="1:15" ht="15" customHeight="1">
      <c r="A942" s="28" t="str">
        <f>IF(Table_246[[#This Row],[Data]]="","",MONTH(Table_246[[#This Row],[Data]]))</f>
        <v/>
      </c>
      <c r="B942" s="32"/>
      <c r="C942" s="36"/>
      <c r="D942" s="43"/>
      <c r="E942" s="48"/>
      <c r="F942" s="48"/>
      <c r="G942" s="49" t="str">
        <f>IFERROR(VLOOKUP(C942,PROD!$A$2:$E$1204,5,0),"0")</f>
        <v>0</v>
      </c>
      <c r="H942" s="10">
        <f>Table_246[[#This Row],[QT]]*Table_246[[#This Row],[Custo 
Un]]</f>
        <v>0</v>
      </c>
      <c r="I942" s="52"/>
      <c r="J942" s="263">
        <f t="shared" si="48"/>
        <v>0</v>
      </c>
      <c r="K942" s="10">
        <f t="shared" si="47"/>
        <v>0</v>
      </c>
      <c r="L942" s="50">
        <f>Table_246[[#This Row],[Valor da 
venda]]-Table_246[[#This Row],[Valor gasto]]</f>
        <v>0</v>
      </c>
      <c r="M942" s="111">
        <f t="shared" si="49"/>
        <v>0</v>
      </c>
      <c r="N942" s="52"/>
      <c r="O942" s="114" t="str">
        <f>IF([1]!Table_246[[#This Row],[Coluna2]]&gt;0.5, "🔥 Excelente", IF([1]!Table_246[[#This Row],[Coluna2]]&gt;0.4, "👍 Bom", "⚠️ Baixo"))</f>
        <v>⚠️ Baixo</v>
      </c>
    </row>
    <row r="943" spans="1:15" ht="15" customHeight="1">
      <c r="A943" s="28" t="str">
        <f>IF(Table_246[[#This Row],[Data]]="","",MONTH(Table_246[[#This Row],[Data]]))</f>
        <v/>
      </c>
      <c r="B943" s="32"/>
      <c r="C943" s="36"/>
      <c r="D943" s="43"/>
      <c r="E943" s="48"/>
      <c r="F943" s="48"/>
      <c r="G943" s="49" t="str">
        <f>IFERROR(VLOOKUP(C943,PROD!$A$2:$E$1204,5,0),"0")</f>
        <v>0</v>
      </c>
      <c r="H943" s="10">
        <f>Table_246[[#This Row],[QT]]*Table_246[[#This Row],[Custo 
Un]]</f>
        <v>0</v>
      </c>
      <c r="I943" s="52"/>
      <c r="J943" s="263">
        <f t="shared" si="48"/>
        <v>0</v>
      </c>
      <c r="K943" s="10">
        <f t="shared" si="47"/>
        <v>0</v>
      </c>
      <c r="L943" s="50">
        <f>Table_246[[#This Row],[Valor da 
venda]]-Table_246[[#This Row],[Valor gasto]]</f>
        <v>0</v>
      </c>
      <c r="M943" s="111">
        <f t="shared" si="49"/>
        <v>0</v>
      </c>
      <c r="N943" s="52"/>
      <c r="O943" s="114" t="str">
        <f>IF([1]!Table_246[[#This Row],[Coluna2]]&gt;0.5, "🔥 Excelente", IF([1]!Table_246[[#This Row],[Coluna2]]&gt;0.4, "👍 Bom", "⚠️ Baixo"))</f>
        <v>⚠️ Baixo</v>
      </c>
    </row>
    <row r="944" spans="1:15" ht="15" customHeight="1">
      <c r="A944" s="28" t="str">
        <f>IF(Table_246[[#This Row],[Data]]="","",MONTH(Table_246[[#This Row],[Data]]))</f>
        <v/>
      </c>
      <c r="B944" s="32"/>
      <c r="C944" s="36"/>
      <c r="D944" s="43"/>
      <c r="E944" s="48"/>
      <c r="F944" s="48"/>
      <c r="G944" s="49" t="str">
        <f>IFERROR(VLOOKUP(C944,PROD!$A$2:$E$1204,5,0),"0")</f>
        <v>0</v>
      </c>
      <c r="H944" s="10">
        <f>Table_246[[#This Row],[QT]]*Table_246[[#This Row],[Custo 
Un]]</f>
        <v>0</v>
      </c>
      <c r="I944" s="52"/>
      <c r="J944" s="263">
        <f t="shared" si="48"/>
        <v>0</v>
      </c>
      <c r="K944" s="10">
        <f t="shared" si="47"/>
        <v>0</v>
      </c>
      <c r="L944" s="50">
        <f>Table_246[[#This Row],[Valor da 
venda]]-Table_246[[#This Row],[Valor gasto]]</f>
        <v>0</v>
      </c>
      <c r="M944" s="111">
        <f t="shared" si="49"/>
        <v>0</v>
      </c>
      <c r="N944" s="52"/>
      <c r="O944" s="114" t="str">
        <f>IF([1]!Table_246[[#This Row],[Coluna2]]&gt;0.5, "🔥 Excelente", IF([1]!Table_246[[#This Row],[Coluna2]]&gt;0.4, "👍 Bom", "⚠️ Baixo"))</f>
        <v>⚠️ Baixo</v>
      </c>
    </row>
    <row r="945" spans="1:15" ht="15" customHeight="1">
      <c r="A945" s="28" t="str">
        <f>IF(Table_246[[#This Row],[Data]]="","",MONTH(Table_246[[#This Row],[Data]]))</f>
        <v/>
      </c>
      <c r="B945" s="32"/>
      <c r="C945" s="36"/>
      <c r="D945" s="43"/>
      <c r="E945" s="48"/>
      <c r="F945" s="48"/>
      <c r="G945" s="49" t="str">
        <f>IFERROR(VLOOKUP(C945,PROD!$A$2:$E$1204,5,0),"0")</f>
        <v>0</v>
      </c>
      <c r="H945" s="10">
        <f>Table_246[[#This Row],[QT]]*Table_246[[#This Row],[Custo 
Un]]</f>
        <v>0</v>
      </c>
      <c r="I945" s="52"/>
      <c r="J945" s="263">
        <f t="shared" si="48"/>
        <v>0</v>
      </c>
      <c r="K945" s="10">
        <f t="shared" si="47"/>
        <v>0</v>
      </c>
      <c r="L945" s="50">
        <f>Table_246[[#This Row],[Valor da 
venda]]-Table_246[[#This Row],[Valor gasto]]</f>
        <v>0</v>
      </c>
      <c r="M945" s="111">
        <f t="shared" si="49"/>
        <v>0</v>
      </c>
      <c r="N945" s="52"/>
      <c r="O945" t="str">
        <f>IF([1]!Table_246[[#This Row],[Coluna2]]&gt;0.5, "🔥 Excelente", IF([1]!Table_246[[#This Row],[Coluna2]]&gt;0.4, "👍 Bom", "⚠️ Baixo"))</f>
        <v>⚠️ Baixo</v>
      </c>
    </row>
    <row r="946" spans="1:15" ht="15" customHeight="1">
      <c r="A946" s="28" t="str">
        <f>IF(Table_246[[#This Row],[Data]]="","",MONTH(Table_246[[#This Row],[Data]]))</f>
        <v/>
      </c>
      <c r="B946" s="32"/>
      <c r="C946" s="36"/>
      <c r="D946" s="43"/>
      <c r="E946" s="48"/>
      <c r="F946" s="48"/>
      <c r="G946" s="49" t="str">
        <f>IFERROR(VLOOKUP(C946,PROD!$A$2:$E$1204,5,0),"0")</f>
        <v>0</v>
      </c>
      <c r="H946" s="10">
        <f>Table_246[[#This Row],[QT]]*Table_246[[#This Row],[Custo 
Un]]</f>
        <v>0</v>
      </c>
      <c r="I946" s="52"/>
      <c r="J946" s="263">
        <f t="shared" si="48"/>
        <v>0</v>
      </c>
      <c r="K946" s="10">
        <f t="shared" si="47"/>
        <v>0</v>
      </c>
      <c r="L946" s="50">
        <f>Table_246[[#This Row],[Valor da 
venda]]-Table_246[[#This Row],[Valor gasto]]</f>
        <v>0</v>
      </c>
      <c r="M946" s="111">
        <f t="shared" si="49"/>
        <v>0</v>
      </c>
      <c r="N946" s="52"/>
      <c r="O946" t="str">
        <f>IF([1]!Table_246[[#This Row],[Coluna2]]&gt;0.5, "🔥 Excelente", IF([1]!Table_246[[#This Row],[Coluna2]]&gt;0.4, "👍 Bom", "⚠️ Baixo"))</f>
        <v>⚠️ Baixo</v>
      </c>
    </row>
    <row r="947" spans="1:15" ht="15" customHeight="1">
      <c r="A947" s="28" t="str">
        <f>IF(Table_246[[#This Row],[Data]]="","",MONTH(Table_246[[#This Row],[Data]]))</f>
        <v/>
      </c>
      <c r="B947" s="32"/>
      <c r="C947" s="36"/>
      <c r="D947" s="43"/>
      <c r="E947" s="48"/>
      <c r="F947" s="48"/>
      <c r="G947" s="49" t="str">
        <f>IFERROR(VLOOKUP(C947,PROD!$A$2:$E$1204,5,0),"0")</f>
        <v>0</v>
      </c>
      <c r="H947" s="10">
        <f>Table_246[[#This Row],[QT]]*Table_246[[#This Row],[Custo 
Un]]</f>
        <v>0</v>
      </c>
      <c r="I947" s="52"/>
      <c r="J947" s="263">
        <f t="shared" si="48"/>
        <v>0</v>
      </c>
      <c r="K947" s="10">
        <f t="shared" si="47"/>
        <v>0</v>
      </c>
      <c r="L947" s="50">
        <f>Table_246[[#This Row],[Valor da 
venda]]-Table_246[[#This Row],[Valor gasto]]</f>
        <v>0</v>
      </c>
      <c r="M947" s="111">
        <f t="shared" si="49"/>
        <v>0</v>
      </c>
      <c r="N947" s="52"/>
      <c r="O947" t="str">
        <f>IF([1]!Table_246[[#This Row],[Coluna2]]&gt;0.5, "🔥 Excelente", IF([1]!Table_246[[#This Row],[Coluna2]]&gt;0.4, "👍 Bom", "⚠️ Baixo"))</f>
        <v>⚠️ Baixo</v>
      </c>
    </row>
    <row r="948" spans="1:15" ht="15" customHeight="1">
      <c r="A948" s="28" t="str">
        <f>IF(Table_246[[#This Row],[Data]]="","",MONTH(Table_246[[#This Row],[Data]]))</f>
        <v/>
      </c>
      <c r="B948" s="32"/>
      <c r="C948" s="36"/>
      <c r="D948" s="43"/>
      <c r="E948" s="48"/>
      <c r="F948" s="48"/>
      <c r="G948" s="49" t="str">
        <f>IFERROR(VLOOKUP(C948,PROD!$A$2:$E$1204,5,0),"0")</f>
        <v>0</v>
      </c>
      <c r="H948" s="10">
        <f>Table_246[[#This Row],[QT]]*Table_246[[#This Row],[Custo 
Un]]</f>
        <v>0</v>
      </c>
      <c r="I948" s="52"/>
      <c r="J948" s="263">
        <f t="shared" si="48"/>
        <v>0</v>
      </c>
      <c r="K948" s="10">
        <f t="shared" ref="K948:K1011" si="50">I948*D948</f>
        <v>0</v>
      </c>
      <c r="L948" s="50">
        <f>Table_246[[#This Row],[Valor da 
venda]]-Table_246[[#This Row],[Valor gasto]]</f>
        <v>0</v>
      </c>
      <c r="M948" s="111">
        <f t="shared" si="49"/>
        <v>0</v>
      </c>
      <c r="N948" s="52"/>
      <c r="O948" t="str">
        <f>IF([1]!Table_246[[#This Row],[Coluna2]]&gt;0.5, "🔥 Excelente", IF([1]!Table_246[[#This Row],[Coluna2]]&gt;0.4, "👍 Bom", "⚠️ Baixo"))</f>
        <v>⚠️ Baixo</v>
      </c>
    </row>
    <row r="949" spans="1:15" ht="15" customHeight="1">
      <c r="A949" s="28" t="str">
        <f>IF(Table_246[[#This Row],[Data]]="","",MONTH(Table_246[[#This Row],[Data]]))</f>
        <v/>
      </c>
      <c r="B949" s="32"/>
      <c r="C949" s="36"/>
      <c r="D949" s="43"/>
      <c r="E949" s="48"/>
      <c r="F949" s="48"/>
      <c r="G949" s="49" t="str">
        <f>IFERROR(VLOOKUP(C949,PROD!$A$2:$E$1204,5,0),"0")</f>
        <v>0</v>
      </c>
      <c r="H949" s="10">
        <f>Table_246[[#This Row],[QT]]*Table_246[[#This Row],[Custo 
Un]]</f>
        <v>0</v>
      </c>
      <c r="I949" s="52"/>
      <c r="J949" s="263">
        <f t="shared" si="48"/>
        <v>0</v>
      </c>
      <c r="K949" s="10">
        <f t="shared" si="50"/>
        <v>0</v>
      </c>
      <c r="L949" s="50">
        <f>Table_246[[#This Row],[Valor da 
venda]]-Table_246[[#This Row],[Valor gasto]]</f>
        <v>0</v>
      </c>
      <c r="M949" s="111">
        <f t="shared" si="49"/>
        <v>0</v>
      </c>
      <c r="N949" s="52"/>
      <c r="O949" t="str">
        <f>IF([1]!Table_246[[#This Row],[Coluna2]]&gt;0.5, "🔥 Excelente", IF([1]!Table_246[[#This Row],[Coluna2]]&gt;0.4, "👍 Bom", "⚠️ Baixo"))</f>
        <v>⚠️ Baixo</v>
      </c>
    </row>
    <row r="950" spans="1:15" ht="15" customHeight="1">
      <c r="A950" s="28" t="str">
        <f>IF(Table_246[[#This Row],[Data]]="","",MONTH(Table_246[[#This Row],[Data]]))</f>
        <v/>
      </c>
      <c r="B950" s="32"/>
      <c r="C950" s="36"/>
      <c r="D950" s="43"/>
      <c r="E950" s="48"/>
      <c r="F950" s="48"/>
      <c r="G950" s="49" t="str">
        <f>IFERROR(VLOOKUP(C950,PROD!$A$2:$E$1204,5,0),"0")</f>
        <v>0</v>
      </c>
      <c r="H950" s="10">
        <f>Table_246[[#This Row],[QT]]*Table_246[[#This Row],[Custo 
Un]]</f>
        <v>0</v>
      </c>
      <c r="I950" s="52"/>
      <c r="J950" s="263">
        <f t="shared" si="48"/>
        <v>0</v>
      </c>
      <c r="K950" s="10">
        <f t="shared" si="50"/>
        <v>0</v>
      </c>
      <c r="L950" s="50">
        <f>Table_246[[#This Row],[Valor da 
venda]]-Table_246[[#This Row],[Valor gasto]]</f>
        <v>0</v>
      </c>
      <c r="M950" s="111">
        <f t="shared" si="49"/>
        <v>0</v>
      </c>
      <c r="N950" s="52"/>
      <c r="O950" t="str">
        <f>IF([1]!Table_246[[#This Row],[Coluna2]]&gt;0.5, "🔥 Excelente", IF([1]!Table_246[[#This Row],[Coluna2]]&gt;0.4, "👍 Bom", "⚠️ Baixo"))</f>
        <v>⚠️ Baixo</v>
      </c>
    </row>
    <row r="951" spans="1:15" ht="15" customHeight="1">
      <c r="A951" s="28" t="str">
        <f>IF(Table_246[[#This Row],[Data]]="","",MONTH(Table_246[[#This Row],[Data]]))</f>
        <v/>
      </c>
      <c r="B951" s="32"/>
      <c r="C951" s="36"/>
      <c r="D951" s="43"/>
      <c r="E951" s="48"/>
      <c r="F951" s="48"/>
      <c r="G951" s="49" t="str">
        <f>IFERROR(VLOOKUP(C951,PROD!$A$2:$E$1204,5,0),"0")</f>
        <v>0</v>
      </c>
      <c r="H951" s="10">
        <f>Table_246[[#This Row],[QT]]*Table_246[[#This Row],[Custo 
Un]]</f>
        <v>0</v>
      </c>
      <c r="I951" s="52"/>
      <c r="J951" s="263">
        <f t="shared" si="48"/>
        <v>0</v>
      </c>
      <c r="K951" s="10">
        <f t="shared" si="50"/>
        <v>0</v>
      </c>
      <c r="L951" s="50">
        <f>Table_246[[#This Row],[Valor da 
venda]]-Table_246[[#This Row],[Valor gasto]]</f>
        <v>0</v>
      </c>
      <c r="M951" s="111">
        <f t="shared" si="49"/>
        <v>0</v>
      </c>
      <c r="N951" s="52"/>
      <c r="O951" t="str">
        <f>IF([1]!Table_246[[#This Row],[Coluna2]]&gt;0.5, "🔥 Excelente", IF([1]!Table_246[[#This Row],[Coluna2]]&gt;0.4, "👍 Bom", "⚠️ Baixo"))</f>
        <v>⚠️ Baixo</v>
      </c>
    </row>
    <row r="952" spans="1:15" ht="15" customHeight="1">
      <c r="A952" s="28" t="str">
        <f>IF(Table_246[[#This Row],[Data]]="","",MONTH(Table_246[[#This Row],[Data]]))</f>
        <v/>
      </c>
      <c r="B952" s="32"/>
      <c r="C952" s="36"/>
      <c r="D952" s="43"/>
      <c r="E952" s="48"/>
      <c r="F952" s="48"/>
      <c r="G952" s="49" t="str">
        <f>IFERROR(VLOOKUP(C952,PROD!$A$2:$E$1204,5,0),"0")</f>
        <v>0</v>
      </c>
      <c r="H952" s="10">
        <f>Table_246[[#This Row],[QT]]*Table_246[[#This Row],[Custo 
Un]]</f>
        <v>0</v>
      </c>
      <c r="I952" s="52"/>
      <c r="J952" s="263">
        <f t="shared" si="48"/>
        <v>0</v>
      </c>
      <c r="K952" s="10">
        <f t="shared" si="50"/>
        <v>0</v>
      </c>
      <c r="L952" s="50">
        <f>Table_246[[#This Row],[Valor da 
venda]]-Table_246[[#This Row],[Valor gasto]]</f>
        <v>0</v>
      </c>
      <c r="M952" s="111">
        <f t="shared" si="49"/>
        <v>0</v>
      </c>
      <c r="N952" s="52"/>
      <c r="O952" t="str">
        <f>IF([1]!Table_246[[#This Row],[Coluna2]]&gt;0.5, "🔥 Excelente", IF([1]!Table_246[[#This Row],[Coluna2]]&gt;0.4, "👍 Bom", "⚠️ Baixo"))</f>
        <v>⚠️ Baixo</v>
      </c>
    </row>
    <row r="953" spans="1:15" ht="15" customHeight="1">
      <c r="A953" s="28" t="str">
        <f>IF(Table_246[[#This Row],[Data]]="","",MONTH(Table_246[[#This Row],[Data]]))</f>
        <v/>
      </c>
      <c r="B953" s="32"/>
      <c r="C953" s="36"/>
      <c r="D953" s="43"/>
      <c r="E953" s="48"/>
      <c r="F953" s="48"/>
      <c r="G953" s="49" t="str">
        <f>IFERROR(VLOOKUP(C953,PROD!$A$2:$E$1204,5,0),"0")</f>
        <v>0</v>
      </c>
      <c r="H953" s="10">
        <f>Table_246[[#This Row],[QT]]*Table_246[[#This Row],[Custo 
Un]]</f>
        <v>0</v>
      </c>
      <c r="I953" s="52"/>
      <c r="J953" s="263">
        <f t="shared" si="48"/>
        <v>0</v>
      </c>
      <c r="K953" s="10">
        <f t="shared" si="50"/>
        <v>0</v>
      </c>
      <c r="L953" s="50">
        <f>Table_246[[#This Row],[Valor da 
venda]]-Table_246[[#This Row],[Valor gasto]]</f>
        <v>0</v>
      </c>
      <c r="M953" s="111">
        <f t="shared" si="49"/>
        <v>0</v>
      </c>
      <c r="N953" s="52"/>
      <c r="O953" t="str">
        <f>IF([1]!Table_246[[#This Row],[Coluna2]]&gt;0.5, "🔥 Excelente", IF([1]!Table_246[[#This Row],[Coluna2]]&gt;0.4, "👍 Bom", "⚠️ Baixo"))</f>
        <v>⚠️ Baixo</v>
      </c>
    </row>
    <row r="954" spans="1:15" ht="15" customHeight="1">
      <c r="A954" s="28" t="str">
        <f>IF(Table_246[[#This Row],[Data]]="","",MONTH(Table_246[[#This Row],[Data]]))</f>
        <v/>
      </c>
      <c r="B954" s="32"/>
      <c r="C954" s="36"/>
      <c r="D954" s="43"/>
      <c r="E954" s="48"/>
      <c r="F954" s="48"/>
      <c r="G954" s="49" t="str">
        <f>IFERROR(VLOOKUP(C954,PROD!$A$2:$E$1204,5,0),"0")</f>
        <v>0</v>
      </c>
      <c r="H954" s="10">
        <f>Table_246[[#This Row],[QT]]*Table_246[[#This Row],[Custo 
Un]]</f>
        <v>0</v>
      </c>
      <c r="I954" s="52"/>
      <c r="J954" s="263">
        <f t="shared" si="48"/>
        <v>0</v>
      </c>
      <c r="K954" s="10">
        <f t="shared" si="50"/>
        <v>0</v>
      </c>
      <c r="L954" s="50">
        <f>Table_246[[#This Row],[Valor da 
venda]]-Table_246[[#This Row],[Valor gasto]]</f>
        <v>0</v>
      </c>
      <c r="M954" s="111">
        <f t="shared" si="49"/>
        <v>0</v>
      </c>
      <c r="N954" s="52"/>
      <c r="O954" t="str">
        <f>IF([1]!Table_246[[#This Row],[Coluna2]]&gt;0.5, "🔥 Excelente", IF([1]!Table_246[[#This Row],[Coluna2]]&gt;0.4, "👍 Bom", "⚠️ Baixo"))</f>
        <v>⚠️ Baixo</v>
      </c>
    </row>
    <row r="955" spans="1:15" ht="15" customHeight="1">
      <c r="A955" s="28" t="str">
        <f>IF(Table_246[[#This Row],[Data]]="","",MONTH(Table_246[[#This Row],[Data]]))</f>
        <v/>
      </c>
      <c r="B955" s="32"/>
      <c r="C955" s="36"/>
      <c r="D955" s="43"/>
      <c r="E955" s="48"/>
      <c r="F955" s="48"/>
      <c r="G955" s="49" t="str">
        <f>IFERROR(VLOOKUP(C955,PROD!$A$2:$E$1204,5,0),"0")</f>
        <v>0</v>
      </c>
      <c r="H955" s="10">
        <f>Table_246[[#This Row],[QT]]*Table_246[[#This Row],[Custo 
Un]]</f>
        <v>0</v>
      </c>
      <c r="I955" s="52"/>
      <c r="J955" s="263">
        <f t="shared" si="48"/>
        <v>0</v>
      </c>
      <c r="K955" s="10">
        <f t="shared" si="50"/>
        <v>0</v>
      </c>
      <c r="L955" s="50">
        <f>Table_246[[#This Row],[Valor da 
venda]]-Table_246[[#This Row],[Valor gasto]]</f>
        <v>0</v>
      </c>
      <c r="M955" s="111">
        <f t="shared" si="49"/>
        <v>0</v>
      </c>
      <c r="N955" s="52"/>
      <c r="O955" t="str">
        <f>IF([1]!Table_246[[#This Row],[Coluna2]]&gt;0.5, "🔥 Excelente", IF([1]!Table_246[[#This Row],[Coluna2]]&gt;0.4, "👍 Bom", "⚠️ Baixo"))</f>
        <v>⚠️ Baixo</v>
      </c>
    </row>
    <row r="956" spans="1:15" ht="15" customHeight="1">
      <c r="A956" s="28" t="str">
        <f>IF(Table_246[[#This Row],[Data]]="","",MONTH(Table_246[[#This Row],[Data]]))</f>
        <v/>
      </c>
      <c r="B956" s="32"/>
      <c r="C956" s="36"/>
      <c r="D956" s="43"/>
      <c r="E956" s="48"/>
      <c r="F956" s="48"/>
      <c r="G956" s="49" t="str">
        <f>IFERROR(VLOOKUP(C956,PROD!$A$2:$E$1204,5,0),"0")</f>
        <v>0</v>
      </c>
      <c r="H956" s="10">
        <f>Table_246[[#This Row],[QT]]*Table_246[[#This Row],[Custo 
Un]]</f>
        <v>0</v>
      </c>
      <c r="I956" s="52"/>
      <c r="J956" s="263">
        <f t="shared" si="48"/>
        <v>0</v>
      </c>
      <c r="K956" s="10">
        <f t="shared" si="50"/>
        <v>0</v>
      </c>
      <c r="L956" s="50">
        <f>Table_246[[#This Row],[Valor da 
venda]]-Table_246[[#This Row],[Valor gasto]]</f>
        <v>0</v>
      </c>
      <c r="M956" s="111">
        <f t="shared" si="49"/>
        <v>0</v>
      </c>
      <c r="N956" s="52"/>
      <c r="O956" t="str">
        <f>IF([1]!Table_246[[#This Row],[Coluna2]]&gt;0.5, "🔥 Excelente", IF([1]!Table_246[[#This Row],[Coluna2]]&gt;0.4, "👍 Bom", "⚠️ Baixo"))</f>
        <v>⚠️ Baixo</v>
      </c>
    </row>
    <row r="957" spans="1:15" ht="15" customHeight="1">
      <c r="A957" s="28" t="str">
        <f>IF(Table_246[[#This Row],[Data]]="","",MONTH(Table_246[[#This Row],[Data]]))</f>
        <v/>
      </c>
      <c r="B957" s="32"/>
      <c r="C957" s="36"/>
      <c r="D957" s="43"/>
      <c r="E957" s="48"/>
      <c r="F957" s="48"/>
      <c r="G957" s="49" t="str">
        <f>IFERROR(VLOOKUP(C957,PROD!$A$2:$E$1204,5,0),"0")</f>
        <v>0</v>
      </c>
      <c r="H957" s="10">
        <f>Table_246[[#This Row],[QT]]*Table_246[[#This Row],[Custo 
Un]]</f>
        <v>0</v>
      </c>
      <c r="I957" s="52"/>
      <c r="J957" s="263">
        <f t="shared" si="48"/>
        <v>0</v>
      </c>
      <c r="K957" s="10">
        <f t="shared" si="50"/>
        <v>0</v>
      </c>
      <c r="L957" s="50">
        <f>Table_246[[#This Row],[Valor da 
venda]]-Table_246[[#This Row],[Valor gasto]]</f>
        <v>0</v>
      </c>
      <c r="M957" s="111">
        <f t="shared" si="49"/>
        <v>0</v>
      </c>
      <c r="N957" s="52"/>
      <c r="O957" t="str">
        <f>IF([1]!Table_246[[#This Row],[Coluna2]]&gt;0.5, "🔥 Excelente", IF([1]!Table_246[[#This Row],[Coluna2]]&gt;0.4, "👍 Bom", "⚠️ Baixo"))</f>
        <v>⚠️ Baixo</v>
      </c>
    </row>
    <row r="958" spans="1:15" ht="15" customHeight="1">
      <c r="A958" s="28" t="str">
        <f>IF(Table_246[[#This Row],[Data]]="","",MONTH(Table_246[[#This Row],[Data]]))</f>
        <v/>
      </c>
      <c r="B958" s="32"/>
      <c r="C958" s="36"/>
      <c r="D958" s="43"/>
      <c r="E958" s="48"/>
      <c r="F958" s="48"/>
      <c r="G958" s="49" t="str">
        <f>IFERROR(VLOOKUP(C958,PROD!$A$2:$E$1204,5,0),"0")</f>
        <v>0</v>
      </c>
      <c r="H958" s="10">
        <f>Table_246[[#This Row],[QT]]*Table_246[[#This Row],[Custo 
Un]]</f>
        <v>0</v>
      </c>
      <c r="I958" s="52"/>
      <c r="J958" s="263">
        <f t="shared" si="48"/>
        <v>0</v>
      </c>
      <c r="K958" s="10">
        <f t="shared" si="50"/>
        <v>0</v>
      </c>
      <c r="L958" s="50">
        <f>Table_246[[#This Row],[Valor da 
venda]]-Table_246[[#This Row],[Valor gasto]]</f>
        <v>0</v>
      </c>
      <c r="M958" s="111">
        <f t="shared" si="49"/>
        <v>0</v>
      </c>
      <c r="N958" s="52"/>
      <c r="O958" t="str">
        <f>IF([1]!Table_246[[#This Row],[Coluna2]]&gt;0.5, "🔥 Excelente", IF([1]!Table_246[[#This Row],[Coluna2]]&gt;0.4, "👍 Bom", "⚠️ Baixo"))</f>
        <v>⚠️ Baixo</v>
      </c>
    </row>
    <row r="959" spans="1:15" ht="15" customHeight="1">
      <c r="A959" s="28" t="str">
        <f>IF(Table_246[[#This Row],[Data]]="","",MONTH(Table_246[[#This Row],[Data]]))</f>
        <v/>
      </c>
      <c r="B959" s="32"/>
      <c r="C959" s="36"/>
      <c r="D959" s="43"/>
      <c r="E959" s="48"/>
      <c r="F959" s="48"/>
      <c r="G959" s="49" t="str">
        <f>IFERROR(VLOOKUP(C959,PROD!$A$2:$E$1204,5,0),"0")</f>
        <v>0</v>
      </c>
      <c r="H959" s="10">
        <f>Table_246[[#This Row],[QT]]*Table_246[[#This Row],[Custo 
Un]]</f>
        <v>0</v>
      </c>
      <c r="I959" s="52"/>
      <c r="J959" s="263">
        <f t="shared" si="48"/>
        <v>0</v>
      </c>
      <c r="K959" s="10">
        <f t="shared" si="50"/>
        <v>0</v>
      </c>
      <c r="L959" s="50">
        <f>Table_246[[#This Row],[Valor da 
venda]]-Table_246[[#This Row],[Valor gasto]]</f>
        <v>0</v>
      </c>
      <c r="M959" s="111">
        <f t="shared" si="49"/>
        <v>0</v>
      </c>
      <c r="N959" s="52"/>
      <c r="O959" t="str">
        <f>IF([1]!Table_246[[#This Row],[Coluna2]]&gt;0.5, "🔥 Excelente", IF([1]!Table_246[[#This Row],[Coluna2]]&gt;0.4, "👍 Bom", "⚠️ Baixo"))</f>
        <v>⚠️ Baixo</v>
      </c>
    </row>
    <row r="960" spans="1:15" ht="15" customHeight="1">
      <c r="A960" s="28" t="str">
        <f>IF(Table_246[[#This Row],[Data]]="","",MONTH(Table_246[[#This Row],[Data]]))</f>
        <v/>
      </c>
      <c r="B960" s="32"/>
      <c r="C960" s="36"/>
      <c r="D960" s="43"/>
      <c r="E960" s="48"/>
      <c r="F960" s="48"/>
      <c r="G960" s="49" t="str">
        <f>IFERROR(VLOOKUP(C960,PROD!$A$2:$E$1204,5,0),"0")</f>
        <v>0</v>
      </c>
      <c r="H960" s="10">
        <f>Table_246[[#This Row],[QT]]*Table_246[[#This Row],[Custo 
Un]]</f>
        <v>0</v>
      </c>
      <c r="I960" s="52"/>
      <c r="J960" s="263">
        <f t="shared" si="48"/>
        <v>0</v>
      </c>
      <c r="K960" s="10">
        <f t="shared" si="50"/>
        <v>0</v>
      </c>
      <c r="L960" s="50">
        <f>Table_246[[#This Row],[Valor da 
venda]]-Table_246[[#This Row],[Valor gasto]]</f>
        <v>0</v>
      </c>
      <c r="M960" s="111">
        <f t="shared" si="49"/>
        <v>0</v>
      </c>
      <c r="N960" s="52"/>
      <c r="O960" t="str">
        <f>IF([1]!Table_246[[#This Row],[Coluna2]]&gt;0.5, "🔥 Excelente", IF([1]!Table_246[[#This Row],[Coluna2]]&gt;0.4, "👍 Bom", "⚠️ Baixo"))</f>
        <v>⚠️ Baixo</v>
      </c>
    </row>
    <row r="961" spans="1:15" ht="15" customHeight="1">
      <c r="A961" s="28" t="str">
        <f>IF(Table_246[[#This Row],[Data]]="","",MONTH(Table_246[[#This Row],[Data]]))</f>
        <v/>
      </c>
      <c r="B961" s="32"/>
      <c r="C961" s="36"/>
      <c r="D961" s="43"/>
      <c r="E961" s="48"/>
      <c r="F961" s="48"/>
      <c r="G961" s="49" t="str">
        <f>IFERROR(VLOOKUP(C961,PROD!$A$2:$E$1204,5,0),"0")</f>
        <v>0</v>
      </c>
      <c r="H961" s="10">
        <f>Table_246[[#This Row],[QT]]*Table_246[[#This Row],[Custo 
Un]]</f>
        <v>0</v>
      </c>
      <c r="I961" s="52"/>
      <c r="J961" s="263">
        <f t="shared" si="48"/>
        <v>0</v>
      </c>
      <c r="K961" s="10">
        <f t="shared" si="50"/>
        <v>0</v>
      </c>
      <c r="L961" s="50">
        <f>Table_246[[#This Row],[Valor da 
venda]]-Table_246[[#This Row],[Valor gasto]]</f>
        <v>0</v>
      </c>
      <c r="M961" s="111">
        <f t="shared" si="49"/>
        <v>0</v>
      </c>
      <c r="N961" s="52"/>
      <c r="O961" t="str">
        <f>IF([1]!Table_246[[#This Row],[Coluna2]]&gt;0.5, "🔥 Excelente", IF([1]!Table_246[[#This Row],[Coluna2]]&gt;0.4, "👍 Bom", "⚠️ Baixo"))</f>
        <v>⚠️ Baixo</v>
      </c>
    </row>
    <row r="962" spans="1:15" ht="15" customHeight="1">
      <c r="A962" s="28" t="str">
        <f>IF(Table_246[[#This Row],[Data]]="","",MONTH(Table_246[[#This Row],[Data]]))</f>
        <v/>
      </c>
      <c r="B962" s="32"/>
      <c r="C962" s="36"/>
      <c r="D962" s="43"/>
      <c r="E962" s="48"/>
      <c r="F962" s="48"/>
      <c r="G962" s="49" t="str">
        <f>IFERROR(VLOOKUP(C962,PROD!$A$2:$E$1204,5,0),"0")</f>
        <v>0</v>
      </c>
      <c r="H962" s="10">
        <f>Table_246[[#This Row],[QT]]*Table_246[[#This Row],[Custo 
Un]]</f>
        <v>0</v>
      </c>
      <c r="I962" s="52"/>
      <c r="J962" s="263">
        <f t="shared" ref="J962:J1025" si="51">I962*D962</f>
        <v>0</v>
      </c>
      <c r="K962" s="10">
        <f t="shared" si="50"/>
        <v>0</v>
      </c>
      <c r="L962" s="50">
        <f>Table_246[[#This Row],[Valor da 
venda]]-Table_246[[#This Row],[Valor gasto]]</f>
        <v>0</v>
      </c>
      <c r="M962" s="111">
        <f t="shared" si="49"/>
        <v>0</v>
      </c>
      <c r="N962" s="52"/>
      <c r="O962" t="str">
        <f>IF([1]!Table_246[[#This Row],[Coluna2]]&gt;0.5, "🔥 Excelente", IF([1]!Table_246[[#This Row],[Coluna2]]&gt;0.4, "👍 Bom", "⚠️ Baixo"))</f>
        <v>⚠️ Baixo</v>
      </c>
    </row>
    <row r="963" spans="1:15" ht="15" customHeight="1">
      <c r="A963" s="28" t="str">
        <f>IF(Table_246[[#This Row],[Data]]="","",MONTH(Table_246[[#This Row],[Data]]))</f>
        <v/>
      </c>
      <c r="B963" s="32"/>
      <c r="C963" s="36"/>
      <c r="D963" s="43"/>
      <c r="E963" s="48"/>
      <c r="F963" s="48"/>
      <c r="G963" s="49" t="str">
        <f>IFERROR(VLOOKUP(C963,PROD!$A$2:$E$1204,5,0),"0")</f>
        <v>0</v>
      </c>
      <c r="H963" s="10">
        <f>Table_246[[#This Row],[QT]]*Table_246[[#This Row],[Custo 
Un]]</f>
        <v>0</v>
      </c>
      <c r="I963" s="52"/>
      <c r="J963" s="263">
        <f t="shared" si="51"/>
        <v>0</v>
      </c>
      <c r="K963" s="10">
        <f t="shared" si="50"/>
        <v>0</v>
      </c>
      <c r="L963" s="50">
        <f>Table_246[[#This Row],[Valor da 
venda]]-Table_246[[#This Row],[Valor gasto]]</f>
        <v>0</v>
      </c>
      <c r="M963" s="111">
        <f t="shared" si="49"/>
        <v>0</v>
      </c>
      <c r="N963" s="52"/>
      <c r="O963" t="str">
        <f>IF([1]!Table_246[[#This Row],[Coluna2]]&gt;0.5, "🔥 Excelente", IF([1]!Table_246[[#This Row],[Coluna2]]&gt;0.4, "👍 Bom", "⚠️ Baixo"))</f>
        <v>⚠️ Baixo</v>
      </c>
    </row>
    <row r="964" spans="1:15" ht="15" customHeight="1">
      <c r="A964" s="28" t="str">
        <f>IF(Table_246[[#This Row],[Data]]="","",MONTH(Table_246[[#This Row],[Data]]))</f>
        <v/>
      </c>
      <c r="B964" s="32"/>
      <c r="C964" s="36"/>
      <c r="D964" s="43"/>
      <c r="E964" s="48"/>
      <c r="F964" s="48"/>
      <c r="G964" s="49" t="str">
        <f>IFERROR(VLOOKUP(C964,PROD!$A$2:$E$1204,5,0),"0")</f>
        <v>0</v>
      </c>
      <c r="H964" s="10">
        <f>Table_246[[#This Row],[QT]]*Table_246[[#This Row],[Custo 
Un]]</f>
        <v>0</v>
      </c>
      <c r="I964" s="52"/>
      <c r="J964" s="263">
        <f t="shared" si="51"/>
        <v>0</v>
      </c>
      <c r="K964" s="10">
        <f t="shared" si="50"/>
        <v>0</v>
      </c>
      <c r="L964" s="50">
        <f>Table_246[[#This Row],[Valor da 
venda]]-Table_246[[#This Row],[Valor gasto]]</f>
        <v>0</v>
      </c>
      <c r="M964" s="111">
        <f t="shared" si="49"/>
        <v>0</v>
      </c>
      <c r="N964" s="52"/>
      <c r="O964" t="str">
        <f>IF([1]!Table_246[[#This Row],[Coluna2]]&gt;0.5, "🔥 Excelente", IF([1]!Table_246[[#This Row],[Coluna2]]&gt;0.4, "👍 Bom", "⚠️ Baixo"))</f>
        <v>⚠️ Baixo</v>
      </c>
    </row>
    <row r="965" spans="1:15" ht="15" customHeight="1">
      <c r="A965" s="28" t="str">
        <f>IF(Table_246[[#This Row],[Data]]="","",MONTH(Table_246[[#This Row],[Data]]))</f>
        <v/>
      </c>
      <c r="B965" s="32"/>
      <c r="C965" s="36"/>
      <c r="D965" s="43"/>
      <c r="E965" s="48"/>
      <c r="F965" s="48"/>
      <c r="G965" s="49" t="str">
        <f>IFERROR(VLOOKUP(C965,PROD!$A$2:$E$1204,5,0),"0")</f>
        <v>0</v>
      </c>
      <c r="H965" s="10">
        <f>Table_246[[#This Row],[QT]]*Table_246[[#This Row],[Custo 
Un]]</f>
        <v>0</v>
      </c>
      <c r="I965" s="52"/>
      <c r="J965" s="263">
        <f t="shared" si="51"/>
        <v>0</v>
      </c>
      <c r="K965" s="10">
        <f t="shared" si="50"/>
        <v>0</v>
      </c>
      <c r="L965" s="50">
        <f>Table_246[[#This Row],[Valor da 
venda]]-Table_246[[#This Row],[Valor gasto]]</f>
        <v>0</v>
      </c>
      <c r="M965" s="111">
        <f t="shared" ref="M965:M1028" si="52">IFERROR(L965/K965, 0)</f>
        <v>0</v>
      </c>
      <c r="N965" s="52"/>
      <c r="O965" t="str">
        <f>IF([1]!Table_246[[#This Row],[Coluna2]]&gt;0.5, "🔥 Excelente", IF([1]!Table_246[[#This Row],[Coluna2]]&gt;0.4, "👍 Bom", "⚠️ Baixo"))</f>
        <v>⚠️ Baixo</v>
      </c>
    </row>
    <row r="966" spans="1:15" ht="15" customHeight="1">
      <c r="A966" s="28" t="str">
        <f>IF(Table_246[[#This Row],[Data]]="","",MONTH(Table_246[[#This Row],[Data]]))</f>
        <v/>
      </c>
      <c r="B966" s="32"/>
      <c r="C966" s="36"/>
      <c r="D966" s="43"/>
      <c r="E966" s="48"/>
      <c r="F966" s="48"/>
      <c r="G966" s="49" t="str">
        <f>IFERROR(VLOOKUP(C966,PROD!$A$2:$E$1204,5,0),"0")</f>
        <v>0</v>
      </c>
      <c r="H966" s="10">
        <f>Table_246[[#This Row],[QT]]*Table_246[[#This Row],[Custo 
Un]]</f>
        <v>0</v>
      </c>
      <c r="I966" s="52"/>
      <c r="J966" s="263">
        <f t="shared" si="51"/>
        <v>0</v>
      </c>
      <c r="K966" s="10">
        <f t="shared" si="50"/>
        <v>0</v>
      </c>
      <c r="L966" s="50">
        <f>Table_246[[#This Row],[Valor da 
venda]]-Table_246[[#This Row],[Valor gasto]]</f>
        <v>0</v>
      </c>
      <c r="M966" s="111">
        <f t="shared" si="52"/>
        <v>0</v>
      </c>
      <c r="N966" s="52"/>
      <c r="O966" t="str">
        <f>IF([1]!Table_246[[#This Row],[Coluna2]]&gt;0.5, "🔥 Excelente", IF([1]!Table_246[[#This Row],[Coluna2]]&gt;0.4, "👍 Bom", "⚠️ Baixo"))</f>
        <v>⚠️ Baixo</v>
      </c>
    </row>
    <row r="967" spans="1:15" ht="15" customHeight="1">
      <c r="A967" s="28" t="str">
        <f>IF(Table_246[[#This Row],[Data]]="","",MONTH(Table_246[[#This Row],[Data]]))</f>
        <v/>
      </c>
      <c r="B967" s="32"/>
      <c r="C967" s="36"/>
      <c r="D967" s="43"/>
      <c r="E967" s="48"/>
      <c r="F967" s="48"/>
      <c r="G967" s="49" t="str">
        <f>IFERROR(VLOOKUP(C967,PROD!$A$2:$E$1204,5,0),"0")</f>
        <v>0</v>
      </c>
      <c r="H967" s="10">
        <f>Table_246[[#This Row],[QT]]*Table_246[[#This Row],[Custo 
Un]]</f>
        <v>0</v>
      </c>
      <c r="I967" s="52"/>
      <c r="J967" s="263">
        <f t="shared" si="51"/>
        <v>0</v>
      </c>
      <c r="K967" s="10">
        <f t="shared" si="50"/>
        <v>0</v>
      </c>
      <c r="L967" s="50">
        <f>Table_246[[#This Row],[Valor da 
venda]]-Table_246[[#This Row],[Valor gasto]]</f>
        <v>0</v>
      </c>
      <c r="M967" s="111">
        <f t="shared" si="52"/>
        <v>0</v>
      </c>
      <c r="N967" s="52"/>
      <c r="O967" t="str">
        <f>IF([1]!Table_246[[#This Row],[Coluna2]]&gt;0.5, "🔥 Excelente", IF([1]!Table_246[[#This Row],[Coluna2]]&gt;0.4, "👍 Bom", "⚠️ Baixo"))</f>
        <v>⚠️ Baixo</v>
      </c>
    </row>
    <row r="968" spans="1:15" ht="15" customHeight="1">
      <c r="A968" s="28" t="str">
        <f>IF(Table_246[[#This Row],[Data]]="","",MONTH(Table_246[[#This Row],[Data]]))</f>
        <v/>
      </c>
      <c r="B968" s="32"/>
      <c r="C968" s="36"/>
      <c r="D968" s="43"/>
      <c r="E968" s="48"/>
      <c r="F968" s="48"/>
      <c r="G968" s="49" t="str">
        <f>IFERROR(VLOOKUP(C968,PROD!$A$2:$E$1204,5,0),"0")</f>
        <v>0</v>
      </c>
      <c r="H968" s="10">
        <f>Table_246[[#This Row],[QT]]*Table_246[[#This Row],[Custo 
Un]]</f>
        <v>0</v>
      </c>
      <c r="I968" s="52"/>
      <c r="J968" s="263">
        <f t="shared" si="51"/>
        <v>0</v>
      </c>
      <c r="K968" s="10">
        <f t="shared" si="50"/>
        <v>0</v>
      </c>
      <c r="L968" s="50">
        <f>Table_246[[#This Row],[Valor da 
venda]]-Table_246[[#This Row],[Valor gasto]]</f>
        <v>0</v>
      </c>
      <c r="M968" s="111">
        <f t="shared" si="52"/>
        <v>0</v>
      </c>
      <c r="N968" s="52"/>
      <c r="O968" t="str">
        <f>IF([1]!Table_246[[#This Row],[Coluna2]]&gt;0.5, "🔥 Excelente", IF([1]!Table_246[[#This Row],[Coluna2]]&gt;0.4, "👍 Bom", "⚠️ Baixo"))</f>
        <v>⚠️ Baixo</v>
      </c>
    </row>
    <row r="969" spans="1:15" ht="15" customHeight="1">
      <c r="A969" s="28" t="str">
        <f>IF(Table_246[[#This Row],[Data]]="","",MONTH(Table_246[[#This Row],[Data]]))</f>
        <v/>
      </c>
      <c r="B969" s="32"/>
      <c r="C969" s="36"/>
      <c r="D969" s="43"/>
      <c r="E969" s="48"/>
      <c r="F969" s="48"/>
      <c r="G969" s="49" t="str">
        <f>IFERROR(VLOOKUP(C969,PROD!$A$2:$E$1204,5,0),"0")</f>
        <v>0</v>
      </c>
      <c r="H969" s="10">
        <f>Table_246[[#This Row],[QT]]*Table_246[[#This Row],[Custo 
Un]]</f>
        <v>0</v>
      </c>
      <c r="I969" s="52"/>
      <c r="J969" s="263">
        <f t="shared" si="51"/>
        <v>0</v>
      </c>
      <c r="K969" s="10">
        <f t="shared" si="50"/>
        <v>0</v>
      </c>
      <c r="L969" s="50">
        <f>Table_246[[#This Row],[Valor da 
venda]]-Table_246[[#This Row],[Valor gasto]]</f>
        <v>0</v>
      </c>
      <c r="M969" s="111">
        <f t="shared" si="52"/>
        <v>0</v>
      </c>
      <c r="N969" s="52"/>
      <c r="O969" t="str">
        <f>IF([1]!Table_246[[#This Row],[Coluna2]]&gt;0.5, "🔥 Excelente", IF([1]!Table_246[[#This Row],[Coluna2]]&gt;0.4, "👍 Bom", "⚠️ Baixo"))</f>
        <v>⚠️ Baixo</v>
      </c>
    </row>
    <row r="970" spans="1:15" ht="15" customHeight="1">
      <c r="A970" s="28" t="str">
        <f>IF(Table_246[[#This Row],[Data]]="","",MONTH(Table_246[[#This Row],[Data]]))</f>
        <v/>
      </c>
      <c r="B970" s="32"/>
      <c r="C970" s="36"/>
      <c r="D970" s="43"/>
      <c r="E970" s="48"/>
      <c r="F970" s="48"/>
      <c r="G970" s="49" t="str">
        <f>IFERROR(VLOOKUP(C970,PROD!$A$2:$E$1204,5,0),"0")</f>
        <v>0</v>
      </c>
      <c r="H970" s="10">
        <f>Table_246[[#This Row],[QT]]*Table_246[[#This Row],[Custo 
Un]]</f>
        <v>0</v>
      </c>
      <c r="I970" s="52"/>
      <c r="J970" s="263">
        <f t="shared" si="51"/>
        <v>0</v>
      </c>
      <c r="K970" s="10">
        <f t="shared" si="50"/>
        <v>0</v>
      </c>
      <c r="L970" s="50">
        <f>Table_246[[#This Row],[Valor da 
venda]]-Table_246[[#This Row],[Valor gasto]]</f>
        <v>0</v>
      </c>
      <c r="M970" s="111">
        <f t="shared" si="52"/>
        <v>0</v>
      </c>
      <c r="N970" s="52"/>
      <c r="O970" t="str">
        <f>IF([1]!Table_246[[#This Row],[Coluna2]]&gt;0.5, "🔥 Excelente", IF([1]!Table_246[[#This Row],[Coluna2]]&gt;0.4, "👍 Bom", "⚠️ Baixo"))</f>
        <v>⚠️ Baixo</v>
      </c>
    </row>
    <row r="971" spans="1:15" ht="15" customHeight="1">
      <c r="A971" s="28" t="str">
        <f>IF(Table_246[[#This Row],[Data]]="","",MONTH(Table_246[[#This Row],[Data]]))</f>
        <v/>
      </c>
      <c r="B971" s="32"/>
      <c r="C971" s="36"/>
      <c r="D971" s="43"/>
      <c r="E971" s="48"/>
      <c r="F971" s="48"/>
      <c r="G971" s="49" t="str">
        <f>IFERROR(VLOOKUP(C971,PROD!$A$2:$E$1204,5,0),"0")</f>
        <v>0</v>
      </c>
      <c r="H971" s="10">
        <f>Table_246[[#This Row],[QT]]*Table_246[[#This Row],[Custo 
Un]]</f>
        <v>0</v>
      </c>
      <c r="I971" s="52"/>
      <c r="J971" s="263">
        <f t="shared" si="51"/>
        <v>0</v>
      </c>
      <c r="K971" s="10">
        <f t="shared" si="50"/>
        <v>0</v>
      </c>
      <c r="L971" s="50">
        <f>Table_246[[#This Row],[Valor da 
venda]]-Table_246[[#This Row],[Valor gasto]]</f>
        <v>0</v>
      </c>
      <c r="M971" s="111">
        <f t="shared" si="52"/>
        <v>0</v>
      </c>
      <c r="N971" s="52"/>
      <c r="O971" t="str">
        <f>IF([1]!Table_246[[#This Row],[Coluna2]]&gt;0.5, "🔥 Excelente", IF([1]!Table_246[[#This Row],[Coluna2]]&gt;0.4, "👍 Bom", "⚠️ Baixo"))</f>
        <v>⚠️ Baixo</v>
      </c>
    </row>
    <row r="972" spans="1:15" ht="15" customHeight="1">
      <c r="A972" s="28" t="str">
        <f>IF(Table_246[[#This Row],[Data]]="","",MONTH(Table_246[[#This Row],[Data]]))</f>
        <v/>
      </c>
      <c r="B972" s="32"/>
      <c r="C972" s="36"/>
      <c r="D972" s="43"/>
      <c r="E972" s="48"/>
      <c r="F972" s="48"/>
      <c r="G972" s="49" t="str">
        <f>IFERROR(VLOOKUP(C972,PROD!$A$2:$E$1204,5,0),"0")</f>
        <v>0</v>
      </c>
      <c r="H972" s="10">
        <f>Table_246[[#This Row],[QT]]*Table_246[[#This Row],[Custo 
Un]]</f>
        <v>0</v>
      </c>
      <c r="I972" s="52"/>
      <c r="J972" s="263">
        <f t="shared" si="51"/>
        <v>0</v>
      </c>
      <c r="K972" s="10">
        <f t="shared" si="50"/>
        <v>0</v>
      </c>
      <c r="L972" s="50">
        <f>Table_246[[#This Row],[Valor da 
venda]]-Table_246[[#This Row],[Valor gasto]]</f>
        <v>0</v>
      </c>
      <c r="M972" s="111">
        <f t="shared" si="52"/>
        <v>0</v>
      </c>
      <c r="N972" s="52"/>
      <c r="O972" t="str">
        <f>IF([1]!Table_246[[#This Row],[Coluna2]]&gt;0.5, "🔥 Excelente", IF([1]!Table_246[[#This Row],[Coluna2]]&gt;0.4, "👍 Bom", "⚠️ Baixo"))</f>
        <v>⚠️ Baixo</v>
      </c>
    </row>
    <row r="973" spans="1:15" ht="15" customHeight="1">
      <c r="A973" s="28" t="str">
        <f>IF(Table_246[[#This Row],[Data]]="","",MONTH(Table_246[[#This Row],[Data]]))</f>
        <v/>
      </c>
      <c r="B973" s="32"/>
      <c r="C973" s="36"/>
      <c r="D973" s="43"/>
      <c r="E973" s="48"/>
      <c r="F973" s="48"/>
      <c r="G973" s="49" t="str">
        <f>IFERROR(VLOOKUP(C973,PROD!$A$2:$E$1204,5,0),"0")</f>
        <v>0</v>
      </c>
      <c r="H973" s="10">
        <f>Table_246[[#This Row],[QT]]*Table_246[[#This Row],[Custo 
Un]]</f>
        <v>0</v>
      </c>
      <c r="I973" s="52"/>
      <c r="J973" s="263">
        <f t="shared" si="51"/>
        <v>0</v>
      </c>
      <c r="K973" s="10">
        <f t="shared" si="50"/>
        <v>0</v>
      </c>
      <c r="L973" s="50">
        <f>Table_246[[#This Row],[Valor da 
venda]]-Table_246[[#This Row],[Valor gasto]]</f>
        <v>0</v>
      </c>
      <c r="M973" s="111">
        <f t="shared" si="52"/>
        <v>0</v>
      </c>
      <c r="N973" s="52"/>
      <c r="O973" t="str">
        <f>IF([1]!Table_246[[#This Row],[Coluna2]]&gt;0.5, "🔥 Excelente", IF([1]!Table_246[[#This Row],[Coluna2]]&gt;0.4, "👍 Bom", "⚠️ Baixo"))</f>
        <v>⚠️ Baixo</v>
      </c>
    </row>
    <row r="974" spans="1:15" ht="15" customHeight="1">
      <c r="A974" s="28" t="str">
        <f>IF(Table_246[[#This Row],[Data]]="","",MONTH(Table_246[[#This Row],[Data]]))</f>
        <v/>
      </c>
      <c r="B974" s="32"/>
      <c r="C974" s="36"/>
      <c r="D974" s="43"/>
      <c r="E974" s="48"/>
      <c r="F974" s="48"/>
      <c r="G974" s="49" t="str">
        <f>IFERROR(VLOOKUP(C974,PROD!$A$2:$E$1204,5,0),"0")</f>
        <v>0</v>
      </c>
      <c r="H974" s="10">
        <f>Table_246[[#This Row],[QT]]*Table_246[[#This Row],[Custo 
Un]]</f>
        <v>0</v>
      </c>
      <c r="I974" s="52"/>
      <c r="J974" s="263">
        <f t="shared" si="51"/>
        <v>0</v>
      </c>
      <c r="K974" s="10">
        <f t="shared" si="50"/>
        <v>0</v>
      </c>
      <c r="L974" s="50">
        <f>Table_246[[#This Row],[Valor da 
venda]]-Table_246[[#This Row],[Valor gasto]]</f>
        <v>0</v>
      </c>
      <c r="M974" s="111">
        <f t="shared" si="52"/>
        <v>0</v>
      </c>
      <c r="N974" s="52"/>
      <c r="O974" t="str">
        <f>IF([1]!Table_246[[#This Row],[Coluna2]]&gt;0.5, "🔥 Excelente", IF([1]!Table_246[[#This Row],[Coluna2]]&gt;0.4, "👍 Bom", "⚠️ Baixo"))</f>
        <v>⚠️ Baixo</v>
      </c>
    </row>
    <row r="975" spans="1:15" ht="15" customHeight="1">
      <c r="A975" s="28" t="str">
        <f>IF(Table_246[[#This Row],[Data]]="","",MONTH(Table_246[[#This Row],[Data]]))</f>
        <v/>
      </c>
      <c r="B975" s="32"/>
      <c r="C975" s="36"/>
      <c r="D975" s="43"/>
      <c r="E975" s="48"/>
      <c r="F975" s="48"/>
      <c r="G975" s="49" t="str">
        <f>IFERROR(VLOOKUP(C975,PROD!$A$2:$E$1204,5,0),"0")</f>
        <v>0</v>
      </c>
      <c r="H975" s="10">
        <f>Table_246[[#This Row],[QT]]*Table_246[[#This Row],[Custo 
Un]]</f>
        <v>0</v>
      </c>
      <c r="I975" s="52"/>
      <c r="J975" s="263">
        <f t="shared" si="51"/>
        <v>0</v>
      </c>
      <c r="K975" s="10">
        <f t="shared" si="50"/>
        <v>0</v>
      </c>
      <c r="L975" s="50">
        <f>Table_246[[#This Row],[Valor da 
venda]]-Table_246[[#This Row],[Valor gasto]]</f>
        <v>0</v>
      </c>
      <c r="M975" s="111">
        <f t="shared" si="52"/>
        <v>0</v>
      </c>
      <c r="N975" s="52"/>
      <c r="O975" t="str">
        <f>IF([1]!Table_246[[#This Row],[Coluna2]]&gt;0.5, "🔥 Excelente", IF([1]!Table_246[[#This Row],[Coluna2]]&gt;0.4, "👍 Bom", "⚠️ Baixo"))</f>
        <v>⚠️ Baixo</v>
      </c>
    </row>
    <row r="976" spans="1:15" ht="15" customHeight="1">
      <c r="A976" s="28" t="str">
        <f>IF(Table_246[[#This Row],[Data]]="","",MONTH(Table_246[[#This Row],[Data]]))</f>
        <v/>
      </c>
      <c r="B976" s="32"/>
      <c r="C976" s="36"/>
      <c r="D976" s="43"/>
      <c r="E976" s="48"/>
      <c r="F976" s="48"/>
      <c r="G976" s="49" t="str">
        <f>IFERROR(VLOOKUP(C976,PROD!$A$2:$E$1204,5,0),"0")</f>
        <v>0</v>
      </c>
      <c r="H976" s="10">
        <f>Table_246[[#This Row],[QT]]*Table_246[[#This Row],[Custo 
Un]]</f>
        <v>0</v>
      </c>
      <c r="I976" s="52"/>
      <c r="J976" s="263">
        <f t="shared" si="51"/>
        <v>0</v>
      </c>
      <c r="K976" s="10">
        <f t="shared" si="50"/>
        <v>0</v>
      </c>
      <c r="L976" s="50">
        <f>Table_246[[#This Row],[Valor da 
venda]]-Table_246[[#This Row],[Valor gasto]]</f>
        <v>0</v>
      </c>
      <c r="M976" s="111">
        <f t="shared" si="52"/>
        <v>0</v>
      </c>
      <c r="N976" s="52"/>
      <c r="O976" t="str">
        <f>IF([1]!Table_246[[#This Row],[Coluna2]]&gt;0.5, "🔥 Excelente", IF([1]!Table_246[[#This Row],[Coluna2]]&gt;0.4, "👍 Bom", "⚠️ Baixo"))</f>
        <v>⚠️ Baixo</v>
      </c>
    </row>
    <row r="977" spans="1:15" ht="15" customHeight="1">
      <c r="A977" s="28" t="str">
        <f>IF(Table_246[[#This Row],[Data]]="","",MONTH(Table_246[[#This Row],[Data]]))</f>
        <v/>
      </c>
      <c r="B977" s="32"/>
      <c r="C977" s="36"/>
      <c r="D977" s="43"/>
      <c r="E977" s="48"/>
      <c r="F977" s="48"/>
      <c r="G977" s="49" t="str">
        <f>IFERROR(VLOOKUP(C977,PROD!$A$2:$E$1204,5,0),"0")</f>
        <v>0</v>
      </c>
      <c r="H977" s="10">
        <f>Table_246[[#This Row],[QT]]*Table_246[[#This Row],[Custo 
Un]]</f>
        <v>0</v>
      </c>
      <c r="I977" s="52"/>
      <c r="J977" s="263">
        <f t="shared" si="51"/>
        <v>0</v>
      </c>
      <c r="K977" s="10">
        <f t="shared" si="50"/>
        <v>0</v>
      </c>
      <c r="L977" s="50">
        <f>Table_246[[#This Row],[Valor da 
venda]]-Table_246[[#This Row],[Valor gasto]]</f>
        <v>0</v>
      </c>
      <c r="M977" s="111">
        <f t="shared" si="52"/>
        <v>0</v>
      </c>
      <c r="N977" s="52"/>
      <c r="O977" t="str">
        <f>IF([1]!Table_246[[#This Row],[Coluna2]]&gt;0.5, "🔥 Excelente", IF([1]!Table_246[[#This Row],[Coluna2]]&gt;0.4, "👍 Bom", "⚠️ Baixo"))</f>
        <v>⚠️ Baixo</v>
      </c>
    </row>
    <row r="978" spans="1:15" ht="15" customHeight="1">
      <c r="A978" s="28" t="str">
        <f>IF(Table_246[[#This Row],[Data]]="","",MONTH(Table_246[[#This Row],[Data]]))</f>
        <v/>
      </c>
      <c r="B978" s="32"/>
      <c r="C978" s="36"/>
      <c r="D978" s="43"/>
      <c r="E978" s="48"/>
      <c r="F978" s="48"/>
      <c r="G978" s="49" t="str">
        <f>IFERROR(VLOOKUP(C978,PROD!$A$2:$E$1204,5,0),"0")</f>
        <v>0</v>
      </c>
      <c r="H978" s="10">
        <f>Table_246[[#This Row],[QT]]*Table_246[[#This Row],[Custo 
Un]]</f>
        <v>0</v>
      </c>
      <c r="I978" s="52"/>
      <c r="J978" s="263">
        <f t="shared" si="51"/>
        <v>0</v>
      </c>
      <c r="K978" s="10">
        <f t="shared" si="50"/>
        <v>0</v>
      </c>
      <c r="L978" s="50">
        <f>Table_246[[#This Row],[Valor da 
venda]]-Table_246[[#This Row],[Valor gasto]]</f>
        <v>0</v>
      </c>
      <c r="M978" s="111">
        <f t="shared" si="52"/>
        <v>0</v>
      </c>
      <c r="N978" s="52"/>
      <c r="O978" t="str">
        <f>IF([1]!Table_246[[#This Row],[Coluna2]]&gt;0.5, "🔥 Excelente", IF([1]!Table_246[[#This Row],[Coluna2]]&gt;0.4, "👍 Bom", "⚠️ Baixo"))</f>
        <v>⚠️ Baixo</v>
      </c>
    </row>
    <row r="979" spans="1:15" ht="15" customHeight="1">
      <c r="A979" s="28" t="str">
        <f>IF(Table_246[[#This Row],[Data]]="","",MONTH(Table_246[[#This Row],[Data]]))</f>
        <v/>
      </c>
      <c r="B979" s="32"/>
      <c r="C979" s="36"/>
      <c r="D979" s="43"/>
      <c r="E979" s="48"/>
      <c r="F979" s="48"/>
      <c r="G979" s="49" t="str">
        <f>IFERROR(VLOOKUP(C979,PROD!$A$2:$E$1204,5,0),"0")</f>
        <v>0</v>
      </c>
      <c r="H979" s="10">
        <f>Table_246[[#This Row],[QT]]*Table_246[[#This Row],[Custo 
Un]]</f>
        <v>0</v>
      </c>
      <c r="I979" s="52"/>
      <c r="J979" s="263">
        <f t="shared" si="51"/>
        <v>0</v>
      </c>
      <c r="K979" s="10">
        <f t="shared" si="50"/>
        <v>0</v>
      </c>
      <c r="L979" s="50">
        <f>Table_246[[#This Row],[Valor da 
venda]]-Table_246[[#This Row],[Valor gasto]]</f>
        <v>0</v>
      </c>
      <c r="M979" s="111">
        <f t="shared" si="52"/>
        <v>0</v>
      </c>
      <c r="N979" s="52"/>
      <c r="O979" t="str">
        <f>IF([1]!Table_246[[#This Row],[Coluna2]]&gt;0.5, "🔥 Excelente", IF([1]!Table_246[[#This Row],[Coluna2]]&gt;0.4, "👍 Bom", "⚠️ Baixo"))</f>
        <v>⚠️ Baixo</v>
      </c>
    </row>
    <row r="980" spans="1:15" ht="15" customHeight="1">
      <c r="A980" s="28" t="str">
        <f>IF(Table_246[[#This Row],[Data]]="","",MONTH(Table_246[[#This Row],[Data]]))</f>
        <v/>
      </c>
      <c r="B980" s="32"/>
      <c r="C980" s="36"/>
      <c r="D980" s="43"/>
      <c r="E980" s="48"/>
      <c r="F980" s="48"/>
      <c r="G980" s="49" t="str">
        <f>IFERROR(VLOOKUP(C980,PROD!$A$2:$E$1204,5,0),"0")</f>
        <v>0</v>
      </c>
      <c r="H980" s="10">
        <f>Table_246[[#This Row],[QT]]*Table_246[[#This Row],[Custo 
Un]]</f>
        <v>0</v>
      </c>
      <c r="I980" s="52"/>
      <c r="J980" s="263">
        <f t="shared" si="51"/>
        <v>0</v>
      </c>
      <c r="K980" s="10">
        <f t="shared" si="50"/>
        <v>0</v>
      </c>
      <c r="L980" s="50">
        <f>Table_246[[#This Row],[Valor da 
venda]]-Table_246[[#This Row],[Valor gasto]]</f>
        <v>0</v>
      </c>
      <c r="M980" s="111">
        <f t="shared" si="52"/>
        <v>0</v>
      </c>
      <c r="N980" s="52"/>
      <c r="O980" t="str">
        <f>IF([1]!Table_246[[#This Row],[Coluna2]]&gt;0.5, "🔥 Excelente", IF([1]!Table_246[[#This Row],[Coluna2]]&gt;0.4, "👍 Bom", "⚠️ Baixo"))</f>
        <v>⚠️ Baixo</v>
      </c>
    </row>
    <row r="981" spans="1:15" ht="15" customHeight="1">
      <c r="A981" s="28" t="str">
        <f>IF(Table_246[[#This Row],[Data]]="","",MONTH(Table_246[[#This Row],[Data]]))</f>
        <v/>
      </c>
      <c r="B981" s="32"/>
      <c r="C981" s="36"/>
      <c r="D981" s="43"/>
      <c r="E981" s="48"/>
      <c r="F981" s="48"/>
      <c r="G981" s="49" t="str">
        <f>IFERROR(VLOOKUP(C981,PROD!$A$2:$E$1204,5,0),"0")</f>
        <v>0</v>
      </c>
      <c r="H981" s="10">
        <f>Table_246[[#This Row],[QT]]*Table_246[[#This Row],[Custo 
Un]]</f>
        <v>0</v>
      </c>
      <c r="I981" s="52"/>
      <c r="J981" s="263">
        <f t="shared" si="51"/>
        <v>0</v>
      </c>
      <c r="K981" s="10">
        <f t="shared" si="50"/>
        <v>0</v>
      </c>
      <c r="L981" s="50">
        <f>Table_246[[#This Row],[Valor da 
venda]]-Table_246[[#This Row],[Valor gasto]]</f>
        <v>0</v>
      </c>
      <c r="M981" s="111">
        <f t="shared" si="52"/>
        <v>0</v>
      </c>
      <c r="N981" s="52"/>
      <c r="O981" t="str">
        <f>IF([1]!Table_246[[#This Row],[Coluna2]]&gt;0.5, "🔥 Excelente", IF([1]!Table_246[[#This Row],[Coluna2]]&gt;0.4, "👍 Bom", "⚠️ Baixo"))</f>
        <v>⚠️ Baixo</v>
      </c>
    </row>
    <row r="982" spans="1:15" ht="15" customHeight="1">
      <c r="A982" s="28" t="str">
        <f>IF(Table_246[[#This Row],[Data]]="","",MONTH(Table_246[[#This Row],[Data]]))</f>
        <v/>
      </c>
      <c r="B982" s="32"/>
      <c r="C982" s="36"/>
      <c r="D982" s="43"/>
      <c r="E982" s="48"/>
      <c r="F982" s="48"/>
      <c r="G982" s="49" t="str">
        <f>IFERROR(VLOOKUP(C982,PROD!$A$2:$E$1204,5,0),"0")</f>
        <v>0</v>
      </c>
      <c r="H982" s="10">
        <f>Table_246[[#This Row],[QT]]*Table_246[[#This Row],[Custo 
Un]]</f>
        <v>0</v>
      </c>
      <c r="I982" s="52"/>
      <c r="J982" s="263">
        <f t="shared" si="51"/>
        <v>0</v>
      </c>
      <c r="K982" s="10">
        <f t="shared" si="50"/>
        <v>0</v>
      </c>
      <c r="L982" s="50">
        <f>Table_246[[#This Row],[Valor da 
venda]]-Table_246[[#This Row],[Valor gasto]]</f>
        <v>0</v>
      </c>
      <c r="M982" s="111">
        <f t="shared" si="52"/>
        <v>0</v>
      </c>
      <c r="N982" s="52"/>
      <c r="O982" t="str">
        <f>IF([1]!Table_246[[#This Row],[Coluna2]]&gt;0.5, "🔥 Excelente", IF([1]!Table_246[[#This Row],[Coluna2]]&gt;0.4, "👍 Bom", "⚠️ Baixo"))</f>
        <v>⚠️ Baixo</v>
      </c>
    </row>
    <row r="983" spans="1:15" ht="15" customHeight="1">
      <c r="A983" s="28" t="str">
        <f>IF(Table_246[[#This Row],[Data]]="","",MONTH(Table_246[[#This Row],[Data]]))</f>
        <v/>
      </c>
      <c r="B983" s="32"/>
      <c r="C983" s="36"/>
      <c r="D983" s="43"/>
      <c r="E983" s="48"/>
      <c r="F983" s="48"/>
      <c r="G983" s="49" t="str">
        <f>IFERROR(VLOOKUP(C983,PROD!$A$2:$E$1204,5,0),"0")</f>
        <v>0</v>
      </c>
      <c r="H983" s="10">
        <f>Table_246[[#This Row],[QT]]*Table_246[[#This Row],[Custo 
Un]]</f>
        <v>0</v>
      </c>
      <c r="I983" s="52"/>
      <c r="J983" s="263">
        <f t="shared" si="51"/>
        <v>0</v>
      </c>
      <c r="K983" s="10">
        <f t="shared" si="50"/>
        <v>0</v>
      </c>
      <c r="L983" s="50">
        <f>Table_246[[#This Row],[Valor da 
venda]]-Table_246[[#This Row],[Valor gasto]]</f>
        <v>0</v>
      </c>
      <c r="M983" s="111">
        <f t="shared" si="52"/>
        <v>0</v>
      </c>
      <c r="N983" s="52"/>
      <c r="O983" t="str">
        <f>IF([1]!Table_246[[#This Row],[Coluna2]]&gt;0.5, "🔥 Excelente", IF([1]!Table_246[[#This Row],[Coluna2]]&gt;0.4, "👍 Bom", "⚠️ Baixo"))</f>
        <v>⚠️ Baixo</v>
      </c>
    </row>
    <row r="984" spans="1:15" ht="15" customHeight="1">
      <c r="A984" s="28" t="str">
        <f>IF(Table_246[[#This Row],[Data]]="","",MONTH(Table_246[[#This Row],[Data]]))</f>
        <v/>
      </c>
      <c r="B984" s="32"/>
      <c r="C984" s="36"/>
      <c r="D984" s="43"/>
      <c r="E984" s="48"/>
      <c r="F984" s="48"/>
      <c r="G984" s="49" t="str">
        <f>IFERROR(VLOOKUP(C984,PROD!$A$2:$E$1204,5,0),"0")</f>
        <v>0</v>
      </c>
      <c r="H984" s="10">
        <f>Table_246[[#This Row],[QT]]*Table_246[[#This Row],[Custo 
Un]]</f>
        <v>0</v>
      </c>
      <c r="I984" s="52"/>
      <c r="J984" s="263">
        <f t="shared" si="51"/>
        <v>0</v>
      </c>
      <c r="K984" s="10">
        <f t="shared" si="50"/>
        <v>0</v>
      </c>
      <c r="L984" s="50">
        <f>Table_246[[#This Row],[Valor da 
venda]]-Table_246[[#This Row],[Valor gasto]]</f>
        <v>0</v>
      </c>
      <c r="M984" s="111">
        <f t="shared" si="52"/>
        <v>0</v>
      </c>
      <c r="N984" s="52"/>
      <c r="O984" t="str">
        <f>IF([1]!Table_246[[#This Row],[Coluna2]]&gt;0.5, "🔥 Excelente", IF([1]!Table_246[[#This Row],[Coluna2]]&gt;0.4, "👍 Bom", "⚠️ Baixo"))</f>
        <v>⚠️ Baixo</v>
      </c>
    </row>
    <row r="985" spans="1:15" ht="15" customHeight="1">
      <c r="A985" s="28" t="str">
        <f>IF(Table_246[[#This Row],[Data]]="","",MONTH(Table_246[[#This Row],[Data]]))</f>
        <v/>
      </c>
      <c r="B985" s="32"/>
      <c r="C985" s="36"/>
      <c r="D985" s="43"/>
      <c r="E985" s="48"/>
      <c r="F985" s="48"/>
      <c r="G985" s="49" t="str">
        <f>IFERROR(VLOOKUP(C985,PROD!$A$2:$E$1204,5,0),"0")</f>
        <v>0</v>
      </c>
      <c r="H985" s="10">
        <f>Table_246[[#This Row],[QT]]*Table_246[[#This Row],[Custo 
Un]]</f>
        <v>0</v>
      </c>
      <c r="I985" s="52"/>
      <c r="J985" s="263">
        <f t="shared" si="51"/>
        <v>0</v>
      </c>
      <c r="K985" s="10">
        <f t="shared" si="50"/>
        <v>0</v>
      </c>
      <c r="L985" s="50">
        <f>Table_246[[#This Row],[Valor da 
venda]]-Table_246[[#This Row],[Valor gasto]]</f>
        <v>0</v>
      </c>
      <c r="M985" s="111">
        <f t="shared" si="52"/>
        <v>0</v>
      </c>
      <c r="N985" s="52"/>
      <c r="O985" t="str">
        <f>IF([1]!Table_246[[#This Row],[Coluna2]]&gt;0.5, "🔥 Excelente", IF([1]!Table_246[[#This Row],[Coluna2]]&gt;0.4, "👍 Bom", "⚠️ Baixo"))</f>
        <v>⚠️ Baixo</v>
      </c>
    </row>
    <row r="986" spans="1:15" ht="15" customHeight="1">
      <c r="A986" s="28" t="str">
        <f>IF(Table_246[[#This Row],[Data]]="","",MONTH(Table_246[[#This Row],[Data]]))</f>
        <v/>
      </c>
      <c r="B986" s="32"/>
      <c r="C986" s="36"/>
      <c r="D986" s="43"/>
      <c r="E986" s="48"/>
      <c r="F986" s="48"/>
      <c r="G986" s="49" t="str">
        <f>IFERROR(VLOOKUP(C986,PROD!$A$2:$E$1204,5,0),"0")</f>
        <v>0</v>
      </c>
      <c r="H986" s="10">
        <f>Table_246[[#This Row],[QT]]*Table_246[[#This Row],[Custo 
Un]]</f>
        <v>0</v>
      </c>
      <c r="I986" s="52"/>
      <c r="J986" s="263">
        <f t="shared" si="51"/>
        <v>0</v>
      </c>
      <c r="K986" s="10">
        <f t="shared" si="50"/>
        <v>0</v>
      </c>
      <c r="L986" s="50">
        <f>Table_246[[#This Row],[Valor da 
venda]]-Table_246[[#This Row],[Valor gasto]]</f>
        <v>0</v>
      </c>
      <c r="M986" s="111">
        <f t="shared" si="52"/>
        <v>0</v>
      </c>
      <c r="N986" s="52"/>
      <c r="O986" t="str">
        <f>IF([1]!Table_246[[#This Row],[Coluna2]]&gt;0.5, "🔥 Excelente", IF([1]!Table_246[[#This Row],[Coluna2]]&gt;0.4, "👍 Bom", "⚠️ Baixo"))</f>
        <v>⚠️ Baixo</v>
      </c>
    </row>
    <row r="987" spans="1:15" ht="15" customHeight="1">
      <c r="A987" s="28" t="str">
        <f>IF(Table_246[[#This Row],[Data]]="","",MONTH(Table_246[[#This Row],[Data]]))</f>
        <v/>
      </c>
      <c r="B987" s="32"/>
      <c r="C987" s="36"/>
      <c r="D987" s="43"/>
      <c r="E987" s="48"/>
      <c r="F987" s="48"/>
      <c r="G987" s="49" t="str">
        <f>IFERROR(VLOOKUP(C987,PROD!$A$2:$E$1204,5,0),"0")</f>
        <v>0</v>
      </c>
      <c r="H987" s="10">
        <f>Table_246[[#This Row],[QT]]*Table_246[[#This Row],[Custo 
Un]]</f>
        <v>0</v>
      </c>
      <c r="I987" s="52"/>
      <c r="J987" s="263">
        <f t="shared" si="51"/>
        <v>0</v>
      </c>
      <c r="K987" s="10">
        <f t="shared" si="50"/>
        <v>0</v>
      </c>
      <c r="L987" s="50">
        <f>Table_246[[#This Row],[Valor da 
venda]]-Table_246[[#This Row],[Valor gasto]]</f>
        <v>0</v>
      </c>
      <c r="M987" s="111">
        <f t="shared" si="52"/>
        <v>0</v>
      </c>
      <c r="N987" s="52"/>
      <c r="O987" t="str">
        <f>IF([1]!Table_246[[#This Row],[Coluna2]]&gt;0.5, "🔥 Excelente", IF([1]!Table_246[[#This Row],[Coluna2]]&gt;0.4, "👍 Bom", "⚠️ Baixo"))</f>
        <v>⚠️ Baixo</v>
      </c>
    </row>
    <row r="988" spans="1:15" ht="15" customHeight="1">
      <c r="A988" s="28" t="str">
        <f>IF(Table_246[[#This Row],[Data]]="","",MONTH(Table_246[[#This Row],[Data]]))</f>
        <v/>
      </c>
      <c r="B988" s="32"/>
      <c r="C988" s="36"/>
      <c r="D988" s="43"/>
      <c r="E988" s="48"/>
      <c r="F988" s="48"/>
      <c r="G988" s="49" t="str">
        <f>IFERROR(VLOOKUP(C988,PROD!$A$2:$E$1204,5,0),"0")</f>
        <v>0</v>
      </c>
      <c r="H988" s="10">
        <f>Table_246[[#This Row],[QT]]*Table_246[[#This Row],[Custo 
Un]]</f>
        <v>0</v>
      </c>
      <c r="I988" s="52"/>
      <c r="J988" s="263">
        <f t="shared" si="51"/>
        <v>0</v>
      </c>
      <c r="K988" s="10">
        <f t="shared" si="50"/>
        <v>0</v>
      </c>
      <c r="L988" s="50">
        <f>Table_246[[#This Row],[Valor da 
venda]]-Table_246[[#This Row],[Valor gasto]]</f>
        <v>0</v>
      </c>
      <c r="M988" s="111">
        <f t="shared" si="52"/>
        <v>0</v>
      </c>
      <c r="N988" s="52"/>
      <c r="O988" t="str">
        <f>IF([1]!Table_246[[#This Row],[Coluna2]]&gt;0.5, "🔥 Excelente", IF([1]!Table_246[[#This Row],[Coluna2]]&gt;0.4, "👍 Bom", "⚠️ Baixo"))</f>
        <v>⚠️ Baixo</v>
      </c>
    </row>
    <row r="989" spans="1:15" ht="15" customHeight="1">
      <c r="A989" s="28" t="str">
        <f>IF(Table_246[[#This Row],[Data]]="","",MONTH(Table_246[[#This Row],[Data]]))</f>
        <v/>
      </c>
      <c r="B989" s="32"/>
      <c r="C989" s="36"/>
      <c r="D989" s="43"/>
      <c r="E989" s="48"/>
      <c r="F989" s="48"/>
      <c r="G989" s="49" t="str">
        <f>IFERROR(VLOOKUP(C989,PROD!$A$2:$E$1204,5,0),"0")</f>
        <v>0</v>
      </c>
      <c r="H989" s="10">
        <f>Table_246[[#This Row],[QT]]*Table_246[[#This Row],[Custo 
Un]]</f>
        <v>0</v>
      </c>
      <c r="I989" s="52"/>
      <c r="J989" s="263">
        <f t="shared" si="51"/>
        <v>0</v>
      </c>
      <c r="K989" s="10">
        <f t="shared" si="50"/>
        <v>0</v>
      </c>
      <c r="L989" s="50">
        <f>Table_246[[#This Row],[Valor da 
venda]]-Table_246[[#This Row],[Valor gasto]]</f>
        <v>0</v>
      </c>
      <c r="M989" s="111">
        <f t="shared" si="52"/>
        <v>0</v>
      </c>
      <c r="N989" s="52"/>
      <c r="O989" t="str">
        <f>IF([1]!Table_246[[#This Row],[Coluna2]]&gt;0.5, "🔥 Excelente", IF([1]!Table_246[[#This Row],[Coluna2]]&gt;0.4, "👍 Bom", "⚠️ Baixo"))</f>
        <v>⚠️ Baixo</v>
      </c>
    </row>
    <row r="990" spans="1:15" ht="15" customHeight="1">
      <c r="A990" s="28" t="str">
        <f>IF(Table_246[[#This Row],[Data]]="","",MONTH(Table_246[[#This Row],[Data]]))</f>
        <v/>
      </c>
      <c r="B990" s="32"/>
      <c r="C990" s="36"/>
      <c r="D990" s="43"/>
      <c r="E990" s="48"/>
      <c r="F990" s="48"/>
      <c r="G990" s="49" t="str">
        <f>IFERROR(VLOOKUP(C990,PROD!$A$2:$E$1204,5,0),"0")</f>
        <v>0</v>
      </c>
      <c r="H990" s="10">
        <f>Table_246[[#This Row],[QT]]*Table_246[[#This Row],[Custo 
Un]]</f>
        <v>0</v>
      </c>
      <c r="I990" s="52"/>
      <c r="J990" s="263">
        <f t="shared" si="51"/>
        <v>0</v>
      </c>
      <c r="K990" s="10">
        <f t="shared" si="50"/>
        <v>0</v>
      </c>
      <c r="L990" s="50">
        <f>Table_246[[#This Row],[Valor da 
venda]]-Table_246[[#This Row],[Valor gasto]]</f>
        <v>0</v>
      </c>
      <c r="M990" s="111">
        <f t="shared" si="52"/>
        <v>0</v>
      </c>
      <c r="N990" s="52"/>
      <c r="O990" t="str">
        <f>IF([1]!Table_246[[#This Row],[Coluna2]]&gt;0.5, "🔥 Excelente", IF([1]!Table_246[[#This Row],[Coluna2]]&gt;0.4, "👍 Bom", "⚠️ Baixo"))</f>
        <v>⚠️ Baixo</v>
      </c>
    </row>
    <row r="991" spans="1:15" ht="15" customHeight="1">
      <c r="A991" s="28" t="str">
        <f>IF(Table_246[[#This Row],[Data]]="","",MONTH(Table_246[[#This Row],[Data]]))</f>
        <v/>
      </c>
      <c r="B991" s="32"/>
      <c r="C991" s="36"/>
      <c r="D991" s="43"/>
      <c r="E991" s="48"/>
      <c r="F991" s="48"/>
      <c r="G991" s="49" t="str">
        <f>IFERROR(VLOOKUP(C991,PROD!$A$2:$E$1204,5,0),"0")</f>
        <v>0</v>
      </c>
      <c r="H991" s="10">
        <f>Table_246[[#This Row],[QT]]*Table_246[[#This Row],[Custo 
Un]]</f>
        <v>0</v>
      </c>
      <c r="I991" s="52"/>
      <c r="J991" s="263">
        <f t="shared" si="51"/>
        <v>0</v>
      </c>
      <c r="K991" s="10">
        <f t="shared" si="50"/>
        <v>0</v>
      </c>
      <c r="L991" s="50">
        <f>Table_246[[#This Row],[Valor da 
venda]]-Table_246[[#This Row],[Valor gasto]]</f>
        <v>0</v>
      </c>
      <c r="M991" s="111">
        <f t="shared" si="52"/>
        <v>0</v>
      </c>
      <c r="N991" s="52"/>
      <c r="O991" t="str">
        <f>IF([1]!Table_246[[#This Row],[Coluna2]]&gt;0.5, "🔥 Excelente", IF([1]!Table_246[[#This Row],[Coluna2]]&gt;0.4, "👍 Bom", "⚠️ Baixo"))</f>
        <v>⚠️ Baixo</v>
      </c>
    </row>
    <row r="992" spans="1:15" ht="15" customHeight="1">
      <c r="A992" s="28" t="str">
        <f>IF(Table_246[[#This Row],[Data]]="","",MONTH(Table_246[[#This Row],[Data]]))</f>
        <v/>
      </c>
      <c r="B992" s="32"/>
      <c r="C992" s="36"/>
      <c r="D992" s="43"/>
      <c r="E992" s="48"/>
      <c r="F992" s="48"/>
      <c r="G992" s="49" t="str">
        <f>IFERROR(VLOOKUP(C992,PROD!$A$2:$E$1204,5,0),"0")</f>
        <v>0</v>
      </c>
      <c r="H992" s="10">
        <f>Table_246[[#This Row],[QT]]*Table_246[[#This Row],[Custo 
Un]]</f>
        <v>0</v>
      </c>
      <c r="I992" s="52"/>
      <c r="J992" s="263">
        <f t="shared" si="51"/>
        <v>0</v>
      </c>
      <c r="K992" s="10">
        <f t="shared" si="50"/>
        <v>0</v>
      </c>
      <c r="L992" s="50">
        <f>Table_246[[#This Row],[Valor da 
venda]]-Table_246[[#This Row],[Valor gasto]]</f>
        <v>0</v>
      </c>
      <c r="M992" s="111">
        <f t="shared" si="52"/>
        <v>0</v>
      </c>
      <c r="N992" s="52"/>
      <c r="O992" t="str">
        <f>IF([1]!Table_246[[#This Row],[Coluna2]]&gt;0.5, "🔥 Excelente", IF([1]!Table_246[[#This Row],[Coluna2]]&gt;0.4, "👍 Bom", "⚠️ Baixo"))</f>
        <v>⚠️ Baixo</v>
      </c>
    </row>
    <row r="993" spans="1:15" ht="15" customHeight="1">
      <c r="A993" s="28" t="str">
        <f>IF(Table_246[[#This Row],[Data]]="","",MONTH(Table_246[[#This Row],[Data]]))</f>
        <v/>
      </c>
      <c r="B993" s="32"/>
      <c r="C993" s="36"/>
      <c r="D993" s="43"/>
      <c r="E993" s="48"/>
      <c r="F993" s="48"/>
      <c r="G993" s="49" t="str">
        <f>IFERROR(VLOOKUP(C993,PROD!$A$2:$E$1204,5,0),"0")</f>
        <v>0</v>
      </c>
      <c r="H993" s="10">
        <f>Table_246[[#This Row],[QT]]*Table_246[[#This Row],[Custo 
Un]]</f>
        <v>0</v>
      </c>
      <c r="I993" s="52"/>
      <c r="J993" s="263">
        <f t="shared" si="51"/>
        <v>0</v>
      </c>
      <c r="K993" s="10">
        <f t="shared" si="50"/>
        <v>0</v>
      </c>
      <c r="L993" s="50">
        <f>Table_246[[#This Row],[Valor da 
venda]]-Table_246[[#This Row],[Valor gasto]]</f>
        <v>0</v>
      </c>
      <c r="M993" s="111">
        <f t="shared" si="52"/>
        <v>0</v>
      </c>
      <c r="N993" s="52"/>
      <c r="O993" t="str">
        <f>IF([1]!Table_246[[#This Row],[Coluna2]]&gt;0.5, "🔥 Excelente", IF([1]!Table_246[[#This Row],[Coluna2]]&gt;0.4, "👍 Bom", "⚠️ Baixo"))</f>
        <v>⚠️ Baixo</v>
      </c>
    </row>
    <row r="994" spans="1:15" ht="15" customHeight="1">
      <c r="A994" s="28" t="str">
        <f>IF(Table_246[[#This Row],[Data]]="","",MONTH(Table_246[[#This Row],[Data]]))</f>
        <v/>
      </c>
      <c r="B994" s="32"/>
      <c r="C994" s="36"/>
      <c r="D994" s="43"/>
      <c r="E994" s="48"/>
      <c r="F994" s="48"/>
      <c r="G994" s="49" t="str">
        <f>IFERROR(VLOOKUP(C994,PROD!$A$2:$E$1204,5,0),"0")</f>
        <v>0</v>
      </c>
      <c r="H994" s="10">
        <f>Table_246[[#This Row],[QT]]*Table_246[[#This Row],[Custo 
Un]]</f>
        <v>0</v>
      </c>
      <c r="I994" s="52"/>
      <c r="J994" s="263">
        <f t="shared" si="51"/>
        <v>0</v>
      </c>
      <c r="K994" s="10">
        <f t="shared" si="50"/>
        <v>0</v>
      </c>
      <c r="L994" s="50">
        <f>Table_246[[#This Row],[Valor da 
venda]]-Table_246[[#This Row],[Valor gasto]]</f>
        <v>0</v>
      </c>
      <c r="M994" s="111">
        <f t="shared" si="52"/>
        <v>0</v>
      </c>
      <c r="N994" s="52"/>
      <c r="O994" t="str">
        <f>IF([1]!Table_246[[#This Row],[Coluna2]]&gt;0.5, "🔥 Excelente", IF([1]!Table_246[[#This Row],[Coluna2]]&gt;0.4, "👍 Bom", "⚠️ Baixo"))</f>
        <v>⚠️ Baixo</v>
      </c>
    </row>
    <row r="995" spans="1:15" ht="15" customHeight="1">
      <c r="A995" s="28" t="str">
        <f>IF(Table_246[[#This Row],[Data]]="","",MONTH(Table_246[[#This Row],[Data]]))</f>
        <v/>
      </c>
      <c r="B995" s="32"/>
      <c r="C995" s="36"/>
      <c r="D995" s="43"/>
      <c r="E995" s="48"/>
      <c r="F995" s="48"/>
      <c r="G995" s="49" t="str">
        <f>IFERROR(VLOOKUP(C995,PROD!$A$2:$E$1204,5,0),"0")</f>
        <v>0</v>
      </c>
      <c r="H995" s="10">
        <f>Table_246[[#This Row],[QT]]*Table_246[[#This Row],[Custo 
Un]]</f>
        <v>0</v>
      </c>
      <c r="I995" s="52"/>
      <c r="J995" s="263">
        <f t="shared" si="51"/>
        <v>0</v>
      </c>
      <c r="K995" s="10">
        <f t="shared" si="50"/>
        <v>0</v>
      </c>
      <c r="L995" s="50">
        <f>Table_246[[#This Row],[Valor da 
venda]]-Table_246[[#This Row],[Valor gasto]]</f>
        <v>0</v>
      </c>
      <c r="M995" s="111">
        <f t="shared" si="52"/>
        <v>0</v>
      </c>
      <c r="N995" s="52"/>
      <c r="O995" t="str">
        <f>IF([1]!Table_246[[#This Row],[Coluna2]]&gt;0.5, "🔥 Excelente", IF([1]!Table_246[[#This Row],[Coluna2]]&gt;0.4, "👍 Bom", "⚠️ Baixo"))</f>
        <v>⚠️ Baixo</v>
      </c>
    </row>
    <row r="996" spans="1:15" ht="15" customHeight="1">
      <c r="A996" s="28" t="str">
        <f>IF(Table_246[[#This Row],[Data]]="","",MONTH(Table_246[[#This Row],[Data]]))</f>
        <v/>
      </c>
      <c r="B996" s="32"/>
      <c r="C996" s="36"/>
      <c r="D996" s="43"/>
      <c r="E996" s="48"/>
      <c r="F996" s="48"/>
      <c r="G996" s="49" t="str">
        <f>IFERROR(VLOOKUP(C996,PROD!$A$2:$E$1204,5,0),"0")</f>
        <v>0</v>
      </c>
      <c r="H996" s="10">
        <f>Table_246[[#This Row],[QT]]*Table_246[[#This Row],[Custo 
Un]]</f>
        <v>0</v>
      </c>
      <c r="I996" s="52"/>
      <c r="J996" s="263">
        <f t="shared" si="51"/>
        <v>0</v>
      </c>
      <c r="K996" s="10">
        <f t="shared" si="50"/>
        <v>0</v>
      </c>
      <c r="L996" s="50">
        <f>Table_246[[#This Row],[Valor da 
venda]]-Table_246[[#This Row],[Valor gasto]]</f>
        <v>0</v>
      </c>
      <c r="M996" s="111">
        <f t="shared" si="52"/>
        <v>0</v>
      </c>
      <c r="N996" s="52"/>
      <c r="O996" t="str">
        <f>IF([1]!Table_246[[#This Row],[Coluna2]]&gt;0.5, "🔥 Excelente", IF([1]!Table_246[[#This Row],[Coluna2]]&gt;0.4, "👍 Bom", "⚠️ Baixo"))</f>
        <v>⚠️ Baixo</v>
      </c>
    </row>
    <row r="997" spans="1:15" ht="15" customHeight="1">
      <c r="A997" s="28" t="str">
        <f>IF(Table_246[[#This Row],[Data]]="","",MONTH(Table_246[[#This Row],[Data]]))</f>
        <v/>
      </c>
      <c r="B997" s="32"/>
      <c r="C997" s="36"/>
      <c r="D997" s="43"/>
      <c r="E997" s="48"/>
      <c r="F997" s="48"/>
      <c r="G997" s="49" t="str">
        <f>IFERROR(VLOOKUP(C997,PROD!$A$2:$E$1204,5,0),"0")</f>
        <v>0</v>
      </c>
      <c r="H997" s="10">
        <f>Table_246[[#This Row],[QT]]*Table_246[[#This Row],[Custo 
Un]]</f>
        <v>0</v>
      </c>
      <c r="I997" s="52"/>
      <c r="J997" s="263">
        <f t="shared" si="51"/>
        <v>0</v>
      </c>
      <c r="K997" s="10">
        <f t="shared" si="50"/>
        <v>0</v>
      </c>
      <c r="L997" s="50">
        <f>Table_246[[#This Row],[Valor da 
venda]]-Table_246[[#This Row],[Valor gasto]]</f>
        <v>0</v>
      </c>
      <c r="M997" s="111">
        <f t="shared" si="52"/>
        <v>0</v>
      </c>
      <c r="N997" s="52"/>
      <c r="O997" t="str">
        <f>IF([1]!Table_246[[#This Row],[Coluna2]]&gt;0.5, "🔥 Excelente", IF([1]!Table_246[[#This Row],[Coluna2]]&gt;0.4, "👍 Bom", "⚠️ Baixo"))</f>
        <v>⚠️ Baixo</v>
      </c>
    </row>
    <row r="998" spans="1:15" ht="15" customHeight="1">
      <c r="A998" s="28" t="str">
        <f>IF(Table_246[[#This Row],[Data]]="","",MONTH(Table_246[[#This Row],[Data]]))</f>
        <v/>
      </c>
      <c r="B998" s="32"/>
      <c r="C998" s="36"/>
      <c r="D998" s="43"/>
      <c r="E998" s="48"/>
      <c r="F998" s="48"/>
      <c r="G998" s="49" t="str">
        <f>IFERROR(VLOOKUP(C998,PROD!$A$2:$E$1204,5,0),"0")</f>
        <v>0</v>
      </c>
      <c r="H998" s="10">
        <f>Table_246[[#This Row],[QT]]*Table_246[[#This Row],[Custo 
Un]]</f>
        <v>0</v>
      </c>
      <c r="I998" s="52"/>
      <c r="J998" s="263">
        <f t="shared" si="51"/>
        <v>0</v>
      </c>
      <c r="K998" s="10">
        <f t="shared" si="50"/>
        <v>0</v>
      </c>
      <c r="L998" s="50">
        <f>Table_246[[#This Row],[Valor da 
venda]]-Table_246[[#This Row],[Valor gasto]]</f>
        <v>0</v>
      </c>
      <c r="M998" s="111">
        <f t="shared" si="52"/>
        <v>0</v>
      </c>
      <c r="N998" s="52"/>
      <c r="O998" t="str">
        <f>IF([1]!Table_246[[#This Row],[Coluna2]]&gt;0.5, "🔥 Excelente", IF([1]!Table_246[[#This Row],[Coluna2]]&gt;0.4, "👍 Bom", "⚠️ Baixo"))</f>
        <v>⚠️ Baixo</v>
      </c>
    </row>
    <row r="999" spans="1:15" ht="15" customHeight="1">
      <c r="A999" s="28" t="str">
        <f>IF(Table_246[[#This Row],[Data]]="","",MONTH(Table_246[[#This Row],[Data]]))</f>
        <v/>
      </c>
      <c r="B999" s="32"/>
      <c r="C999" s="36"/>
      <c r="D999" s="43"/>
      <c r="E999" s="48"/>
      <c r="F999" s="48"/>
      <c r="G999" s="49" t="str">
        <f>IFERROR(VLOOKUP(C999,PROD!$A$2:$E$1204,5,0),"0")</f>
        <v>0</v>
      </c>
      <c r="H999" s="10">
        <f>Table_246[[#This Row],[QT]]*Table_246[[#This Row],[Custo 
Un]]</f>
        <v>0</v>
      </c>
      <c r="I999" s="52"/>
      <c r="J999" s="263">
        <f t="shared" si="51"/>
        <v>0</v>
      </c>
      <c r="K999" s="10">
        <f t="shared" si="50"/>
        <v>0</v>
      </c>
      <c r="L999" s="50">
        <f>Table_246[[#This Row],[Valor da 
venda]]-Table_246[[#This Row],[Valor gasto]]</f>
        <v>0</v>
      </c>
      <c r="M999" s="111">
        <f t="shared" si="52"/>
        <v>0</v>
      </c>
      <c r="N999" s="52"/>
      <c r="O999" t="str">
        <f>IF([1]!Table_246[[#This Row],[Coluna2]]&gt;0.5, "🔥 Excelente", IF([1]!Table_246[[#This Row],[Coluna2]]&gt;0.4, "👍 Bom", "⚠️ Baixo"))</f>
        <v>⚠️ Baixo</v>
      </c>
    </row>
    <row r="1000" spans="1:15" ht="15" customHeight="1">
      <c r="A1000" s="28" t="str">
        <f>IF(Table_246[[#This Row],[Data]]="","",MONTH(Table_246[[#This Row],[Data]]))</f>
        <v/>
      </c>
      <c r="B1000" s="32"/>
      <c r="C1000" s="36"/>
      <c r="D1000" s="43"/>
      <c r="E1000" s="48"/>
      <c r="F1000" s="48"/>
      <c r="G1000" s="49" t="str">
        <f>IFERROR(VLOOKUP(C1000,PROD!$A$2:$E$1204,5,0),"0")</f>
        <v>0</v>
      </c>
      <c r="H1000" s="10">
        <f>Table_246[[#This Row],[QT]]*Table_246[[#This Row],[Custo 
Un]]</f>
        <v>0</v>
      </c>
      <c r="I1000" s="52"/>
      <c r="J1000" s="263">
        <f t="shared" si="51"/>
        <v>0</v>
      </c>
      <c r="K1000" s="10">
        <f t="shared" si="50"/>
        <v>0</v>
      </c>
      <c r="L1000" s="50">
        <f>Table_246[[#This Row],[Valor da 
venda]]-Table_246[[#This Row],[Valor gasto]]</f>
        <v>0</v>
      </c>
      <c r="M1000" s="111">
        <f t="shared" si="52"/>
        <v>0</v>
      </c>
      <c r="N1000" s="52"/>
      <c r="O1000" t="str">
        <f>IF([1]!Table_246[[#This Row],[Coluna2]]&gt;0.5, "🔥 Excelente", IF([1]!Table_246[[#This Row],[Coluna2]]&gt;0.4, "👍 Bom", "⚠️ Baixo"))</f>
        <v>⚠️ Baixo</v>
      </c>
    </row>
    <row r="1001" spans="1:15" ht="15" customHeight="1">
      <c r="A1001" s="28" t="str">
        <f>IF(Table_246[[#This Row],[Data]]="","",MONTH(Table_246[[#This Row],[Data]]))</f>
        <v/>
      </c>
      <c r="B1001" s="32"/>
      <c r="C1001" s="36"/>
      <c r="D1001" s="43"/>
      <c r="E1001" s="48"/>
      <c r="F1001" s="48"/>
      <c r="G1001" s="49" t="str">
        <f>IFERROR(VLOOKUP(C1001,PROD!$A$2:$E$1204,5,0),"0")</f>
        <v>0</v>
      </c>
      <c r="H1001" s="10">
        <f>Table_246[[#This Row],[QT]]*Table_246[[#This Row],[Custo 
Un]]</f>
        <v>0</v>
      </c>
      <c r="I1001" s="52"/>
      <c r="J1001" s="263">
        <f t="shared" si="51"/>
        <v>0</v>
      </c>
      <c r="K1001" s="10">
        <f t="shared" si="50"/>
        <v>0</v>
      </c>
      <c r="L1001" s="50">
        <f>Table_246[[#This Row],[Valor da 
venda]]-Table_246[[#This Row],[Valor gasto]]</f>
        <v>0</v>
      </c>
      <c r="M1001" s="111">
        <f t="shared" si="52"/>
        <v>0</v>
      </c>
      <c r="N1001" s="52"/>
      <c r="O1001" t="str">
        <f>IF([1]!Table_246[[#This Row],[Coluna2]]&gt;0.5, "🔥 Excelente", IF([1]!Table_246[[#This Row],[Coluna2]]&gt;0.4, "👍 Bom", "⚠️ Baixo"))</f>
        <v>⚠️ Baixo</v>
      </c>
    </row>
    <row r="1002" spans="1:15" ht="15" customHeight="1">
      <c r="A1002" s="28" t="str">
        <f>IF(Table_246[[#This Row],[Data]]="","",MONTH(Table_246[[#This Row],[Data]]))</f>
        <v/>
      </c>
      <c r="B1002" s="32"/>
      <c r="C1002" s="36"/>
      <c r="D1002" s="43"/>
      <c r="E1002" s="48"/>
      <c r="F1002" s="48"/>
      <c r="G1002" s="49" t="str">
        <f>IFERROR(VLOOKUP(C1002,PROD!$A$2:$E$1204,5,0),"0")</f>
        <v>0</v>
      </c>
      <c r="H1002" s="10">
        <f>Table_246[[#This Row],[QT]]*Table_246[[#This Row],[Custo 
Un]]</f>
        <v>0</v>
      </c>
      <c r="I1002" s="52"/>
      <c r="J1002" s="263">
        <f t="shared" si="51"/>
        <v>0</v>
      </c>
      <c r="K1002" s="10">
        <f t="shared" si="50"/>
        <v>0</v>
      </c>
      <c r="L1002" s="50">
        <f>Table_246[[#This Row],[Valor da 
venda]]-Table_246[[#This Row],[Valor gasto]]</f>
        <v>0</v>
      </c>
      <c r="M1002" s="111">
        <f t="shared" si="52"/>
        <v>0</v>
      </c>
      <c r="N1002" s="52"/>
      <c r="O1002" t="str">
        <f>IF([1]!Table_246[[#This Row],[Coluna2]]&gt;0.5, "🔥 Excelente", IF([1]!Table_246[[#This Row],[Coluna2]]&gt;0.4, "👍 Bom", "⚠️ Baixo"))</f>
        <v>⚠️ Baixo</v>
      </c>
    </row>
    <row r="1003" spans="1:15" ht="15" customHeight="1">
      <c r="A1003" s="28" t="str">
        <f>IF(Table_246[[#This Row],[Data]]="","",MONTH(Table_246[[#This Row],[Data]]))</f>
        <v/>
      </c>
      <c r="B1003" s="32"/>
      <c r="C1003" s="36"/>
      <c r="D1003" s="43"/>
      <c r="E1003" s="48"/>
      <c r="F1003" s="48"/>
      <c r="G1003" s="49" t="str">
        <f>IFERROR(VLOOKUP(C1003,PROD!$A$2:$E$1204,5,0),"0")</f>
        <v>0</v>
      </c>
      <c r="H1003" s="10">
        <f>Table_246[[#This Row],[QT]]*Table_246[[#This Row],[Custo 
Un]]</f>
        <v>0</v>
      </c>
      <c r="I1003" s="52"/>
      <c r="J1003" s="263">
        <f t="shared" si="51"/>
        <v>0</v>
      </c>
      <c r="K1003" s="10">
        <f t="shared" si="50"/>
        <v>0</v>
      </c>
      <c r="L1003" s="50">
        <f>Table_246[[#This Row],[Valor da 
venda]]-Table_246[[#This Row],[Valor gasto]]</f>
        <v>0</v>
      </c>
      <c r="M1003" s="111">
        <f t="shared" si="52"/>
        <v>0</v>
      </c>
      <c r="N1003" s="52"/>
      <c r="O1003" t="str">
        <f>IF([1]!Table_246[[#This Row],[Coluna2]]&gt;0.5, "🔥 Excelente", IF([1]!Table_246[[#This Row],[Coluna2]]&gt;0.4, "👍 Bom", "⚠️ Baixo"))</f>
        <v>⚠️ Baixo</v>
      </c>
    </row>
    <row r="1004" spans="1:15" ht="15" customHeight="1">
      <c r="A1004" s="28" t="str">
        <f>IF(Table_246[[#This Row],[Data]]="","",MONTH(Table_246[[#This Row],[Data]]))</f>
        <v/>
      </c>
      <c r="B1004" s="32"/>
      <c r="C1004" s="36"/>
      <c r="D1004" s="43"/>
      <c r="E1004" s="48"/>
      <c r="F1004" s="48"/>
      <c r="G1004" s="49" t="str">
        <f>IFERROR(VLOOKUP(C1004,PROD!$A$2:$E$1204,5,0),"0")</f>
        <v>0</v>
      </c>
      <c r="H1004" s="10">
        <f>Table_246[[#This Row],[QT]]*Table_246[[#This Row],[Custo 
Un]]</f>
        <v>0</v>
      </c>
      <c r="I1004" s="52"/>
      <c r="J1004" s="263">
        <f t="shared" si="51"/>
        <v>0</v>
      </c>
      <c r="K1004" s="10">
        <f t="shared" si="50"/>
        <v>0</v>
      </c>
      <c r="L1004" s="50">
        <f>Table_246[[#This Row],[Valor da 
venda]]-Table_246[[#This Row],[Valor gasto]]</f>
        <v>0</v>
      </c>
      <c r="M1004" s="111">
        <f t="shared" si="52"/>
        <v>0</v>
      </c>
      <c r="N1004" s="52"/>
      <c r="O1004" t="str">
        <f>IF([1]!Table_246[[#This Row],[Coluna2]]&gt;0.5, "🔥 Excelente", IF([1]!Table_246[[#This Row],[Coluna2]]&gt;0.4, "👍 Bom", "⚠️ Baixo"))</f>
        <v>⚠️ Baixo</v>
      </c>
    </row>
    <row r="1005" spans="1:15" ht="15" customHeight="1">
      <c r="A1005" s="28" t="str">
        <f>IF(Table_246[[#This Row],[Data]]="","",MONTH(Table_246[[#This Row],[Data]]))</f>
        <v/>
      </c>
      <c r="B1005" s="32"/>
      <c r="C1005" s="36"/>
      <c r="D1005" s="43"/>
      <c r="E1005" s="48"/>
      <c r="F1005" s="48"/>
      <c r="G1005" s="49" t="str">
        <f>IFERROR(VLOOKUP(C1005,PROD!$A$2:$E$1204,5,0),"0")</f>
        <v>0</v>
      </c>
      <c r="H1005" s="10">
        <f>Table_246[[#This Row],[QT]]*Table_246[[#This Row],[Custo 
Un]]</f>
        <v>0</v>
      </c>
      <c r="I1005" s="52"/>
      <c r="J1005" s="263">
        <f t="shared" si="51"/>
        <v>0</v>
      </c>
      <c r="K1005" s="10">
        <f t="shared" si="50"/>
        <v>0</v>
      </c>
      <c r="L1005" s="50">
        <f>Table_246[[#This Row],[Valor da 
venda]]-Table_246[[#This Row],[Valor gasto]]</f>
        <v>0</v>
      </c>
      <c r="M1005" s="111">
        <f t="shared" si="52"/>
        <v>0</v>
      </c>
      <c r="N1005" s="52"/>
      <c r="O1005" t="str">
        <f>IF([1]!Table_246[[#This Row],[Coluna2]]&gt;0.5, "🔥 Excelente", IF([1]!Table_246[[#This Row],[Coluna2]]&gt;0.4, "👍 Bom", "⚠️ Baixo"))</f>
        <v>⚠️ Baixo</v>
      </c>
    </row>
    <row r="1006" spans="1:15" ht="15" customHeight="1">
      <c r="A1006" s="28" t="str">
        <f>IF(Table_246[[#This Row],[Data]]="","",MONTH(Table_246[[#This Row],[Data]]))</f>
        <v/>
      </c>
      <c r="B1006" s="32"/>
      <c r="C1006" s="36"/>
      <c r="D1006" s="43"/>
      <c r="E1006" s="48"/>
      <c r="F1006" s="48"/>
      <c r="G1006" s="49" t="str">
        <f>IFERROR(VLOOKUP(C1006,PROD!$A$2:$E$1204,5,0),"0")</f>
        <v>0</v>
      </c>
      <c r="H1006" s="10">
        <f>Table_246[[#This Row],[QT]]*Table_246[[#This Row],[Custo 
Un]]</f>
        <v>0</v>
      </c>
      <c r="I1006" s="52"/>
      <c r="J1006" s="263">
        <f t="shared" si="51"/>
        <v>0</v>
      </c>
      <c r="K1006" s="10">
        <f t="shared" si="50"/>
        <v>0</v>
      </c>
      <c r="L1006" s="50">
        <f>Table_246[[#This Row],[Valor da 
venda]]-Table_246[[#This Row],[Valor gasto]]</f>
        <v>0</v>
      </c>
      <c r="M1006" s="111">
        <f t="shared" si="52"/>
        <v>0</v>
      </c>
      <c r="N1006" s="52"/>
      <c r="O1006" t="str">
        <f>IF([1]!Table_246[[#This Row],[Coluna2]]&gt;0.5, "🔥 Excelente", IF([1]!Table_246[[#This Row],[Coluna2]]&gt;0.4, "👍 Bom", "⚠️ Baixo"))</f>
        <v>⚠️ Baixo</v>
      </c>
    </row>
    <row r="1007" spans="1:15" ht="15" customHeight="1">
      <c r="A1007" s="28" t="str">
        <f>IF(Table_246[[#This Row],[Data]]="","",MONTH(Table_246[[#This Row],[Data]]))</f>
        <v/>
      </c>
      <c r="B1007" s="32"/>
      <c r="C1007" s="36"/>
      <c r="D1007" s="43"/>
      <c r="E1007" s="48"/>
      <c r="F1007" s="48"/>
      <c r="G1007" s="49" t="str">
        <f>IFERROR(VLOOKUP(C1007,PROD!$A$2:$E$1204,5,0),"0")</f>
        <v>0</v>
      </c>
      <c r="H1007" s="10">
        <f>Table_246[[#This Row],[QT]]*Table_246[[#This Row],[Custo 
Un]]</f>
        <v>0</v>
      </c>
      <c r="I1007" s="52"/>
      <c r="J1007" s="263">
        <f t="shared" si="51"/>
        <v>0</v>
      </c>
      <c r="K1007" s="10">
        <f t="shared" si="50"/>
        <v>0</v>
      </c>
      <c r="L1007" s="50">
        <f>Table_246[[#This Row],[Valor da 
venda]]-Table_246[[#This Row],[Valor gasto]]</f>
        <v>0</v>
      </c>
      <c r="M1007" s="111">
        <f t="shared" si="52"/>
        <v>0</v>
      </c>
      <c r="N1007" s="52"/>
      <c r="O1007" t="str">
        <f>IF([1]!Table_246[[#This Row],[Coluna2]]&gt;0.5, "🔥 Excelente", IF([1]!Table_246[[#This Row],[Coluna2]]&gt;0.4, "👍 Bom", "⚠️ Baixo"))</f>
        <v>⚠️ Baixo</v>
      </c>
    </row>
    <row r="1008" spans="1:15" ht="15" customHeight="1">
      <c r="A1008" s="28" t="str">
        <f>IF(Table_246[[#This Row],[Data]]="","",MONTH(Table_246[[#This Row],[Data]]))</f>
        <v/>
      </c>
      <c r="B1008" s="32"/>
      <c r="C1008" s="36"/>
      <c r="D1008" s="43"/>
      <c r="E1008" s="48"/>
      <c r="F1008" s="48"/>
      <c r="G1008" s="49" t="str">
        <f>IFERROR(VLOOKUP(C1008,PROD!$A$2:$E$1204,5,0),"0")</f>
        <v>0</v>
      </c>
      <c r="H1008" s="10">
        <f>Table_246[[#This Row],[QT]]*Table_246[[#This Row],[Custo 
Un]]</f>
        <v>0</v>
      </c>
      <c r="I1008" s="52"/>
      <c r="J1008" s="263">
        <f t="shared" si="51"/>
        <v>0</v>
      </c>
      <c r="K1008" s="10">
        <f t="shared" si="50"/>
        <v>0</v>
      </c>
      <c r="L1008" s="50">
        <f>Table_246[[#This Row],[Valor da 
venda]]-Table_246[[#This Row],[Valor gasto]]</f>
        <v>0</v>
      </c>
      <c r="M1008" s="111">
        <f t="shared" si="52"/>
        <v>0</v>
      </c>
      <c r="N1008" s="52"/>
      <c r="O1008" t="str">
        <f>IF([1]!Table_246[[#This Row],[Coluna2]]&gt;0.5, "🔥 Excelente", IF([1]!Table_246[[#This Row],[Coluna2]]&gt;0.4, "👍 Bom", "⚠️ Baixo"))</f>
        <v>⚠️ Baixo</v>
      </c>
    </row>
    <row r="1009" spans="1:15" ht="15" customHeight="1">
      <c r="A1009" s="28" t="str">
        <f>IF(Table_246[[#This Row],[Data]]="","",MONTH(Table_246[[#This Row],[Data]]))</f>
        <v/>
      </c>
      <c r="B1009" s="32"/>
      <c r="C1009" s="36"/>
      <c r="D1009" s="43"/>
      <c r="E1009" s="48"/>
      <c r="F1009" s="48"/>
      <c r="G1009" s="49" t="str">
        <f>IFERROR(VLOOKUP(C1009,PROD!$A$2:$E$1204,5,0),"0")</f>
        <v>0</v>
      </c>
      <c r="H1009" s="10">
        <f>Table_246[[#This Row],[QT]]*Table_246[[#This Row],[Custo 
Un]]</f>
        <v>0</v>
      </c>
      <c r="I1009" s="52"/>
      <c r="J1009" s="263">
        <f t="shared" si="51"/>
        <v>0</v>
      </c>
      <c r="K1009" s="10">
        <f t="shared" si="50"/>
        <v>0</v>
      </c>
      <c r="L1009" s="50">
        <f>Table_246[[#This Row],[Valor da 
venda]]-Table_246[[#This Row],[Valor gasto]]</f>
        <v>0</v>
      </c>
      <c r="M1009" s="111">
        <f t="shared" si="52"/>
        <v>0</v>
      </c>
      <c r="N1009" s="52"/>
      <c r="O1009" t="str">
        <f>IF([1]!Table_246[[#This Row],[Coluna2]]&gt;0.5, "🔥 Excelente", IF([1]!Table_246[[#This Row],[Coluna2]]&gt;0.4, "👍 Bom", "⚠️ Baixo"))</f>
        <v>⚠️ Baixo</v>
      </c>
    </row>
    <row r="1010" spans="1:15" ht="15" customHeight="1">
      <c r="A1010" s="28" t="str">
        <f>IF(Table_246[[#This Row],[Data]]="","",MONTH(Table_246[[#This Row],[Data]]))</f>
        <v/>
      </c>
      <c r="B1010" s="32"/>
      <c r="C1010" s="36"/>
      <c r="D1010" s="43"/>
      <c r="E1010" s="48"/>
      <c r="F1010" s="48"/>
      <c r="G1010" s="49" t="str">
        <f>IFERROR(VLOOKUP(C1010,PROD!$A$2:$E$1204,5,0),"0")</f>
        <v>0</v>
      </c>
      <c r="H1010" s="10">
        <f>Table_246[[#This Row],[QT]]*Table_246[[#This Row],[Custo 
Un]]</f>
        <v>0</v>
      </c>
      <c r="I1010" s="52"/>
      <c r="J1010" s="263">
        <f t="shared" si="51"/>
        <v>0</v>
      </c>
      <c r="K1010" s="10">
        <f t="shared" si="50"/>
        <v>0</v>
      </c>
      <c r="L1010" s="50">
        <f>Table_246[[#This Row],[Valor da 
venda]]-Table_246[[#This Row],[Valor gasto]]</f>
        <v>0</v>
      </c>
      <c r="M1010" s="111">
        <f t="shared" si="52"/>
        <v>0</v>
      </c>
      <c r="N1010" s="52"/>
      <c r="O1010" t="str">
        <f>IF([1]!Table_246[[#This Row],[Coluna2]]&gt;0.5, "🔥 Excelente", IF([1]!Table_246[[#This Row],[Coluna2]]&gt;0.4, "👍 Bom", "⚠️ Baixo"))</f>
        <v>⚠️ Baixo</v>
      </c>
    </row>
    <row r="1011" spans="1:15" ht="15" customHeight="1">
      <c r="A1011" s="28" t="str">
        <f>IF(Table_246[[#This Row],[Data]]="","",MONTH(Table_246[[#This Row],[Data]]))</f>
        <v/>
      </c>
      <c r="B1011" s="32"/>
      <c r="C1011" s="36"/>
      <c r="D1011" s="43"/>
      <c r="E1011" s="48"/>
      <c r="F1011" s="48"/>
      <c r="G1011" s="49" t="str">
        <f>IFERROR(VLOOKUP(C1011,PROD!$A$2:$E$1204,5,0),"0")</f>
        <v>0</v>
      </c>
      <c r="H1011" s="10">
        <f>Table_246[[#This Row],[QT]]*Table_246[[#This Row],[Custo 
Un]]</f>
        <v>0</v>
      </c>
      <c r="I1011" s="52"/>
      <c r="J1011" s="263">
        <f t="shared" si="51"/>
        <v>0</v>
      </c>
      <c r="K1011" s="10">
        <f t="shared" si="50"/>
        <v>0</v>
      </c>
      <c r="L1011" s="50">
        <f>Table_246[[#This Row],[Valor da 
venda]]-Table_246[[#This Row],[Valor gasto]]</f>
        <v>0</v>
      </c>
      <c r="M1011" s="111">
        <f t="shared" si="52"/>
        <v>0</v>
      </c>
      <c r="N1011" s="52"/>
      <c r="O1011" t="str">
        <f>IF([1]!Table_246[[#This Row],[Coluna2]]&gt;0.5, "🔥 Excelente", IF([1]!Table_246[[#This Row],[Coluna2]]&gt;0.4, "👍 Bom", "⚠️ Baixo"))</f>
        <v>⚠️ Baixo</v>
      </c>
    </row>
    <row r="1012" spans="1:15" ht="15" customHeight="1">
      <c r="A1012" s="28" t="str">
        <f>IF(Table_246[[#This Row],[Data]]="","",MONTH(Table_246[[#This Row],[Data]]))</f>
        <v/>
      </c>
      <c r="B1012" s="32"/>
      <c r="C1012" s="36"/>
      <c r="D1012" s="43"/>
      <c r="E1012" s="48"/>
      <c r="F1012" s="48"/>
      <c r="G1012" s="49" t="str">
        <f>IFERROR(VLOOKUP(C1012,PROD!$A$2:$E$1204,5,0),"0")</f>
        <v>0</v>
      </c>
      <c r="H1012" s="10">
        <f>Table_246[[#This Row],[QT]]*Table_246[[#This Row],[Custo 
Un]]</f>
        <v>0</v>
      </c>
      <c r="I1012" s="52"/>
      <c r="J1012" s="263">
        <f t="shared" si="51"/>
        <v>0</v>
      </c>
      <c r="K1012" s="10">
        <f t="shared" ref="K1012:K1075" si="53">I1012*D1012</f>
        <v>0</v>
      </c>
      <c r="L1012" s="50">
        <f>Table_246[[#This Row],[Valor da 
venda]]-Table_246[[#This Row],[Valor gasto]]</f>
        <v>0</v>
      </c>
      <c r="M1012" s="111">
        <f t="shared" si="52"/>
        <v>0</v>
      </c>
      <c r="N1012" s="52"/>
      <c r="O1012" t="str">
        <f>IF([1]!Table_246[[#This Row],[Coluna2]]&gt;0.5, "🔥 Excelente", IF([1]!Table_246[[#This Row],[Coluna2]]&gt;0.4, "👍 Bom", "⚠️ Baixo"))</f>
        <v>⚠️ Baixo</v>
      </c>
    </row>
    <row r="1013" spans="1:15" ht="15" customHeight="1">
      <c r="A1013" s="28" t="str">
        <f>IF(Table_246[[#This Row],[Data]]="","",MONTH(Table_246[[#This Row],[Data]]))</f>
        <v/>
      </c>
      <c r="B1013" s="32"/>
      <c r="C1013" s="36"/>
      <c r="D1013" s="43"/>
      <c r="E1013" s="48"/>
      <c r="F1013" s="48"/>
      <c r="G1013" s="49" t="str">
        <f>IFERROR(VLOOKUP(C1013,PROD!$A$2:$E$1204,5,0),"0")</f>
        <v>0</v>
      </c>
      <c r="H1013" s="10">
        <f>Table_246[[#This Row],[QT]]*Table_246[[#This Row],[Custo 
Un]]</f>
        <v>0</v>
      </c>
      <c r="I1013" s="52"/>
      <c r="J1013" s="263">
        <f t="shared" si="51"/>
        <v>0</v>
      </c>
      <c r="K1013" s="10">
        <f t="shared" si="53"/>
        <v>0</v>
      </c>
      <c r="L1013" s="50">
        <f>Table_246[[#This Row],[Valor da 
venda]]-Table_246[[#This Row],[Valor gasto]]</f>
        <v>0</v>
      </c>
      <c r="M1013" s="111">
        <f t="shared" si="52"/>
        <v>0</v>
      </c>
      <c r="N1013" s="52"/>
      <c r="O1013" t="str">
        <f>IF([1]!Table_246[[#This Row],[Coluna2]]&gt;0.5, "🔥 Excelente", IF([1]!Table_246[[#This Row],[Coluna2]]&gt;0.4, "👍 Bom", "⚠️ Baixo"))</f>
        <v>⚠️ Baixo</v>
      </c>
    </row>
    <row r="1014" spans="1:15" ht="15" customHeight="1">
      <c r="A1014" s="28" t="str">
        <f>IF(Table_246[[#This Row],[Data]]="","",MONTH(Table_246[[#This Row],[Data]]))</f>
        <v/>
      </c>
      <c r="B1014" s="32"/>
      <c r="C1014" s="36"/>
      <c r="D1014" s="43"/>
      <c r="E1014" s="48"/>
      <c r="F1014" s="48"/>
      <c r="G1014" s="49" t="str">
        <f>IFERROR(VLOOKUP(C1014,PROD!$A$2:$E$1204,5,0),"0")</f>
        <v>0</v>
      </c>
      <c r="H1014" s="10">
        <f>Table_246[[#This Row],[QT]]*Table_246[[#This Row],[Custo 
Un]]</f>
        <v>0</v>
      </c>
      <c r="I1014" s="52"/>
      <c r="J1014" s="263">
        <f t="shared" si="51"/>
        <v>0</v>
      </c>
      <c r="K1014" s="10">
        <f t="shared" si="53"/>
        <v>0</v>
      </c>
      <c r="L1014" s="50">
        <f>Table_246[[#This Row],[Valor da 
venda]]-Table_246[[#This Row],[Valor gasto]]</f>
        <v>0</v>
      </c>
      <c r="M1014" s="111">
        <f t="shared" si="52"/>
        <v>0</v>
      </c>
      <c r="N1014" s="52"/>
      <c r="O1014" t="str">
        <f>IF([1]!Table_246[[#This Row],[Coluna2]]&gt;0.5, "🔥 Excelente", IF([1]!Table_246[[#This Row],[Coluna2]]&gt;0.4, "👍 Bom", "⚠️ Baixo"))</f>
        <v>⚠️ Baixo</v>
      </c>
    </row>
    <row r="1015" spans="1:15" ht="14.25" customHeight="1">
      <c r="A1015" s="28" t="str">
        <f>IF(Table_246[[#This Row],[Data]]="","",MONTH(Table_246[[#This Row],[Data]]))</f>
        <v/>
      </c>
      <c r="B1015" s="32"/>
      <c r="C1015" s="36"/>
      <c r="D1015" s="43"/>
      <c r="E1015" s="48"/>
      <c r="F1015" s="48"/>
      <c r="G1015" s="49" t="str">
        <f>IFERROR(VLOOKUP(C1015,PROD!$A$2:$E$1204,5,0),"0")</f>
        <v>0</v>
      </c>
      <c r="H1015" s="10">
        <f>Table_246[[#This Row],[QT]]*Table_246[[#This Row],[Custo 
Un]]</f>
        <v>0</v>
      </c>
      <c r="I1015" s="52"/>
      <c r="J1015" s="263">
        <f t="shared" si="51"/>
        <v>0</v>
      </c>
      <c r="K1015" s="10">
        <f t="shared" si="53"/>
        <v>0</v>
      </c>
      <c r="L1015" s="50">
        <f>Table_246[[#This Row],[Valor da 
venda]]-Table_246[[#This Row],[Valor gasto]]</f>
        <v>0</v>
      </c>
      <c r="M1015" s="111">
        <f t="shared" si="52"/>
        <v>0</v>
      </c>
      <c r="N1015" s="52"/>
      <c r="O1015" t="str">
        <f>IF([1]!Table_246[[#This Row],[Coluna2]]&gt;0.5, "🔥 Excelente", IF([1]!Table_246[[#This Row],[Coluna2]]&gt;0.4, "👍 Bom", "⚠️ Baixo"))</f>
        <v>⚠️ Baixo</v>
      </c>
    </row>
    <row r="1016" spans="1:15" ht="15" customHeight="1">
      <c r="A1016" s="28" t="str">
        <f>IF(Table_246[[#This Row],[Data]]="","",MONTH(Table_246[[#This Row],[Data]]))</f>
        <v/>
      </c>
      <c r="B1016" s="32"/>
      <c r="C1016" s="36"/>
      <c r="D1016" s="43"/>
      <c r="E1016" s="48"/>
      <c r="F1016" s="48"/>
      <c r="G1016" s="49" t="str">
        <f>IFERROR(VLOOKUP(C1016,PROD!$A$2:$E$1204,5,0),"0")</f>
        <v>0</v>
      </c>
      <c r="H1016" s="10">
        <f>Table_246[[#This Row],[QT]]*Table_246[[#This Row],[Custo 
Un]]</f>
        <v>0</v>
      </c>
      <c r="I1016" s="52"/>
      <c r="J1016" s="263">
        <f t="shared" si="51"/>
        <v>0</v>
      </c>
      <c r="K1016" s="10">
        <f t="shared" si="53"/>
        <v>0</v>
      </c>
      <c r="L1016" s="50">
        <f>Table_246[[#This Row],[Valor da 
venda]]-Table_246[[#This Row],[Valor gasto]]</f>
        <v>0</v>
      </c>
      <c r="M1016" s="111">
        <f t="shared" si="52"/>
        <v>0</v>
      </c>
      <c r="N1016" s="52"/>
      <c r="O1016" t="str">
        <f>IF([1]!Table_246[[#This Row],[Coluna2]]&gt;0.5, "🔥 Excelente", IF([1]!Table_246[[#This Row],[Coluna2]]&gt;0.4, "👍 Bom", "⚠️ Baixo"))</f>
        <v>⚠️ Baixo</v>
      </c>
    </row>
    <row r="1017" spans="1:15" ht="15" customHeight="1">
      <c r="A1017" s="28" t="str">
        <f>IF(Table_246[[#This Row],[Data]]="","",MONTH(Table_246[[#This Row],[Data]]))</f>
        <v/>
      </c>
      <c r="B1017" s="32"/>
      <c r="C1017" s="36"/>
      <c r="D1017" s="43"/>
      <c r="E1017" s="48"/>
      <c r="F1017" s="48"/>
      <c r="G1017" s="49" t="str">
        <f>IFERROR(VLOOKUP(C1017,PROD!$A$2:$E$1204,5,0),"0")</f>
        <v>0</v>
      </c>
      <c r="H1017" s="10">
        <f>Table_246[[#This Row],[QT]]*Table_246[[#This Row],[Custo 
Un]]</f>
        <v>0</v>
      </c>
      <c r="I1017" s="52"/>
      <c r="J1017" s="263">
        <f t="shared" si="51"/>
        <v>0</v>
      </c>
      <c r="K1017" s="10">
        <f t="shared" si="53"/>
        <v>0</v>
      </c>
      <c r="L1017" s="50">
        <f>Table_246[[#This Row],[Valor da 
venda]]-Table_246[[#This Row],[Valor gasto]]</f>
        <v>0</v>
      </c>
      <c r="M1017" s="111">
        <f t="shared" si="52"/>
        <v>0</v>
      </c>
      <c r="N1017" s="52"/>
      <c r="O1017" t="str">
        <f>IF([1]!Table_246[[#This Row],[Coluna2]]&gt;0.5, "🔥 Excelente", IF([1]!Table_246[[#This Row],[Coluna2]]&gt;0.4, "👍 Bom", "⚠️ Baixo"))</f>
        <v>⚠️ Baixo</v>
      </c>
    </row>
    <row r="1018" spans="1:15" ht="15" customHeight="1">
      <c r="A1018" s="28" t="str">
        <f>IF(Table_246[[#This Row],[Data]]="","",MONTH(Table_246[[#This Row],[Data]]))</f>
        <v/>
      </c>
      <c r="B1018" s="32"/>
      <c r="C1018" s="36"/>
      <c r="D1018" s="43"/>
      <c r="E1018" s="48"/>
      <c r="F1018" s="48"/>
      <c r="G1018" s="49" t="str">
        <f>IFERROR(VLOOKUP(C1018,PROD!$A$2:$E$1204,5,0),"0")</f>
        <v>0</v>
      </c>
      <c r="H1018" s="10">
        <f>Table_246[[#This Row],[QT]]*Table_246[[#This Row],[Custo 
Un]]</f>
        <v>0</v>
      </c>
      <c r="I1018" s="52"/>
      <c r="J1018" s="263">
        <f t="shared" si="51"/>
        <v>0</v>
      </c>
      <c r="K1018" s="10">
        <f t="shared" si="53"/>
        <v>0</v>
      </c>
      <c r="L1018" s="50">
        <f>Table_246[[#This Row],[Valor da 
venda]]-Table_246[[#This Row],[Valor gasto]]</f>
        <v>0</v>
      </c>
      <c r="M1018" s="111">
        <f t="shared" si="52"/>
        <v>0</v>
      </c>
      <c r="N1018" s="52"/>
      <c r="O1018" t="str">
        <f>IF([1]!Table_246[[#This Row],[Coluna2]]&gt;0.5, "🔥 Excelente", IF([1]!Table_246[[#This Row],[Coluna2]]&gt;0.4, "👍 Bom", "⚠️ Baixo"))</f>
        <v>⚠️ Baixo</v>
      </c>
    </row>
    <row r="1019" spans="1:15" ht="15" customHeight="1">
      <c r="A1019" s="28" t="str">
        <f>IF(Table_246[[#This Row],[Data]]="","",MONTH(Table_246[[#This Row],[Data]]))</f>
        <v/>
      </c>
      <c r="B1019" s="32"/>
      <c r="C1019" s="36"/>
      <c r="D1019" s="43"/>
      <c r="E1019" s="48"/>
      <c r="F1019" s="48"/>
      <c r="G1019" s="49" t="str">
        <f>IFERROR(VLOOKUP(C1019,PROD!$A$2:$E$1204,5,0),"0")</f>
        <v>0</v>
      </c>
      <c r="H1019" s="10">
        <f>Table_246[[#This Row],[QT]]*Table_246[[#This Row],[Custo 
Un]]</f>
        <v>0</v>
      </c>
      <c r="I1019" s="52"/>
      <c r="J1019" s="263">
        <f t="shared" si="51"/>
        <v>0</v>
      </c>
      <c r="K1019" s="10">
        <f t="shared" si="53"/>
        <v>0</v>
      </c>
      <c r="L1019" s="50">
        <f>Table_246[[#This Row],[Valor da 
venda]]-Table_246[[#This Row],[Valor gasto]]</f>
        <v>0</v>
      </c>
      <c r="M1019" s="111">
        <f t="shared" si="52"/>
        <v>0</v>
      </c>
      <c r="N1019" s="52"/>
      <c r="O1019" t="str">
        <f>IF([1]!Table_246[[#This Row],[Coluna2]]&gt;0.5, "🔥 Excelente", IF([1]!Table_246[[#This Row],[Coluna2]]&gt;0.4, "👍 Bom", "⚠️ Baixo"))</f>
        <v>⚠️ Baixo</v>
      </c>
    </row>
    <row r="1020" spans="1:15" ht="15" customHeight="1">
      <c r="A1020" s="28" t="str">
        <f>IF(Table_246[[#This Row],[Data]]="","",MONTH(Table_246[[#This Row],[Data]]))</f>
        <v/>
      </c>
      <c r="B1020" s="32"/>
      <c r="C1020" s="36"/>
      <c r="D1020" s="43"/>
      <c r="E1020" s="48"/>
      <c r="F1020" s="48"/>
      <c r="G1020" s="49" t="str">
        <f>IFERROR(VLOOKUP(C1020,PROD!$A$2:$E$1204,5,0),"0")</f>
        <v>0</v>
      </c>
      <c r="H1020" s="10">
        <f>Table_246[[#This Row],[QT]]*Table_246[[#This Row],[Custo 
Un]]</f>
        <v>0</v>
      </c>
      <c r="I1020" s="52"/>
      <c r="J1020" s="263">
        <f t="shared" si="51"/>
        <v>0</v>
      </c>
      <c r="K1020" s="10">
        <f t="shared" si="53"/>
        <v>0</v>
      </c>
      <c r="L1020" s="50">
        <f>Table_246[[#This Row],[Valor da 
venda]]-Table_246[[#This Row],[Valor gasto]]</f>
        <v>0</v>
      </c>
      <c r="M1020" s="111">
        <f t="shared" si="52"/>
        <v>0</v>
      </c>
      <c r="N1020" s="52"/>
      <c r="O1020" t="str">
        <f>IF([1]!Table_246[[#This Row],[Coluna2]]&gt;0.5, "🔥 Excelente", IF([1]!Table_246[[#This Row],[Coluna2]]&gt;0.4, "👍 Bom", "⚠️ Baixo"))</f>
        <v>⚠️ Baixo</v>
      </c>
    </row>
    <row r="1021" spans="1:15" ht="15" customHeight="1">
      <c r="A1021" s="28" t="str">
        <f>IF(Table_246[[#This Row],[Data]]="","",MONTH(Table_246[[#This Row],[Data]]))</f>
        <v/>
      </c>
      <c r="B1021" s="32"/>
      <c r="C1021" s="36"/>
      <c r="D1021" s="43"/>
      <c r="E1021" s="48"/>
      <c r="F1021" s="48"/>
      <c r="G1021" s="49" t="str">
        <f>IFERROR(VLOOKUP(C1021,PROD!$A$2:$E$1204,5,0),"0")</f>
        <v>0</v>
      </c>
      <c r="H1021" s="10">
        <f>Table_246[[#This Row],[QT]]*Table_246[[#This Row],[Custo 
Un]]</f>
        <v>0</v>
      </c>
      <c r="I1021" s="52"/>
      <c r="J1021" s="263">
        <f t="shared" si="51"/>
        <v>0</v>
      </c>
      <c r="K1021" s="10">
        <f t="shared" si="53"/>
        <v>0</v>
      </c>
      <c r="L1021" s="50">
        <f>Table_246[[#This Row],[Valor da 
venda]]-Table_246[[#This Row],[Valor gasto]]</f>
        <v>0</v>
      </c>
      <c r="M1021" s="111">
        <f t="shared" si="52"/>
        <v>0</v>
      </c>
      <c r="N1021" s="52"/>
      <c r="O1021" t="str">
        <f>IF([1]!Table_246[[#This Row],[Coluna2]]&gt;0.5, "🔥 Excelente", IF([1]!Table_246[[#This Row],[Coluna2]]&gt;0.4, "👍 Bom", "⚠️ Baixo"))</f>
        <v>⚠️ Baixo</v>
      </c>
    </row>
    <row r="1022" spans="1:15" ht="15" customHeight="1">
      <c r="A1022" s="28" t="str">
        <f>IF(Table_246[[#This Row],[Data]]="","",MONTH(Table_246[[#This Row],[Data]]))</f>
        <v/>
      </c>
      <c r="B1022" s="32"/>
      <c r="C1022" s="36"/>
      <c r="D1022" s="43"/>
      <c r="E1022" s="48"/>
      <c r="F1022" s="48"/>
      <c r="G1022" s="49" t="str">
        <f>IFERROR(VLOOKUP(C1022,PROD!$A$2:$E$1204,5,0),"0")</f>
        <v>0</v>
      </c>
      <c r="H1022" s="10">
        <f>Table_246[[#This Row],[QT]]*Table_246[[#This Row],[Custo 
Un]]</f>
        <v>0</v>
      </c>
      <c r="I1022" s="52"/>
      <c r="J1022" s="263">
        <f t="shared" si="51"/>
        <v>0</v>
      </c>
      <c r="K1022" s="10">
        <f t="shared" si="53"/>
        <v>0</v>
      </c>
      <c r="L1022" s="50">
        <f>Table_246[[#This Row],[Valor da 
venda]]-Table_246[[#This Row],[Valor gasto]]</f>
        <v>0</v>
      </c>
      <c r="M1022" s="111">
        <f t="shared" si="52"/>
        <v>0</v>
      </c>
      <c r="N1022" s="52"/>
      <c r="O1022" t="str">
        <f>IF([1]!Table_246[[#This Row],[Coluna2]]&gt;0.5, "🔥 Excelente", IF([1]!Table_246[[#This Row],[Coluna2]]&gt;0.4, "👍 Bom", "⚠️ Baixo"))</f>
        <v>⚠️ Baixo</v>
      </c>
    </row>
    <row r="1023" spans="1:15" ht="15" customHeight="1">
      <c r="A1023" s="28" t="str">
        <f>IF(Table_246[[#This Row],[Data]]="","",MONTH(Table_246[[#This Row],[Data]]))</f>
        <v/>
      </c>
      <c r="B1023" s="32"/>
      <c r="C1023" s="36"/>
      <c r="D1023" s="43"/>
      <c r="E1023" s="48"/>
      <c r="F1023" s="48"/>
      <c r="G1023" s="49" t="str">
        <f>IFERROR(VLOOKUP(C1023,PROD!$A$2:$E$1204,5,0),"0")</f>
        <v>0</v>
      </c>
      <c r="H1023" s="10">
        <f>Table_246[[#This Row],[QT]]*Table_246[[#This Row],[Custo 
Un]]</f>
        <v>0</v>
      </c>
      <c r="I1023" s="52"/>
      <c r="J1023" s="263">
        <f t="shared" si="51"/>
        <v>0</v>
      </c>
      <c r="K1023" s="10">
        <f t="shared" si="53"/>
        <v>0</v>
      </c>
      <c r="L1023" s="50">
        <f>Table_246[[#This Row],[Valor da 
venda]]-Table_246[[#This Row],[Valor gasto]]</f>
        <v>0</v>
      </c>
      <c r="M1023" s="111">
        <f t="shared" si="52"/>
        <v>0</v>
      </c>
      <c r="N1023" s="52"/>
      <c r="O1023" t="str">
        <f>IF([1]!Table_246[[#This Row],[Coluna2]]&gt;0.5, "🔥 Excelente", IF([1]!Table_246[[#This Row],[Coluna2]]&gt;0.4, "👍 Bom", "⚠️ Baixo"))</f>
        <v>⚠️ Baixo</v>
      </c>
    </row>
    <row r="1024" spans="1:15" ht="15" customHeight="1">
      <c r="A1024" s="28" t="str">
        <f>IF(Table_246[[#This Row],[Data]]="","",MONTH(Table_246[[#This Row],[Data]]))</f>
        <v/>
      </c>
      <c r="B1024" s="32"/>
      <c r="C1024" s="36"/>
      <c r="D1024" s="43"/>
      <c r="E1024" s="48"/>
      <c r="F1024" s="48"/>
      <c r="G1024" s="49" t="str">
        <f>IFERROR(VLOOKUP(C1024,PROD!$A$2:$E$1204,5,0),"0")</f>
        <v>0</v>
      </c>
      <c r="H1024" s="10">
        <f>Table_246[[#This Row],[QT]]*Table_246[[#This Row],[Custo 
Un]]</f>
        <v>0</v>
      </c>
      <c r="I1024" s="52"/>
      <c r="J1024" s="263">
        <f t="shared" si="51"/>
        <v>0</v>
      </c>
      <c r="K1024" s="10">
        <f t="shared" si="53"/>
        <v>0</v>
      </c>
      <c r="L1024" s="50">
        <f>Table_246[[#This Row],[Valor da 
venda]]-Table_246[[#This Row],[Valor gasto]]</f>
        <v>0</v>
      </c>
      <c r="M1024" s="111">
        <f t="shared" si="52"/>
        <v>0</v>
      </c>
      <c r="N1024" s="52"/>
      <c r="O1024" t="str">
        <f>IF([1]!Table_246[[#This Row],[Coluna2]]&gt;0.5, "🔥 Excelente", IF([1]!Table_246[[#This Row],[Coluna2]]&gt;0.4, "👍 Bom", "⚠️ Baixo"))</f>
        <v>⚠️ Baixo</v>
      </c>
    </row>
    <row r="1025" spans="1:15" ht="15" customHeight="1">
      <c r="A1025" s="28" t="str">
        <f>IF(Table_246[[#This Row],[Data]]="","",MONTH(Table_246[[#This Row],[Data]]))</f>
        <v/>
      </c>
      <c r="B1025" s="32"/>
      <c r="C1025" s="36"/>
      <c r="D1025" s="43"/>
      <c r="E1025" s="48"/>
      <c r="F1025" s="48"/>
      <c r="G1025" s="49" t="str">
        <f>IFERROR(VLOOKUP(C1025,PROD!$A$2:$E$1204,5,0),"0")</f>
        <v>0</v>
      </c>
      <c r="H1025" s="10">
        <f>Table_246[[#This Row],[QT]]*Table_246[[#This Row],[Custo 
Un]]</f>
        <v>0</v>
      </c>
      <c r="I1025" s="52"/>
      <c r="J1025" s="263">
        <f t="shared" si="51"/>
        <v>0</v>
      </c>
      <c r="K1025" s="10">
        <f t="shared" si="53"/>
        <v>0</v>
      </c>
      <c r="L1025" s="50">
        <f>Table_246[[#This Row],[Valor da 
venda]]-Table_246[[#This Row],[Valor gasto]]</f>
        <v>0</v>
      </c>
      <c r="M1025" s="111">
        <f t="shared" si="52"/>
        <v>0</v>
      </c>
      <c r="N1025" s="52"/>
      <c r="O1025" t="str">
        <f>IF([1]!Table_246[[#This Row],[Coluna2]]&gt;0.5, "🔥 Excelente", IF([1]!Table_246[[#This Row],[Coluna2]]&gt;0.4, "👍 Bom", "⚠️ Baixo"))</f>
        <v>⚠️ Baixo</v>
      </c>
    </row>
    <row r="1026" spans="1:15" ht="15" customHeight="1">
      <c r="A1026" s="28" t="str">
        <f>IF(Table_246[[#This Row],[Data]]="","",MONTH(Table_246[[#This Row],[Data]]))</f>
        <v/>
      </c>
      <c r="B1026" s="32"/>
      <c r="C1026" s="36"/>
      <c r="D1026" s="43"/>
      <c r="E1026" s="48"/>
      <c r="F1026" s="48"/>
      <c r="G1026" s="49" t="str">
        <f>IFERROR(VLOOKUP(C1026,PROD!$A$2:$E$1204,5,0),"0")</f>
        <v>0</v>
      </c>
      <c r="H1026" s="10">
        <f>Table_246[[#This Row],[QT]]*Table_246[[#This Row],[Custo 
Un]]</f>
        <v>0</v>
      </c>
      <c r="I1026" s="52"/>
      <c r="J1026" s="263">
        <f t="shared" ref="J1026:J1089" si="54">I1026*D1026</f>
        <v>0</v>
      </c>
      <c r="K1026" s="10">
        <f t="shared" si="53"/>
        <v>0</v>
      </c>
      <c r="L1026" s="50">
        <f>Table_246[[#This Row],[Valor da 
venda]]-Table_246[[#This Row],[Valor gasto]]</f>
        <v>0</v>
      </c>
      <c r="M1026" s="111">
        <f t="shared" si="52"/>
        <v>0</v>
      </c>
      <c r="N1026" s="52"/>
      <c r="O1026" t="str">
        <f>IF([1]!Table_246[[#This Row],[Coluna2]]&gt;0.5, "🔥 Excelente", IF([1]!Table_246[[#This Row],[Coluna2]]&gt;0.4, "👍 Bom", "⚠️ Baixo"))</f>
        <v>⚠️ Baixo</v>
      </c>
    </row>
    <row r="1027" spans="1:15" ht="15" customHeight="1">
      <c r="A1027" s="28" t="str">
        <f>IF(Table_246[[#This Row],[Data]]="","",MONTH(Table_246[[#This Row],[Data]]))</f>
        <v/>
      </c>
      <c r="B1027" s="32"/>
      <c r="C1027" s="36"/>
      <c r="D1027" s="43"/>
      <c r="E1027" s="48"/>
      <c r="F1027" s="48"/>
      <c r="G1027" s="49" t="str">
        <f>IFERROR(VLOOKUP(C1027,PROD!$A$2:$E$1204,5,0),"0")</f>
        <v>0</v>
      </c>
      <c r="H1027" s="10">
        <f>Table_246[[#This Row],[QT]]*Table_246[[#This Row],[Custo 
Un]]</f>
        <v>0</v>
      </c>
      <c r="I1027" s="52"/>
      <c r="J1027" s="263">
        <f t="shared" si="54"/>
        <v>0</v>
      </c>
      <c r="K1027" s="10">
        <f t="shared" si="53"/>
        <v>0</v>
      </c>
      <c r="L1027" s="50">
        <f>Table_246[[#This Row],[Valor da 
venda]]-Table_246[[#This Row],[Valor gasto]]</f>
        <v>0</v>
      </c>
      <c r="M1027" s="111">
        <f t="shared" si="52"/>
        <v>0</v>
      </c>
      <c r="N1027" s="52"/>
      <c r="O1027" t="str">
        <f>IF([1]!Table_246[[#This Row],[Coluna2]]&gt;0.5, "🔥 Excelente", IF([1]!Table_246[[#This Row],[Coluna2]]&gt;0.4, "👍 Bom", "⚠️ Baixo"))</f>
        <v>⚠️ Baixo</v>
      </c>
    </row>
    <row r="1028" spans="1:15" ht="15" customHeight="1">
      <c r="A1028" s="28" t="str">
        <f>IF(Table_246[[#This Row],[Data]]="","",MONTH(Table_246[[#This Row],[Data]]))</f>
        <v/>
      </c>
      <c r="B1028" s="32"/>
      <c r="C1028" s="36"/>
      <c r="D1028" s="43"/>
      <c r="E1028" s="48"/>
      <c r="F1028" s="48"/>
      <c r="G1028" s="49" t="str">
        <f>IFERROR(VLOOKUP(C1028,PROD!$A$2:$E$1204,5,0),"0")</f>
        <v>0</v>
      </c>
      <c r="H1028" s="10">
        <f>Table_246[[#This Row],[QT]]*Table_246[[#This Row],[Custo 
Un]]</f>
        <v>0</v>
      </c>
      <c r="I1028" s="52"/>
      <c r="J1028" s="263">
        <f t="shared" si="54"/>
        <v>0</v>
      </c>
      <c r="K1028" s="10">
        <f t="shared" si="53"/>
        <v>0</v>
      </c>
      <c r="L1028" s="50">
        <f>Table_246[[#This Row],[Valor da 
venda]]-Table_246[[#This Row],[Valor gasto]]</f>
        <v>0</v>
      </c>
      <c r="M1028" s="111">
        <f t="shared" si="52"/>
        <v>0</v>
      </c>
      <c r="N1028" s="52"/>
      <c r="O1028" t="str">
        <f>IF([1]!Table_246[[#This Row],[Coluna2]]&gt;0.5, "🔥 Excelente", IF([1]!Table_246[[#This Row],[Coluna2]]&gt;0.4, "👍 Bom", "⚠️ Baixo"))</f>
        <v>⚠️ Baixo</v>
      </c>
    </row>
    <row r="1029" spans="1:15" ht="15" customHeight="1">
      <c r="A1029" s="28" t="str">
        <f>IF(Table_246[[#This Row],[Data]]="","",MONTH(Table_246[[#This Row],[Data]]))</f>
        <v/>
      </c>
      <c r="B1029" s="32"/>
      <c r="C1029" s="36"/>
      <c r="D1029" s="43"/>
      <c r="E1029" s="48"/>
      <c r="F1029" s="48"/>
      <c r="G1029" s="49" t="str">
        <f>IFERROR(VLOOKUP(C1029,PROD!$A$2:$E$1204,5,0),"0")</f>
        <v>0</v>
      </c>
      <c r="H1029" s="10">
        <f>Table_246[[#This Row],[QT]]*Table_246[[#This Row],[Custo 
Un]]</f>
        <v>0</v>
      </c>
      <c r="I1029" s="52"/>
      <c r="J1029" s="263">
        <f t="shared" si="54"/>
        <v>0</v>
      </c>
      <c r="K1029" s="10">
        <f t="shared" si="53"/>
        <v>0</v>
      </c>
      <c r="L1029" s="50">
        <f>Table_246[[#This Row],[Valor da 
venda]]-Table_246[[#This Row],[Valor gasto]]</f>
        <v>0</v>
      </c>
      <c r="M1029" s="111">
        <f t="shared" ref="M1029:M1092" si="55">IFERROR(L1029/K1029, 0)</f>
        <v>0</v>
      </c>
      <c r="N1029" s="52"/>
      <c r="O1029" t="str">
        <f>IF([1]!Table_246[[#This Row],[Coluna2]]&gt;0.5, "🔥 Excelente", IF([1]!Table_246[[#This Row],[Coluna2]]&gt;0.4, "👍 Bom", "⚠️ Baixo"))</f>
        <v>⚠️ Baixo</v>
      </c>
    </row>
    <row r="1030" spans="1:15" ht="15" customHeight="1">
      <c r="A1030" s="28" t="str">
        <f>IF(Table_246[[#This Row],[Data]]="","",MONTH(Table_246[[#This Row],[Data]]))</f>
        <v/>
      </c>
      <c r="B1030" s="32"/>
      <c r="C1030" s="36"/>
      <c r="D1030" s="43"/>
      <c r="E1030" s="48"/>
      <c r="F1030" s="48"/>
      <c r="G1030" s="49" t="str">
        <f>IFERROR(VLOOKUP(C1030,PROD!$A$2:$E$1204,5,0),"0")</f>
        <v>0</v>
      </c>
      <c r="H1030" s="10">
        <f>Table_246[[#This Row],[QT]]*Table_246[[#This Row],[Custo 
Un]]</f>
        <v>0</v>
      </c>
      <c r="I1030" s="52"/>
      <c r="J1030" s="263">
        <f t="shared" si="54"/>
        <v>0</v>
      </c>
      <c r="K1030" s="10">
        <f t="shared" si="53"/>
        <v>0</v>
      </c>
      <c r="L1030" s="50">
        <f>Table_246[[#This Row],[Valor da 
venda]]-Table_246[[#This Row],[Valor gasto]]</f>
        <v>0</v>
      </c>
      <c r="M1030" s="111">
        <f t="shared" si="55"/>
        <v>0</v>
      </c>
      <c r="N1030" s="52"/>
      <c r="O1030" t="str">
        <f>IF([1]!Table_246[[#This Row],[Coluna2]]&gt;0.5, "🔥 Excelente", IF([1]!Table_246[[#This Row],[Coluna2]]&gt;0.4, "👍 Bom", "⚠️ Baixo"))</f>
        <v>⚠️ Baixo</v>
      </c>
    </row>
    <row r="1031" spans="1:15" ht="15" customHeight="1">
      <c r="A1031" s="28" t="str">
        <f>IF(Table_246[[#This Row],[Data]]="","",MONTH(Table_246[[#This Row],[Data]]))</f>
        <v/>
      </c>
      <c r="B1031" s="32"/>
      <c r="C1031" s="36"/>
      <c r="D1031" s="43"/>
      <c r="E1031" s="48"/>
      <c r="F1031" s="48"/>
      <c r="G1031" s="49" t="str">
        <f>IFERROR(VLOOKUP(C1031,PROD!$A$2:$E$1204,5,0),"0")</f>
        <v>0</v>
      </c>
      <c r="H1031" s="10">
        <f>Table_246[[#This Row],[QT]]*Table_246[[#This Row],[Custo 
Un]]</f>
        <v>0</v>
      </c>
      <c r="I1031" s="52"/>
      <c r="J1031" s="263">
        <f t="shared" si="54"/>
        <v>0</v>
      </c>
      <c r="K1031" s="10">
        <f t="shared" si="53"/>
        <v>0</v>
      </c>
      <c r="L1031" s="50">
        <f>Table_246[[#This Row],[Valor da 
venda]]-Table_246[[#This Row],[Valor gasto]]</f>
        <v>0</v>
      </c>
      <c r="M1031" s="111">
        <f t="shared" si="55"/>
        <v>0</v>
      </c>
      <c r="N1031" s="52"/>
      <c r="O1031" t="str">
        <f>IF([1]!Table_246[[#This Row],[Coluna2]]&gt;0.5, "🔥 Excelente", IF([1]!Table_246[[#This Row],[Coluna2]]&gt;0.4, "👍 Bom", "⚠️ Baixo"))</f>
        <v>⚠️ Baixo</v>
      </c>
    </row>
    <row r="1032" spans="1:15" ht="15" customHeight="1">
      <c r="A1032" s="28" t="str">
        <f>IF(Table_246[[#This Row],[Data]]="","",MONTH(Table_246[[#This Row],[Data]]))</f>
        <v/>
      </c>
      <c r="B1032" s="32"/>
      <c r="C1032" s="36"/>
      <c r="D1032" s="43"/>
      <c r="E1032" s="48"/>
      <c r="F1032" s="48"/>
      <c r="G1032" s="49" t="str">
        <f>IFERROR(VLOOKUP(C1032,PROD!$A$2:$E$1204,5,0),"0")</f>
        <v>0</v>
      </c>
      <c r="H1032" s="10">
        <f>Table_246[[#This Row],[QT]]*Table_246[[#This Row],[Custo 
Un]]</f>
        <v>0</v>
      </c>
      <c r="I1032" s="52"/>
      <c r="J1032" s="263">
        <f t="shared" si="54"/>
        <v>0</v>
      </c>
      <c r="K1032" s="10">
        <f t="shared" si="53"/>
        <v>0</v>
      </c>
      <c r="L1032" s="50">
        <f>Table_246[[#This Row],[Valor da 
venda]]-Table_246[[#This Row],[Valor gasto]]</f>
        <v>0</v>
      </c>
      <c r="M1032" s="111">
        <f t="shared" si="55"/>
        <v>0</v>
      </c>
      <c r="N1032" s="52"/>
      <c r="O1032" t="str">
        <f>IF([1]!Table_246[[#This Row],[Coluna2]]&gt;0.5, "🔥 Excelente", IF([1]!Table_246[[#This Row],[Coluna2]]&gt;0.4, "👍 Bom", "⚠️ Baixo"))</f>
        <v>⚠️ Baixo</v>
      </c>
    </row>
    <row r="1033" spans="1:15" ht="15" customHeight="1">
      <c r="A1033" s="28" t="str">
        <f>IF(Table_246[[#This Row],[Data]]="","",MONTH(Table_246[[#This Row],[Data]]))</f>
        <v/>
      </c>
      <c r="B1033" s="32"/>
      <c r="C1033" s="36"/>
      <c r="D1033" s="43"/>
      <c r="E1033" s="48"/>
      <c r="F1033" s="48"/>
      <c r="G1033" s="49" t="str">
        <f>IFERROR(VLOOKUP(C1033,PROD!$A$2:$E$1204,5,0),"0")</f>
        <v>0</v>
      </c>
      <c r="H1033" s="10">
        <f>Table_246[[#This Row],[QT]]*Table_246[[#This Row],[Custo 
Un]]</f>
        <v>0</v>
      </c>
      <c r="I1033" s="52"/>
      <c r="J1033" s="263">
        <f t="shared" si="54"/>
        <v>0</v>
      </c>
      <c r="K1033" s="10">
        <f t="shared" si="53"/>
        <v>0</v>
      </c>
      <c r="L1033" s="50">
        <f>Table_246[[#This Row],[Valor da 
venda]]-Table_246[[#This Row],[Valor gasto]]</f>
        <v>0</v>
      </c>
      <c r="M1033" s="111">
        <f t="shared" si="55"/>
        <v>0</v>
      </c>
      <c r="N1033" s="52"/>
      <c r="O1033" t="str">
        <f>IF([1]!Table_246[[#This Row],[Coluna2]]&gt;0.5, "🔥 Excelente", IF([1]!Table_246[[#This Row],[Coluna2]]&gt;0.4, "👍 Bom", "⚠️ Baixo"))</f>
        <v>⚠️ Baixo</v>
      </c>
    </row>
    <row r="1034" spans="1:15" ht="15" customHeight="1">
      <c r="A1034" s="28" t="str">
        <f>IF(Table_246[[#This Row],[Data]]="","",MONTH(Table_246[[#This Row],[Data]]))</f>
        <v/>
      </c>
      <c r="B1034" s="32"/>
      <c r="C1034" s="36"/>
      <c r="D1034" s="43"/>
      <c r="E1034" s="48"/>
      <c r="F1034" s="48"/>
      <c r="G1034" s="49" t="str">
        <f>IFERROR(VLOOKUP(C1034,PROD!$A$2:$E$1204,5,0),"0")</f>
        <v>0</v>
      </c>
      <c r="H1034" s="10">
        <f>Table_246[[#This Row],[QT]]*Table_246[[#This Row],[Custo 
Un]]</f>
        <v>0</v>
      </c>
      <c r="I1034" s="52"/>
      <c r="J1034" s="263">
        <f t="shared" si="54"/>
        <v>0</v>
      </c>
      <c r="K1034" s="10">
        <f t="shared" si="53"/>
        <v>0</v>
      </c>
      <c r="L1034" s="50">
        <f>Table_246[[#This Row],[Valor da 
venda]]-Table_246[[#This Row],[Valor gasto]]</f>
        <v>0</v>
      </c>
      <c r="M1034" s="111">
        <f t="shared" si="55"/>
        <v>0</v>
      </c>
      <c r="N1034" s="52"/>
      <c r="O1034" t="str">
        <f>IF([1]!Table_246[[#This Row],[Coluna2]]&gt;0.5, "🔥 Excelente", IF([1]!Table_246[[#This Row],[Coluna2]]&gt;0.4, "👍 Bom", "⚠️ Baixo"))</f>
        <v>⚠️ Baixo</v>
      </c>
    </row>
    <row r="1035" spans="1:15" ht="15" customHeight="1">
      <c r="A1035" s="28" t="str">
        <f>IF(Table_246[[#This Row],[Data]]="","",MONTH(Table_246[[#This Row],[Data]]))</f>
        <v/>
      </c>
      <c r="B1035" s="32"/>
      <c r="C1035" s="36"/>
      <c r="D1035" s="43"/>
      <c r="E1035" s="48"/>
      <c r="F1035" s="48"/>
      <c r="G1035" s="49" t="str">
        <f>IFERROR(VLOOKUP(C1035,PROD!$A$2:$E$1204,5,0),"0")</f>
        <v>0</v>
      </c>
      <c r="H1035" s="10">
        <f>Table_246[[#This Row],[QT]]*Table_246[[#This Row],[Custo 
Un]]</f>
        <v>0</v>
      </c>
      <c r="I1035" s="52"/>
      <c r="J1035" s="263">
        <f t="shared" si="54"/>
        <v>0</v>
      </c>
      <c r="K1035" s="10">
        <f t="shared" si="53"/>
        <v>0</v>
      </c>
      <c r="L1035" s="50">
        <f>Table_246[[#This Row],[Valor da 
venda]]-Table_246[[#This Row],[Valor gasto]]</f>
        <v>0</v>
      </c>
      <c r="M1035" s="111">
        <f t="shared" si="55"/>
        <v>0</v>
      </c>
      <c r="N1035" s="52"/>
      <c r="O1035" t="str">
        <f>IF([1]!Table_246[[#This Row],[Coluna2]]&gt;0.5, "🔥 Excelente", IF([1]!Table_246[[#This Row],[Coluna2]]&gt;0.4, "👍 Bom", "⚠️ Baixo"))</f>
        <v>⚠️ Baixo</v>
      </c>
    </row>
    <row r="1036" spans="1:15" ht="15" customHeight="1">
      <c r="A1036" s="28" t="str">
        <f>IF(Table_246[[#This Row],[Data]]="","",MONTH(Table_246[[#This Row],[Data]]))</f>
        <v/>
      </c>
      <c r="B1036" s="32"/>
      <c r="C1036" s="36"/>
      <c r="D1036" s="43"/>
      <c r="E1036" s="48"/>
      <c r="F1036" s="48"/>
      <c r="G1036" s="49" t="str">
        <f>IFERROR(VLOOKUP(C1036,PROD!$A$2:$E$1204,5,0),"0")</f>
        <v>0</v>
      </c>
      <c r="H1036" s="10">
        <f>Table_246[[#This Row],[QT]]*Table_246[[#This Row],[Custo 
Un]]</f>
        <v>0</v>
      </c>
      <c r="I1036" s="52"/>
      <c r="J1036" s="263">
        <f t="shared" si="54"/>
        <v>0</v>
      </c>
      <c r="K1036" s="10">
        <f t="shared" si="53"/>
        <v>0</v>
      </c>
      <c r="L1036" s="50">
        <f>Table_246[[#This Row],[Valor da 
venda]]-Table_246[[#This Row],[Valor gasto]]</f>
        <v>0</v>
      </c>
      <c r="M1036" s="111">
        <f t="shared" si="55"/>
        <v>0</v>
      </c>
      <c r="N1036" s="52"/>
      <c r="O1036" t="str">
        <f>IF([1]!Table_246[[#This Row],[Coluna2]]&gt;0.5, "🔥 Excelente", IF([1]!Table_246[[#This Row],[Coluna2]]&gt;0.4, "👍 Bom", "⚠️ Baixo"))</f>
        <v>⚠️ Baixo</v>
      </c>
    </row>
    <row r="1037" spans="1:15" ht="15" customHeight="1">
      <c r="A1037" s="28" t="str">
        <f>IF(Table_246[[#This Row],[Data]]="","",MONTH(Table_246[[#This Row],[Data]]))</f>
        <v/>
      </c>
      <c r="B1037" s="32"/>
      <c r="C1037" s="36"/>
      <c r="D1037" s="43"/>
      <c r="E1037" s="48"/>
      <c r="F1037" s="48"/>
      <c r="G1037" s="49" t="str">
        <f>IFERROR(VLOOKUP(C1037,PROD!$A$2:$E$1204,5,0),"0")</f>
        <v>0</v>
      </c>
      <c r="H1037" s="10">
        <f>Table_246[[#This Row],[QT]]*Table_246[[#This Row],[Custo 
Un]]</f>
        <v>0</v>
      </c>
      <c r="I1037" s="52"/>
      <c r="J1037" s="263">
        <f t="shared" si="54"/>
        <v>0</v>
      </c>
      <c r="K1037" s="10">
        <f t="shared" si="53"/>
        <v>0</v>
      </c>
      <c r="L1037" s="50">
        <f>Table_246[[#This Row],[Valor da 
venda]]-Table_246[[#This Row],[Valor gasto]]</f>
        <v>0</v>
      </c>
      <c r="M1037" s="111">
        <f t="shared" si="55"/>
        <v>0</v>
      </c>
      <c r="N1037" s="52"/>
      <c r="O1037" t="str">
        <f>IF([1]!Table_246[[#This Row],[Coluna2]]&gt;0.5, "🔥 Excelente", IF([1]!Table_246[[#This Row],[Coluna2]]&gt;0.4, "👍 Bom", "⚠️ Baixo"))</f>
        <v>⚠️ Baixo</v>
      </c>
    </row>
    <row r="1038" spans="1:15" ht="15" customHeight="1">
      <c r="A1038" s="28" t="str">
        <f>IF(Table_246[[#This Row],[Data]]="","",MONTH(Table_246[[#This Row],[Data]]))</f>
        <v/>
      </c>
      <c r="B1038" s="32"/>
      <c r="C1038" s="36"/>
      <c r="D1038" s="43"/>
      <c r="E1038" s="48"/>
      <c r="F1038" s="48"/>
      <c r="G1038" s="49" t="str">
        <f>IFERROR(VLOOKUP(C1038,PROD!$A$2:$E$1204,5,0),"0")</f>
        <v>0</v>
      </c>
      <c r="H1038" s="10">
        <f>Table_246[[#This Row],[QT]]*Table_246[[#This Row],[Custo 
Un]]</f>
        <v>0</v>
      </c>
      <c r="I1038" s="52"/>
      <c r="J1038" s="263">
        <f t="shared" si="54"/>
        <v>0</v>
      </c>
      <c r="K1038" s="10">
        <f t="shared" si="53"/>
        <v>0</v>
      </c>
      <c r="L1038" s="50">
        <f>Table_246[[#This Row],[Valor da 
venda]]-Table_246[[#This Row],[Valor gasto]]</f>
        <v>0</v>
      </c>
      <c r="M1038" s="111">
        <f t="shared" si="55"/>
        <v>0</v>
      </c>
      <c r="N1038" s="52"/>
      <c r="O1038" t="str">
        <f>IF([1]!Table_246[[#This Row],[Coluna2]]&gt;0.5, "🔥 Excelente", IF([1]!Table_246[[#This Row],[Coluna2]]&gt;0.4, "👍 Bom", "⚠️ Baixo"))</f>
        <v>⚠️ Baixo</v>
      </c>
    </row>
    <row r="1039" spans="1:15" ht="15" customHeight="1">
      <c r="A1039" s="28" t="str">
        <f>IF(Table_246[[#This Row],[Data]]="","",MONTH(Table_246[[#This Row],[Data]]))</f>
        <v/>
      </c>
      <c r="B1039" s="32"/>
      <c r="C1039" s="36"/>
      <c r="D1039" s="43"/>
      <c r="E1039" s="48"/>
      <c r="F1039" s="48"/>
      <c r="G1039" s="49" t="str">
        <f>IFERROR(VLOOKUP(C1039,PROD!$A$2:$E$1204,5,0),"0")</f>
        <v>0</v>
      </c>
      <c r="H1039" s="10">
        <f>Table_246[[#This Row],[QT]]*Table_246[[#This Row],[Custo 
Un]]</f>
        <v>0</v>
      </c>
      <c r="I1039" s="52"/>
      <c r="J1039" s="263">
        <f t="shared" si="54"/>
        <v>0</v>
      </c>
      <c r="K1039" s="10">
        <f t="shared" si="53"/>
        <v>0</v>
      </c>
      <c r="L1039" s="50">
        <f>Table_246[[#This Row],[Valor da 
venda]]-Table_246[[#This Row],[Valor gasto]]</f>
        <v>0</v>
      </c>
      <c r="M1039" s="111">
        <f t="shared" si="55"/>
        <v>0</v>
      </c>
      <c r="N1039" s="52"/>
      <c r="O1039" t="str">
        <f>IF([1]!Table_246[[#This Row],[Coluna2]]&gt;0.5, "🔥 Excelente", IF([1]!Table_246[[#This Row],[Coluna2]]&gt;0.4, "👍 Bom", "⚠️ Baixo"))</f>
        <v>⚠️ Baixo</v>
      </c>
    </row>
    <row r="1040" spans="1:15" ht="15" customHeight="1">
      <c r="A1040" s="28" t="str">
        <f>IF(Table_246[[#This Row],[Data]]="","",MONTH(Table_246[[#This Row],[Data]]))</f>
        <v/>
      </c>
      <c r="B1040" s="32"/>
      <c r="C1040" s="36"/>
      <c r="D1040" s="43"/>
      <c r="E1040" s="48"/>
      <c r="F1040" s="48"/>
      <c r="G1040" s="49" t="str">
        <f>IFERROR(VLOOKUP(C1040,PROD!$A$2:$E$1204,5,0),"0")</f>
        <v>0</v>
      </c>
      <c r="H1040" s="10">
        <f>Table_246[[#This Row],[QT]]*Table_246[[#This Row],[Custo 
Un]]</f>
        <v>0</v>
      </c>
      <c r="I1040" s="52"/>
      <c r="J1040" s="263">
        <f t="shared" si="54"/>
        <v>0</v>
      </c>
      <c r="K1040" s="10">
        <f t="shared" si="53"/>
        <v>0</v>
      </c>
      <c r="L1040" s="50">
        <f>Table_246[[#This Row],[Valor da 
venda]]-Table_246[[#This Row],[Valor gasto]]</f>
        <v>0</v>
      </c>
      <c r="M1040" s="111">
        <f t="shared" si="55"/>
        <v>0</v>
      </c>
      <c r="N1040" s="52"/>
      <c r="O1040" t="str">
        <f>IF([1]!Table_246[[#This Row],[Coluna2]]&gt;0.5, "🔥 Excelente", IF([1]!Table_246[[#This Row],[Coluna2]]&gt;0.4, "👍 Bom", "⚠️ Baixo"))</f>
        <v>⚠️ Baixo</v>
      </c>
    </row>
    <row r="1041" spans="1:15" ht="15" customHeight="1">
      <c r="A1041" s="28" t="str">
        <f>IF(Table_246[[#This Row],[Data]]="","",MONTH(Table_246[[#This Row],[Data]]))</f>
        <v/>
      </c>
      <c r="B1041" s="32"/>
      <c r="C1041" s="36"/>
      <c r="D1041" s="43"/>
      <c r="E1041" s="48"/>
      <c r="F1041" s="48"/>
      <c r="G1041" s="49" t="str">
        <f>IFERROR(VLOOKUP(C1041,PROD!$A$2:$E$1204,5,0),"0")</f>
        <v>0</v>
      </c>
      <c r="H1041" s="10">
        <f>Table_246[[#This Row],[QT]]*Table_246[[#This Row],[Custo 
Un]]</f>
        <v>0</v>
      </c>
      <c r="I1041" s="52"/>
      <c r="J1041" s="263">
        <f t="shared" si="54"/>
        <v>0</v>
      </c>
      <c r="K1041" s="10">
        <f t="shared" si="53"/>
        <v>0</v>
      </c>
      <c r="L1041" s="50">
        <f>Table_246[[#This Row],[Valor da 
venda]]-Table_246[[#This Row],[Valor gasto]]</f>
        <v>0</v>
      </c>
      <c r="M1041" s="111">
        <f t="shared" si="55"/>
        <v>0</v>
      </c>
      <c r="N1041" s="52"/>
      <c r="O1041" t="str">
        <f>IF([1]!Table_246[[#This Row],[Coluna2]]&gt;0.5, "🔥 Excelente", IF([1]!Table_246[[#This Row],[Coluna2]]&gt;0.4, "👍 Bom", "⚠️ Baixo"))</f>
        <v>⚠️ Baixo</v>
      </c>
    </row>
    <row r="1042" spans="1:15" ht="15" customHeight="1">
      <c r="A1042" s="28" t="str">
        <f>IF(Table_246[[#This Row],[Data]]="","",MONTH(Table_246[[#This Row],[Data]]))</f>
        <v/>
      </c>
      <c r="B1042" s="32"/>
      <c r="C1042" s="36"/>
      <c r="D1042" s="43"/>
      <c r="E1042" s="48"/>
      <c r="F1042" s="48"/>
      <c r="G1042" s="49" t="str">
        <f>IFERROR(VLOOKUP(C1042,PROD!$A$2:$E$1204,5,0),"0")</f>
        <v>0</v>
      </c>
      <c r="H1042" s="10">
        <f>Table_246[[#This Row],[QT]]*Table_246[[#This Row],[Custo 
Un]]</f>
        <v>0</v>
      </c>
      <c r="I1042" s="52"/>
      <c r="J1042" s="263">
        <f t="shared" si="54"/>
        <v>0</v>
      </c>
      <c r="K1042" s="10">
        <f t="shared" si="53"/>
        <v>0</v>
      </c>
      <c r="L1042" s="50">
        <f>Table_246[[#This Row],[Valor da 
venda]]-Table_246[[#This Row],[Valor gasto]]</f>
        <v>0</v>
      </c>
      <c r="M1042" s="111">
        <f t="shared" si="55"/>
        <v>0</v>
      </c>
      <c r="N1042" s="52"/>
      <c r="O1042" t="str">
        <f>IF([1]!Table_246[[#This Row],[Coluna2]]&gt;0.5, "🔥 Excelente", IF([1]!Table_246[[#This Row],[Coluna2]]&gt;0.4, "👍 Bom", "⚠️ Baixo"))</f>
        <v>⚠️ Baixo</v>
      </c>
    </row>
    <row r="1043" spans="1:15" ht="15" customHeight="1">
      <c r="A1043" s="28" t="str">
        <f>IF(Table_246[[#This Row],[Data]]="","",MONTH(Table_246[[#This Row],[Data]]))</f>
        <v/>
      </c>
      <c r="B1043" s="32"/>
      <c r="C1043" s="36"/>
      <c r="D1043" s="43"/>
      <c r="E1043" s="48"/>
      <c r="F1043" s="48"/>
      <c r="G1043" s="49" t="str">
        <f>IFERROR(VLOOKUP(C1043,PROD!$A$2:$E$1204,5,0),"0")</f>
        <v>0</v>
      </c>
      <c r="H1043" s="10">
        <f>Table_246[[#This Row],[QT]]*Table_246[[#This Row],[Custo 
Un]]</f>
        <v>0</v>
      </c>
      <c r="I1043" s="52"/>
      <c r="J1043" s="263">
        <f t="shared" si="54"/>
        <v>0</v>
      </c>
      <c r="K1043" s="10">
        <f t="shared" si="53"/>
        <v>0</v>
      </c>
      <c r="L1043" s="50">
        <f>Table_246[[#This Row],[Valor da 
venda]]-Table_246[[#This Row],[Valor gasto]]</f>
        <v>0</v>
      </c>
      <c r="M1043" s="111">
        <f t="shared" si="55"/>
        <v>0</v>
      </c>
      <c r="N1043" s="52"/>
      <c r="O1043" t="str">
        <f>IF([1]!Table_246[[#This Row],[Coluna2]]&gt;0.5, "🔥 Excelente", IF([1]!Table_246[[#This Row],[Coluna2]]&gt;0.4, "👍 Bom", "⚠️ Baixo"))</f>
        <v>⚠️ Baixo</v>
      </c>
    </row>
    <row r="1044" spans="1:15" ht="15" customHeight="1">
      <c r="A1044" s="28" t="str">
        <f>IF(Table_246[[#This Row],[Data]]="","",MONTH(Table_246[[#This Row],[Data]]))</f>
        <v/>
      </c>
      <c r="B1044" s="32"/>
      <c r="C1044" s="36"/>
      <c r="D1044" s="43"/>
      <c r="E1044" s="48"/>
      <c r="F1044" s="48"/>
      <c r="G1044" s="49" t="str">
        <f>IFERROR(VLOOKUP(C1044,PROD!$A$2:$E$1204,5,0),"0")</f>
        <v>0</v>
      </c>
      <c r="H1044" s="10">
        <f>Table_246[[#This Row],[QT]]*Table_246[[#This Row],[Custo 
Un]]</f>
        <v>0</v>
      </c>
      <c r="I1044" s="52"/>
      <c r="J1044" s="263">
        <f t="shared" si="54"/>
        <v>0</v>
      </c>
      <c r="K1044" s="10">
        <f t="shared" si="53"/>
        <v>0</v>
      </c>
      <c r="L1044" s="50">
        <f>Table_246[[#This Row],[Valor da 
venda]]-Table_246[[#This Row],[Valor gasto]]</f>
        <v>0</v>
      </c>
      <c r="M1044" s="111">
        <f t="shared" si="55"/>
        <v>0</v>
      </c>
      <c r="N1044" s="112"/>
      <c r="O1044" t="str">
        <f>IF([1]!Table_246[[#This Row],[Coluna2]]&gt;0.5, "🔥 Excelente", IF([1]!Table_246[[#This Row],[Coluna2]]&gt;0.4, "👍 Bom", "⚠️ Baixo"))</f>
        <v>⚠️ Baixo</v>
      </c>
    </row>
    <row r="1045" spans="1:15" ht="15" customHeight="1">
      <c r="A1045" s="28" t="str">
        <f>IF(Table_246[[#This Row],[Data]]="","",MONTH(Table_246[[#This Row],[Data]]))</f>
        <v/>
      </c>
      <c r="B1045" s="32"/>
      <c r="C1045" s="36"/>
      <c r="D1045" s="43"/>
      <c r="E1045" s="48"/>
      <c r="F1045" s="48"/>
      <c r="G1045" s="49" t="str">
        <f>IFERROR(VLOOKUP(C1045,PROD!$A$2:$E$1204,5,0),"0")</f>
        <v>0</v>
      </c>
      <c r="H1045" s="10">
        <f>Table_246[[#This Row],[QT]]*Table_246[[#This Row],[Custo 
Un]]</f>
        <v>0</v>
      </c>
      <c r="I1045" s="52"/>
      <c r="J1045" s="263">
        <f t="shared" si="54"/>
        <v>0</v>
      </c>
      <c r="K1045" s="10">
        <f t="shared" si="53"/>
        <v>0</v>
      </c>
      <c r="L1045" s="50">
        <f>Table_246[[#This Row],[Valor da 
venda]]-Table_246[[#This Row],[Valor gasto]]</f>
        <v>0</v>
      </c>
      <c r="M1045" s="111">
        <f t="shared" si="55"/>
        <v>0</v>
      </c>
      <c r="N1045" s="112"/>
      <c r="O1045" t="str">
        <f>IF([1]!Table_246[[#This Row],[Coluna2]]&gt;0.5, "🔥 Excelente", IF([1]!Table_246[[#This Row],[Coluna2]]&gt;0.4, "👍 Bom", "⚠️ Baixo"))</f>
        <v>⚠️ Baixo</v>
      </c>
    </row>
    <row r="1046" spans="1:15" ht="15" customHeight="1">
      <c r="A1046" s="28" t="str">
        <f>IF(Table_246[[#This Row],[Data]]="","",MONTH(Table_246[[#This Row],[Data]]))</f>
        <v/>
      </c>
      <c r="B1046" s="32"/>
      <c r="C1046" s="36"/>
      <c r="D1046" s="43"/>
      <c r="E1046" s="48"/>
      <c r="F1046" s="48"/>
      <c r="G1046" s="49" t="str">
        <f>IFERROR(VLOOKUP(C1046,PROD!$A$2:$E$1204,5,0),"0")</f>
        <v>0</v>
      </c>
      <c r="H1046" s="10">
        <f>Table_246[[#This Row],[QT]]*Table_246[[#This Row],[Custo 
Un]]</f>
        <v>0</v>
      </c>
      <c r="I1046" s="52"/>
      <c r="J1046" s="263">
        <f t="shared" si="54"/>
        <v>0</v>
      </c>
      <c r="K1046" s="10">
        <f t="shared" si="53"/>
        <v>0</v>
      </c>
      <c r="L1046" s="50">
        <f>Table_246[[#This Row],[Valor da 
venda]]-Table_246[[#This Row],[Valor gasto]]</f>
        <v>0</v>
      </c>
      <c r="M1046" s="111">
        <f t="shared" si="55"/>
        <v>0</v>
      </c>
      <c r="N1046" s="112"/>
      <c r="O1046" t="str">
        <f>IF([1]!Table_246[[#This Row],[Coluna2]]&gt;0.5, "🔥 Excelente", IF([1]!Table_246[[#This Row],[Coluna2]]&gt;0.4, "👍 Bom", "⚠️ Baixo"))</f>
        <v>⚠️ Baixo</v>
      </c>
    </row>
    <row r="1047" spans="1:15" ht="15" customHeight="1">
      <c r="A1047" s="28" t="str">
        <f>IF(Table_246[[#This Row],[Data]]="","",MONTH(Table_246[[#This Row],[Data]]))</f>
        <v/>
      </c>
      <c r="B1047" s="32"/>
      <c r="C1047" s="36"/>
      <c r="D1047" s="43"/>
      <c r="E1047" s="48"/>
      <c r="F1047" s="48"/>
      <c r="G1047" s="49" t="str">
        <f>IFERROR(VLOOKUP(C1047,PROD!$A$2:$E$1204,5,0),"0")</f>
        <v>0</v>
      </c>
      <c r="H1047" s="10">
        <f>Table_246[[#This Row],[QT]]*Table_246[[#This Row],[Custo 
Un]]</f>
        <v>0</v>
      </c>
      <c r="I1047" s="52"/>
      <c r="J1047" s="263">
        <f t="shared" si="54"/>
        <v>0</v>
      </c>
      <c r="K1047" s="10">
        <f t="shared" si="53"/>
        <v>0</v>
      </c>
      <c r="L1047" s="50">
        <f>Table_246[[#This Row],[Valor da 
venda]]-Table_246[[#This Row],[Valor gasto]]</f>
        <v>0</v>
      </c>
      <c r="M1047" s="111">
        <f t="shared" si="55"/>
        <v>0</v>
      </c>
      <c r="N1047" s="112"/>
      <c r="O1047" t="str">
        <f>IF([1]!Table_246[[#This Row],[Coluna2]]&gt;0.5, "🔥 Excelente", IF([1]!Table_246[[#This Row],[Coluna2]]&gt;0.4, "👍 Bom", "⚠️ Baixo"))</f>
        <v>⚠️ Baixo</v>
      </c>
    </row>
    <row r="1048" spans="1:15" ht="15" customHeight="1">
      <c r="A1048" s="28" t="str">
        <f>IF(Table_246[[#This Row],[Data]]="","",MONTH(Table_246[[#This Row],[Data]]))</f>
        <v/>
      </c>
      <c r="B1048" s="32"/>
      <c r="C1048" s="36"/>
      <c r="D1048" s="43"/>
      <c r="E1048" s="48"/>
      <c r="F1048" s="48"/>
      <c r="G1048" s="49" t="str">
        <f>IFERROR(VLOOKUP(C1048,PROD!$A$2:$E$1204,5,0),"0")</f>
        <v>0</v>
      </c>
      <c r="H1048" s="10">
        <f>Table_246[[#This Row],[QT]]*Table_246[[#This Row],[Custo 
Un]]</f>
        <v>0</v>
      </c>
      <c r="I1048" s="52"/>
      <c r="J1048" s="263">
        <f t="shared" si="54"/>
        <v>0</v>
      </c>
      <c r="K1048" s="10">
        <f t="shared" si="53"/>
        <v>0</v>
      </c>
      <c r="L1048" s="50">
        <f>Table_246[[#This Row],[Valor da 
venda]]-Table_246[[#This Row],[Valor gasto]]</f>
        <v>0</v>
      </c>
      <c r="M1048" s="111">
        <f t="shared" si="55"/>
        <v>0</v>
      </c>
      <c r="N1048" s="112"/>
      <c r="O1048" t="str">
        <f>IF([1]!Table_246[[#This Row],[Coluna2]]&gt;0.5, "🔥 Excelente", IF([1]!Table_246[[#This Row],[Coluna2]]&gt;0.4, "👍 Bom", "⚠️ Baixo"))</f>
        <v>⚠️ Baixo</v>
      </c>
    </row>
    <row r="1049" spans="1:15" ht="15" customHeight="1">
      <c r="A1049" s="28" t="str">
        <f>IF(Table_246[[#This Row],[Data]]="","",MONTH(Table_246[[#This Row],[Data]]))</f>
        <v/>
      </c>
      <c r="B1049" s="32"/>
      <c r="C1049" s="36"/>
      <c r="D1049" s="43"/>
      <c r="E1049" s="48"/>
      <c r="F1049" s="48"/>
      <c r="G1049" s="49" t="str">
        <f>IFERROR(VLOOKUP(C1049,PROD!$A$2:$E$1204,5,0),"0")</f>
        <v>0</v>
      </c>
      <c r="H1049" s="10">
        <f>Table_246[[#This Row],[QT]]*Table_246[[#This Row],[Custo 
Un]]</f>
        <v>0</v>
      </c>
      <c r="I1049" s="52"/>
      <c r="J1049" s="263">
        <f t="shared" si="54"/>
        <v>0</v>
      </c>
      <c r="K1049" s="10">
        <f t="shared" si="53"/>
        <v>0</v>
      </c>
      <c r="L1049" s="50">
        <f>Table_246[[#This Row],[Valor da 
venda]]-Table_246[[#This Row],[Valor gasto]]</f>
        <v>0</v>
      </c>
      <c r="M1049" s="111">
        <f t="shared" si="55"/>
        <v>0</v>
      </c>
      <c r="N1049" s="112"/>
      <c r="O1049" t="str">
        <f>IF([1]!Table_246[[#This Row],[Coluna2]]&gt;0.5, "🔥 Excelente", IF([1]!Table_246[[#This Row],[Coluna2]]&gt;0.4, "👍 Bom", "⚠️ Baixo"))</f>
        <v>⚠️ Baixo</v>
      </c>
    </row>
    <row r="1050" spans="1:15" ht="15" customHeight="1">
      <c r="A1050" s="28" t="str">
        <f>IF(Table_246[[#This Row],[Data]]="","",MONTH(Table_246[[#This Row],[Data]]))</f>
        <v/>
      </c>
      <c r="B1050" s="32"/>
      <c r="C1050" s="36"/>
      <c r="D1050" s="43"/>
      <c r="E1050" s="48"/>
      <c r="F1050" s="48"/>
      <c r="G1050" s="49" t="str">
        <f>IFERROR(VLOOKUP(C1050,PROD!$A$2:$E$1204,5,0),"0")</f>
        <v>0</v>
      </c>
      <c r="H1050" s="10">
        <f>Table_246[[#This Row],[QT]]*Table_246[[#This Row],[Custo 
Un]]</f>
        <v>0</v>
      </c>
      <c r="I1050" s="52"/>
      <c r="J1050" s="263">
        <f t="shared" si="54"/>
        <v>0</v>
      </c>
      <c r="K1050" s="10">
        <f t="shared" si="53"/>
        <v>0</v>
      </c>
      <c r="L1050" s="50">
        <f>Table_246[[#This Row],[Valor da 
venda]]-Table_246[[#This Row],[Valor gasto]]</f>
        <v>0</v>
      </c>
      <c r="M1050" s="111">
        <f t="shared" si="55"/>
        <v>0</v>
      </c>
      <c r="N1050" s="112"/>
      <c r="O1050" t="str">
        <f>IF([1]!Table_246[[#This Row],[Coluna2]]&gt;0.5, "🔥 Excelente", IF([1]!Table_246[[#This Row],[Coluna2]]&gt;0.4, "👍 Bom", "⚠️ Baixo"))</f>
        <v>⚠️ Baixo</v>
      </c>
    </row>
    <row r="1051" spans="1:15" ht="15" customHeight="1">
      <c r="A1051" s="28" t="str">
        <f>IF(Table_246[[#This Row],[Data]]="","",MONTH(Table_246[[#This Row],[Data]]))</f>
        <v/>
      </c>
      <c r="B1051" s="32"/>
      <c r="C1051" s="36"/>
      <c r="D1051" s="43"/>
      <c r="E1051" s="48"/>
      <c r="F1051" s="48"/>
      <c r="G1051" s="49" t="str">
        <f>IFERROR(VLOOKUP(C1051,PROD!$A$2:$E$1204,5,0),"0")</f>
        <v>0</v>
      </c>
      <c r="H1051" s="10">
        <f>Table_246[[#This Row],[QT]]*Table_246[[#This Row],[Custo 
Un]]</f>
        <v>0</v>
      </c>
      <c r="I1051" s="52"/>
      <c r="J1051" s="263">
        <f t="shared" si="54"/>
        <v>0</v>
      </c>
      <c r="K1051" s="10">
        <f t="shared" si="53"/>
        <v>0</v>
      </c>
      <c r="L1051" s="50">
        <f>Table_246[[#This Row],[Valor da 
venda]]-Table_246[[#This Row],[Valor gasto]]</f>
        <v>0</v>
      </c>
      <c r="M1051" s="111">
        <f t="shared" si="55"/>
        <v>0</v>
      </c>
      <c r="N1051" s="112"/>
      <c r="O1051" t="str">
        <f>IF([1]!Table_246[[#This Row],[Coluna2]]&gt;0.5, "🔥 Excelente", IF([1]!Table_246[[#This Row],[Coluna2]]&gt;0.4, "👍 Bom", "⚠️ Baixo"))</f>
        <v>⚠️ Baixo</v>
      </c>
    </row>
    <row r="1052" spans="1:15" ht="15" customHeight="1">
      <c r="A1052" s="28" t="str">
        <f>IF(Table_246[[#This Row],[Data]]="","",MONTH(Table_246[[#This Row],[Data]]))</f>
        <v/>
      </c>
      <c r="B1052" s="32"/>
      <c r="C1052" s="36"/>
      <c r="D1052" s="43"/>
      <c r="E1052" s="48"/>
      <c r="F1052" s="48"/>
      <c r="G1052" s="49" t="str">
        <f>IFERROR(VLOOKUP(C1052,PROD!$A$2:$E$1204,5,0),"0")</f>
        <v>0</v>
      </c>
      <c r="H1052" s="10">
        <f>Table_246[[#This Row],[QT]]*Table_246[[#This Row],[Custo 
Un]]</f>
        <v>0</v>
      </c>
      <c r="I1052" s="52"/>
      <c r="J1052" s="263">
        <f t="shared" si="54"/>
        <v>0</v>
      </c>
      <c r="K1052" s="10">
        <f t="shared" si="53"/>
        <v>0</v>
      </c>
      <c r="L1052" s="50">
        <f>Table_246[[#This Row],[Valor da 
venda]]-Table_246[[#This Row],[Valor gasto]]</f>
        <v>0</v>
      </c>
      <c r="M1052" s="111">
        <f t="shared" si="55"/>
        <v>0</v>
      </c>
      <c r="N1052" s="112"/>
      <c r="O1052" t="str">
        <f>IF([1]!Table_246[[#This Row],[Coluna2]]&gt;0.5, "🔥 Excelente", IF([1]!Table_246[[#This Row],[Coluna2]]&gt;0.4, "👍 Bom", "⚠️ Baixo"))</f>
        <v>⚠️ Baixo</v>
      </c>
    </row>
    <row r="1053" spans="1:15" ht="15" customHeight="1">
      <c r="A1053" s="28" t="str">
        <f>IF(Table_246[[#This Row],[Data]]="","",MONTH(Table_246[[#This Row],[Data]]))</f>
        <v/>
      </c>
      <c r="B1053" s="32"/>
      <c r="C1053" s="36"/>
      <c r="D1053" s="43"/>
      <c r="E1053" s="48"/>
      <c r="F1053" s="48"/>
      <c r="G1053" s="49" t="str">
        <f>IFERROR(VLOOKUP(C1053,PROD!$A$2:$E$1204,5,0),"0")</f>
        <v>0</v>
      </c>
      <c r="H1053" s="10">
        <f>Table_246[[#This Row],[QT]]*Table_246[[#This Row],[Custo 
Un]]</f>
        <v>0</v>
      </c>
      <c r="I1053" s="52"/>
      <c r="J1053" s="263">
        <f t="shared" si="54"/>
        <v>0</v>
      </c>
      <c r="K1053" s="10">
        <f t="shared" si="53"/>
        <v>0</v>
      </c>
      <c r="L1053" s="50">
        <f>Table_246[[#This Row],[Valor da 
venda]]-Table_246[[#This Row],[Valor gasto]]</f>
        <v>0</v>
      </c>
      <c r="M1053" s="111">
        <f t="shared" si="55"/>
        <v>0</v>
      </c>
      <c r="N1053" s="112"/>
      <c r="O1053" t="str">
        <f>IF([1]!Table_246[[#This Row],[Coluna2]]&gt;0.5, "🔥 Excelente", IF([1]!Table_246[[#This Row],[Coluna2]]&gt;0.4, "👍 Bom", "⚠️ Baixo"))</f>
        <v>⚠️ Baixo</v>
      </c>
    </row>
    <row r="1054" spans="1:15" ht="15" customHeight="1">
      <c r="A1054" s="28" t="str">
        <f>IF(Table_246[[#This Row],[Data]]="","",MONTH(Table_246[[#This Row],[Data]]))</f>
        <v/>
      </c>
      <c r="B1054" s="32"/>
      <c r="C1054" s="36"/>
      <c r="D1054" s="43"/>
      <c r="E1054" s="48"/>
      <c r="F1054" s="48"/>
      <c r="G1054" s="49" t="str">
        <f>IFERROR(VLOOKUP(C1054,PROD!$A$2:$E$1204,5,0),"0")</f>
        <v>0</v>
      </c>
      <c r="H1054" s="10">
        <f>Table_246[[#This Row],[QT]]*Table_246[[#This Row],[Custo 
Un]]</f>
        <v>0</v>
      </c>
      <c r="I1054" s="52"/>
      <c r="J1054" s="263">
        <f t="shared" si="54"/>
        <v>0</v>
      </c>
      <c r="K1054" s="10">
        <f t="shared" si="53"/>
        <v>0</v>
      </c>
      <c r="L1054" s="50">
        <f>Table_246[[#This Row],[Valor da 
venda]]-Table_246[[#This Row],[Valor gasto]]</f>
        <v>0</v>
      </c>
      <c r="M1054" s="111">
        <f t="shared" si="55"/>
        <v>0</v>
      </c>
      <c r="N1054" s="112"/>
      <c r="O1054" t="str">
        <f>IF([1]!Table_246[[#This Row],[Coluna2]]&gt;0.5, "🔥 Excelente", IF([1]!Table_246[[#This Row],[Coluna2]]&gt;0.4, "👍 Bom", "⚠️ Baixo"))</f>
        <v>⚠️ Baixo</v>
      </c>
    </row>
    <row r="1055" spans="1:15" ht="15" customHeight="1">
      <c r="A1055" s="28" t="str">
        <f>IF(Table_246[[#This Row],[Data]]="","",MONTH(Table_246[[#This Row],[Data]]))</f>
        <v/>
      </c>
      <c r="B1055" s="32"/>
      <c r="C1055" s="36"/>
      <c r="D1055" s="43"/>
      <c r="E1055" s="48"/>
      <c r="F1055" s="48"/>
      <c r="G1055" s="49" t="str">
        <f>IFERROR(VLOOKUP(C1055,PROD!$A$2:$E$1204,5,0),"0")</f>
        <v>0</v>
      </c>
      <c r="H1055" s="10">
        <f>Table_246[[#This Row],[QT]]*Table_246[[#This Row],[Custo 
Un]]</f>
        <v>0</v>
      </c>
      <c r="I1055" s="52"/>
      <c r="J1055" s="263">
        <f t="shared" si="54"/>
        <v>0</v>
      </c>
      <c r="K1055" s="10">
        <f t="shared" si="53"/>
        <v>0</v>
      </c>
      <c r="L1055" s="50">
        <f>Table_246[[#This Row],[Valor da 
venda]]-Table_246[[#This Row],[Valor gasto]]</f>
        <v>0</v>
      </c>
      <c r="M1055" s="111">
        <f t="shared" si="55"/>
        <v>0</v>
      </c>
      <c r="N1055" s="112"/>
      <c r="O1055" t="str">
        <f>IF([1]!Table_246[[#This Row],[Coluna2]]&gt;0.5, "🔥 Excelente", IF([1]!Table_246[[#This Row],[Coluna2]]&gt;0.4, "👍 Bom", "⚠️ Baixo"))</f>
        <v>⚠️ Baixo</v>
      </c>
    </row>
    <row r="1056" spans="1:15" ht="15" customHeight="1">
      <c r="A1056" s="28" t="str">
        <f>IF(Table_246[[#This Row],[Data]]="","",MONTH(Table_246[[#This Row],[Data]]))</f>
        <v/>
      </c>
      <c r="B1056" s="32"/>
      <c r="C1056" s="36"/>
      <c r="D1056" s="43"/>
      <c r="E1056" s="48"/>
      <c r="F1056" s="48"/>
      <c r="G1056" s="49" t="str">
        <f>IFERROR(VLOOKUP(C1056,PROD!$A$2:$E$1204,5,0),"0")</f>
        <v>0</v>
      </c>
      <c r="H1056" s="10">
        <f>Table_246[[#This Row],[QT]]*Table_246[[#This Row],[Custo 
Un]]</f>
        <v>0</v>
      </c>
      <c r="I1056" s="52"/>
      <c r="J1056" s="263">
        <f t="shared" si="54"/>
        <v>0</v>
      </c>
      <c r="K1056" s="10">
        <f t="shared" si="53"/>
        <v>0</v>
      </c>
      <c r="L1056" s="50">
        <f>Table_246[[#This Row],[Valor da 
venda]]-Table_246[[#This Row],[Valor gasto]]</f>
        <v>0</v>
      </c>
      <c r="M1056" s="111">
        <f t="shared" si="55"/>
        <v>0</v>
      </c>
      <c r="N1056" s="112"/>
      <c r="O1056" t="str">
        <f>IF([1]!Table_246[[#This Row],[Coluna2]]&gt;0.5, "🔥 Excelente", IF([1]!Table_246[[#This Row],[Coluna2]]&gt;0.4, "👍 Bom", "⚠️ Baixo"))</f>
        <v>⚠️ Baixo</v>
      </c>
    </row>
    <row r="1057" spans="1:15" ht="15" customHeight="1">
      <c r="A1057" s="28" t="str">
        <f>IF(Table_246[[#This Row],[Data]]="","",MONTH(Table_246[[#This Row],[Data]]))</f>
        <v/>
      </c>
      <c r="B1057" s="32"/>
      <c r="C1057" s="36"/>
      <c r="D1057" s="43"/>
      <c r="E1057" s="48"/>
      <c r="F1057" s="48"/>
      <c r="G1057" s="49" t="str">
        <f>IFERROR(VLOOKUP(C1057,PROD!$A$2:$E$1204,5,0),"0")</f>
        <v>0</v>
      </c>
      <c r="H1057" s="10">
        <f>Table_246[[#This Row],[QT]]*Table_246[[#This Row],[Custo 
Un]]</f>
        <v>0</v>
      </c>
      <c r="I1057" s="52"/>
      <c r="J1057" s="263">
        <f t="shared" si="54"/>
        <v>0</v>
      </c>
      <c r="K1057" s="10">
        <f t="shared" si="53"/>
        <v>0</v>
      </c>
      <c r="L1057" s="50">
        <f>Table_246[[#This Row],[Valor da 
venda]]-Table_246[[#This Row],[Valor gasto]]</f>
        <v>0</v>
      </c>
      <c r="M1057" s="111">
        <f t="shared" si="55"/>
        <v>0</v>
      </c>
      <c r="N1057" s="112"/>
      <c r="O1057" t="str">
        <f>IF([1]!Table_246[[#This Row],[Coluna2]]&gt;0.5, "🔥 Excelente", IF([1]!Table_246[[#This Row],[Coluna2]]&gt;0.4, "👍 Bom", "⚠️ Baixo"))</f>
        <v>⚠️ Baixo</v>
      </c>
    </row>
    <row r="1058" spans="1:15" ht="15" customHeight="1">
      <c r="A1058" s="28" t="str">
        <f>IF(Table_246[[#This Row],[Data]]="","",MONTH(Table_246[[#This Row],[Data]]))</f>
        <v/>
      </c>
      <c r="B1058" s="32"/>
      <c r="C1058" s="36"/>
      <c r="D1058" s="43"/>
      <c r="E1058" s="48"/>
      <c r="F1058" s="48"/>
      <c r="G1058" s="49" t="str">
        <f>IFERROR(VLOOKUP(C1058,PROD!$A$2:$E$1204,5,0),"0")</f>
        <v>0</v>
      </c>
      <c r="H1058" s="10">
        <f>Table_246[[#This Row],[QT]]*Table_246[[#This Row],[Custo 
Un]]</f>
        <v>0</v>
      </c>
      <c r="I1058" s="52"/>
      <c r="J1058" s="263">
        <f t="shared" si="54"/>
        <v>0</v>
      </c>
      <c r="K1058" s="10">
        <f t="shared" si="53"/>
        <v>0</v>
      </c>
      <c r="L1058" s="50">
        <f>Table_246[[#This Row],[Valor da 
venda]]-Table_246[[#This Row],[Valor gasto]]</f>
        <v>0</v>
      </c>
      <c r="M1058" s="111">
        <f t="shared" si="55"/>
        <v>0</v>
      </c>
      <c r="N1058" s="112"/>
      <c r="O1058" t="str">
        <f>IF([1]!Table_246[[#This Row],[Coluna2]]&gt;0.5, "🔥 Excelente", IF([1]!Table_246[[#This Row],[Coluna2]]&gt;0.4, "👍 Bom", "⚠️ Baixo"))</f>
        <v>⚠️ Baixo</v>
      </c>
    </row>
    <row r="1059" spans="1:15" ht="15" customHeight="1">
      <c r="A1059" s="28" t="str">
        <f>IF(Table_246[[#This Row],[Data]]="","",MONTH(Table_246[[#This Row],[Data]]))</f>
        <v/>
      </c>
      <c r="B1059" s="32"/>
      <c r="C1059" s="36"/>
      <c r="D1059" s="43"/>
      <c r="E1059" s="48"/>
      <c r="F1059" s="48"/>
      <c r="G1059" s="49" t="str">
        <f>IFERROR(VLOOKUP(C1059,PROD!$A$2:$E$1204,5,0),"0")</f>
        <v>0</v>
      </c>
      <c r="H1059" s="10">
        <f>Table_246[[#This Row],[QT]]*Table_246[[#This Row],[Custo 
Un]]</f>
        <v>0</v>
      </c>
      <c r="I1059" s="52"/>
      <c r="J1059" s="263">
        <f t="shared" si="54"/>
        <v>0</v>
      </c>
      <c r="K1059" s="10">
        <f t="shared" si="53"/>
        <v>0</v>
      </c>
      <c r="L1059" s="50">
        <f>Table_246[[#This Row],[Valor da 
venda]]-Table_246[[#This Row],[Valor gasto]]</f>
        <v>0</v>
      </c>
      <c r="M1059" s="111">
        <f t="shared" si="55"/>
        <v>0</v>
      </c>
      <c r="N1059" s="112"/>
      <c r="O1059" t="str">
        <f>IF([1]!Table_246[[#This Row],[Coluna2]]&gt;0.5, "🔥 Excelente", IF([1]!Table_246[[#This Row],[Coluna2]]&gt;0.4, "👍 Bom", "⚠️ Baixo"))</f>
        <v>⚠️ Baixo</v>
      </c>
    </row>
    <row r="1060" spans="1:15" ht="15" customHeight="1">
      <c r="A1060" s="28" t="str">
        <f>IF(Table_246[[#This Row],[Data]]="","",MONTH(Table_246[[#This Row],[Data]]))</f>
        <v/>
      </c>
      <c r="B1060" s="32"/>
      <c r="C1060" s="36"/>
      <c r="D1060" s="43"/>
      <c r="E1060" s="48"/>
      <c r="F1060" s="48"/>
      <c r="G1060" s="49" t="str">
        <f>IFERROR(VLOOKUP(C1060,PROD!$A$2:$E$1204,5,0),"0")</f>
        <v>0</v>
      </c>
      <c r="H1060" s="10">
        <f>Table_246[[#This Row],[QT]]*Table_246[[#This Row],[Custo 
Un]]</f>
        <v>0</v>
      </c>
      <c r="I1060" s="52"/>
      <c r="J1060" s="263">
        <f t="shared" si="54"/>
        <v>0</v>
      </c>
      <c r="K1060" s="10">
        <f t="shared" si="53"/>
        <v>0</v>
      </c>
      <c r="L1060" s="50">
        <f>Table_246[[#This Row],[Valor da 
venda]]-Table_246[[#This Row],[Valor gasto]]</f>
        <v>0</v>
      </c>
      <c r="M1060" s="111">
        <f t="shared" si="55"/>
        <v>0</v>
      </c>
      <c r="N1060" s="112"/>
      <c r="O1060" t="str">
        <f>IF([1]!Table_246[[#This Row],[Coluna2]]&gt;0.5, "🔥 Excelente", IF([1]!Table_246[[#This Row],[Coluna2]]&gt;0.4, "👍 Bom", "⚠️ Baixo"))</f>
        <v>⚠️ Baixo</v>
      </c>
    </row>
    <row r="1061" spans="1:15" ht="15" customHeight="1">
      <c r="A1061" s="28" t="str">
        <f>IF(Table_246[[#This Row],[Data]]="","",MONTH(Table_246[[#This Row],[Data]]))</f>
        <v/>
      </c>
      <c r="B1061" s="32"/>
      <c r="C1061" s="36"/>
      <c r="D1061" s="43"/>
      <c r="E1061" s="48"/>
      <c r="F1061" s="48"/>
      <c r="G1061" s="49" t="str">
        <f>IFERROR(VLOOKUP(C1061,PROD!$A$2:$E$1204,5,0),"0")</f>
        <v>0</v>
      </c>
      <c r="H1061" s="10">
        <f>Table_246[[#This Row],[QT]]*Table_246[[#This Row],[Custo 
Un]]</f>
        <v>0</v>
      </c>
      <c r="I1061" s="52"/>
      <c r="J1061" s="263">
        <f t="shared" si="54"/>
        <v>0</v>
      </c>
      <c r="K1061" s="10">
        <f t="shared" si="53"/>
        <v>0</v>
      </c>
      <c r="L1061" s="50">
        <f>Table_246[[#This Row],[Valor da 
venda]]-Table_246[[#This Row],[Valor gasto]]</f>
        <v>0</v>
      </c>
      <c r="M1061" s="111">
        <f t="shared" si="55"/>
        <v>0</v>
      </c>
      <c r="N1061" s="112"/>
      <c r="O1061" t="str">
        <f>IF([1]!Table_246[[#This Row],[Coluna2]]&gt;0.5, "🔥 Excelente", IF([1]!Table_246[[#This Row],[Coluna2]]&gt;0.4, "👍 Bom", "⚠️ Baixo"))</f>
        <v>⚠️ Baixo</v>
      </c>
    </row>
    <row r="1062" spans="1:15" ht="15" customHeight="1">
      <c r="A1062" s="28" t="str">
        <f>IF(Table_246[[#This Row],[Data]]="","",MONTH(Table_246[[#This Row],[Data]]))</f>
        <v/>
      </c>
      <c r="B1062" s="32"/>
      <c r="C1062" s="36"/>
      <c r="D1062" s="43"/>
      <c r="E1062" s="48"/>
      <c r="F1062" s="48"/>
      <c r="G1062" s="49" t="str">
        <f>IFERROR(VLOOKUP(C1062,PROD!$A$2:$E$1204,5,0),"0")</f>
        <v>0</v>
      </c>
      <c r="H1062" s="10">
        <f>Table_246[[#This Row],[QT]]*Table_246[[#This Row],[Custo 
Un]]</f>
        <v>0</v>
      </c>
      <c r="I1062" s="52"/>
      <c r="J1062" s="263">
        <f t="shared" si="54"/>
        <v>0</v>
      </c>
      <c r="K1062" s="10">
        <f t="shared" si="53"/>
        <v>0</v>
      </c>
      <c r="L1062" s="50">
        <f>Table_246[[#This Row],[Valor da 
venda]]-Table_246[[#This Row],[Valor gasto]]</f>
        <v>0</v>
      </c>
      <c r="M1062" s="111">
        <f t="shared" si="55"/>
        <v>0</v>
      </c>
      <c r="N1062" s="112"/>
      <c r="O1062" t="str">
        <f>IF([1]!Table_246[[#This Row],[Coluna2]]&gt;0.5, "🔥 Excelente", IF([1]!Table_246[[#This Row],[Coluna2]]&gt;0.4, "👍 Bom", "⚠️ Baixo"))</f>
        <v>⚠️ Baixo</v>
      </c>
    </row>
    <row r="1063" spans="1:15" ht="15" customHeight="1">
      <c r="A1063" s="28" t="str">
        <f>IF(Table_246[[#This Row],[Data]]="","",MONTH(Table_246[[#This Row],[Data]]))</f>
        <v/>
      </c>
      <c r="B1063" s="32"/>
      <c r="C1063" s="36"/>
      <c r="D1063" s="43"/>
      <c r="E1063" s="48"/>
      <c r="F1063" s="48"/>
      <c r="G1063" s="49" t="str">
        <f>IFERROR(VLOOKUP(C1063,PROD!$A$2:$E$1204,5,0),"0")</f>
        <v>0</v>
      </c>
      <c r="H1063" s="10">
        <f>Table_246[[#This Row],[QT]]*Table_246[[#This Row],[Custo 
Un]]</f>
        <v>0</v>
      </c>
      <c r="I1063" s="52"/>
      <c r="J1063" s="263">
        <f t="shared" si="54"/>
        <v>0</v>
      </c>
      <c r="K1063" s="10">
        <f t="shared" si="53"/>
        <v>0</v>
      </c>
      <c r="L1063" s="50">
        <f>Table_246[[#This Row],[Valor da 
venda]]-Table_246[[#This Row],[Valor gasto]]</f>
        <v>0</v>
      </c>
      <c r="M1063" s="111">
        <f t="shared" si="55"/>
        <v>0</v>
      </c>
      <c r="N1063" s="112"/>
      <c r="O1063" t="str">
        <f>IF([1]!Table_246[[#This Row],[Coluna2]]&gt;0.5, "🔥 Excelente", IF([1]!Table_246[[#This Row],[Coluna2]]&gt;0.4, "👍 Bom", "⚠️ Baixo"))</f>
        <v>⚠️ Baixo</v>
      </c>
    </row>
    <row r="1064" spans="1:15" ht="15" customHeight="1">
      <c r="A1064" s="28" t="str">
        <f>IF(Table_246[[#This Row],[Data]]="","",MONTH(Table_246[[#This Row],[Data]]))</f>
        <v/>
      </c>
      <c r="B1064" s="32"/>
      <c r="C1064" s="36"/>
      <c r="D1064" s="43"/>
      <c r="E1064" s="48"/>
      <c r="F1064" s="48"/>
      <c r="G1064" s="49" t="str">
        <f>IFERROR(VLOOKUP(C1064,PROD!$A$2:$E$1204,5,0),"0")</f>
        <v>0</v>
      </c>
      <c r="H1064" s="10">
        <f>Table_246[[#This Row],[QT]]*Table_246[[#This Row],[Custo 
Un]]</f>
        <v>0</v>
      </c>
      <c r="I1064" s="52"/>
      <c r="J1064" s="263">
        <f t="shared" si="54"/>
        <v>0</v>
      </c>
      <c r="K1064" s="10">
        <f t="shared" si="53"/>
        <v>0</v>
      </c>
      <c r="L1064" s="50">
        <f>Table_246[[#This Row],[Valor da 
venda]]-Table_246[[#This Row],[Valor gasto]]</f>
        <v>0</v>
      </c>
      <c r="M1064" s="111">
        <f t="shared" si="55"/>
        <v>0</v>
      </c>
      <c r="N1064" s="112"/>
      <c r="O1064" t="str">
        <f>IF([1]!Table_246[[#This Row],[Coluna2]]&gt;0.5, "🔥 Excelente", IF([1]!Table_246[[#This Row],[Coluna2]]&gt;0.4, "👍 Bom", "⚠️ Baixo"))</f>
        <v>⚠️ Baixo</v>
      </c>
    </row>
    <row r="1065" spans="1:15" ht="15" customHeight="1">
      <c r="A1065" s="28" t="str">
        <f>IF(Table_246[[#This Row],[Data]]="","",MONTH(Table_246[[#This Row],[Data]]))</f>
        <v/>
      </c>
      <c r="B1065" s="32"/>
      <c r="C1065" s="36"/>
      <c r="D1065" s="43"/>
      <c r="E1065" s="48"/>
      <c r="F1065" s="48"/>
      <c r="G1065" s="49" t="str">
        <f>IFERROR(VLOOKUP(C1065,PROD!$A$2:$E$1204,5,0),"0")</f>
        <v>0</v>
      </c>
      <c r="H1065" s="10">
        <f>Table_246[[#This Row],[QT]]*Table_246[[#This Row],[Custo 
Un]]</f>
        <v>0</v>
      </c>
      <c r="I1065" s="52"/>
      <c r="J1065" s="263">
        <f t="shared" si="54"/>
        <v>0</v>
      </c>
      <c r="K1065" s="10">
        <f t="shared" si="53"/>
        <v>0</v>
      </c>
      <c r="L1065" s="50">
        <f>Table_246[[#This Row],[Valor da 
venda]]-Table_246[[#This Row],[Valor gasto]]</f>
        <v>0</v>
      </c>
      <c r="M1065" s="111">
        <f t="shared" si="55"/>
        <v>0</v>
      </c>
      <c r="N1065" s="112"/>
      <c r="O1065" t="str">
        <f>IF([1]!Table_246[[#This Row],[Coluna2]]&gt;0.5, "🔥 Excelente", IF([1]!Table_246[[#This Row],[Coluna2]]&gt;0.4, "👍 Bom", "⚠️ Baixo"))</f>
        <v>⚠️ Baixo</v>
      </c>
    </row>
    <row r="1066" spans="1:15" ht="15" customHeight="1">
      <c r="A1066" s="28" t="str">
        <f>IF(Table_246[[#This Row],[Data]]="","",MONTH(Table_246[[#This Row],[Data]]))</f>
        <v/>
      </c>
      <c r="B1066" s="32"/>
      <c r="C1066" s="36"/>
      <c r="D1066" s="43"/>
      <c r="E1066" s="48"/>
      <c r="F1066" s="48"/>
      <c r="G1066" s="49" t="str">
        <f>IFERROR(VLOOKUP(C1066,PROD!$A$2:$E$1204,5,0),"0")</f>
        <v>0</v>
      </c>
      <c r="H1066" s="10">
        <f>Table_246[[#This Row],[QT]]*Table_246[[#This Row],[Custo 
Un]]</f>
        <v>0</v>
      </c>
      <c r="I1066" s="52"/>
      <c r="J1066" s="263">
        <f t="shared" si="54"/>
        <v>0</v>
      </c>
      <c r="K1066" s="10">
        <f t="shared" si="53"/>
        <v>0</v>
      </c>
      <c r="L1066" s="50">
        <f>Table_246[[#This Row],[Valor da 
venda]]-Table_246[[#This Row],[Valor gasto]]</f>
        <v>0</v>
      </c>
      <c r="M1066" s="111">
        <f t="shared" si="55"/>
        <v>0</v>
      </c>
      <c r="N1066" s="112"/>
      <c r="O1066" t="str">
        <f>IF([1]!Table_246[[#This Row],[Coluna2]]&gt;0.5, "🔥 Excelente", IF([1]!Table_246[[#This Row],[Coluna2]]&gt;0.4, "👍 Bom", "⚠️ Baixo"))</f>
        <v>⚠️ Baixo</v>
      </c>
    </row>
    <row r="1067" spans="1:15" ht="15" customHeight="1">
      <c r="A1067" s="28" t="str">
        <f>IF(Table_246[[#This Row],[Data]]="","",MONTH(Table_246[[#This Row],[Data]]))</f>
        <v/>
      </c>
      <c r="B1067" s="32"/>
      <c r="C1067" s="36"/>
      <c r="D1067" s="43"/>
      <c r="E1067" s="48"/>
      <c r="F1067" s="48"/>
      <c r="G1067" s="49" t="str">
        <f>IFERROR(VLOOKUP(C1067,PROD!$A$2:$E$1204,5,0),"0")</f>
        <v>0</v>
      </c>
      <c r="H1067" s="10">
        <f>Table_246[[#This Row],[QT]]*Table_246[[#This Row],[Custo 
Un]]</f>
        <v>0</v>
      </c>
      <c r="I1067" s="52"/>
      <c r="J1067" s="263">
        <f t="shared" si="54"/>
        <v>0</v>
      </c>
      <c r="K1067" s="10">
        <f t="shared" si="53"/>
        <v>0</v>
      </c>
      <c r="L1067" s="50">
        <f>Table_246[[#This Row],[Valor da 
venda]]-Table_246[[#This Row],[Valor gasto]]</f>
        <v>0</v>
      </c>
      <c r="M1067" s="111">
        <f t="shared" si="55"/>
        <v>0</v>
      </c>
      <c r="N1067" s="112"/>
      <c r="O1067" t="str">
        <f>IF([1]!Table_246[[#This Row],[Coluna2]]&gt;0.5, "🔥 Excelente", IF([1]!Table_246[[#This Row],[Coluna2]]&gt;0.4, "👍 Bom", "⚠️ Baixo"))</f>
        <v>⚠️ Baixo</v>
      </c>
    </row>
    <row r="1068" spans="1:15" ht="15" customHeight="1">
      <c r="A1068" s="28" t="str">
        <f>IF(Table_246[[#This Row],[Data]]="","",MONTH(Table_246[[#This Row],[Data]]))</f>
        <v/>
      </c>
      <c r="B1068" s="32"/>
      <c r="C1068" s="36"/>
      <c r="D1068" s="43"/>
      <c r="E1068" s="48"/>
      <c r="F1068" s="48"/>
      <c r="G1068" s="49" t="str">
        <f>IFERROR(VLOOKUP(C1068,PROD!$A$2:$E$1204,5,0),"0")</f>
        <v>0</v>
      </c>
      <c r="H1068" s="10">
        <f>Table_246[[#This Row],[QT]]*Table_246[[#This Row],[Custo 
Un]]</f>
        <v>0</v>
      </c>
      <c r="I1068" s="52"/>
      <c r="J1068" s="263">
        <f t="shared" si="54"/>
        <v>0</v>
      </c>
      <c r="K1068" s="10">
        <f t="shared" si="53"/>
        <v>0</v>
      </c>
      <c r="L1068" s="50">
        <f>Table_246[[#This Row],[Valor da 
venda]]-Table_246[[#This Row],[Valor gasto]]</f>
        <v>0</v>
      </c>
      <c r="M1068" s="111">
        <f t="shared" si="55"/>
        <v>0</v>
      </c>
      <c r="N1068" s="112"/>
      <c r="O1068" t="str">
        <f>IF([1]!Table_246[[#This Row],[Coluna2]]&gt;0.5, "🔥 Excelente", IF([1]!Table_246[[#This Row],[Coluna2]]&gt;0.4, "👍 Bom", "⚠️ Baixo"))</f>
        <v>⚠️ Baixo</v>
      </c>
    </row>
    <row r="1069" spans="1:15" ht="15" customHeight="1">
      <c r="A1069" s="28" t="str">
        <f>IF(Table_246[[#This Row],[Data]]="","",MONTH(Table_246[[#This Row],[Data]]))</f>
        <v/>
      </c>
      <c r="B1069" s="32"/>
      <c r="C1069" s="36"/>
      <c r="D1069" s="43"/>
      <c r="E1069" s="48"/>
      <c r="F1069" s="48"/>
      <c r="G1069" s="49" t="str">
        <f>IFERROR(VLOOKUP(C1069,PROD!$A$2:$E$1204,5,0),"0")</f>
        <v>0</v>
      </c>
      <c r="H1069" s="10">
        <f>Table_246[[#This Row],[QT]]*Table_246[[#This Row],[Custo 
Un]]</f>
        <v>0</v>
      </c>
      <c r="I1069" s="52"/>
      <c r="J1069" s="263">
        <f t="shared" si="54"/>
        <v>0</v>
      </c>
      <c r="K1069" s="10">
        <f t="shared" si="53"/>
        <v>0</v>
      </c>
      <c r="L1069" s="50">
        <f>Table_246[[#This Row],[Valor da 
venda]]-Table_246[[#This Row],[Valor gasto]]</f>
        <v>0</v>
      </c>
      <c r="M1069" s="111">
        <f t="shared" si="55"/>
        <v>0</v>
      </c>
      <c r="N1069" s="112"/>
      <c r="O1069" t="str">
        <f>IF([1]!Table_246[[#This Row],[Coluna2]]&gt;0.5, "🔥 Excelente", IF([1]!Table_246[[#This Row],[Coluna2]]&gt;0.4, "👍 Bom", "⚠️ Baixo"))</f>
        <v>⚠️ Baixo</v>
      </c>
    </row>
    <row r="1070" spans="1:15" ht="15" customHeight="1">
      <c r="A1070" s="28" t="str">
        <f>IF(Table_246[[#This Row],[Data]]="","",MONTH(Table_246[[#This Row],[Data]]))</f>
        <v/>
      </c>
      <c r="B1070" s="32"/>
      <c r="C1070" s="36"/>
      <c r="D1070" s="43"/>
      <c r="E1070" s="48"/>
      <c r="F1070" s="48"/>
      <c r="G1070" s="49" t="str">
        <f>IFERROR(VLOOKUP(C1070,PROD!$A$2:$E$1204,5,0),"0")</f>
        <v>0</v>
      </c>
      <c r="H1070" s="10">
        <f>Table_246[[#This Row],[QT]]*Table_246[[#This Row],[Custo 
Un]]</f>
        <v>0</v>
      </c>
      <c r="I1070" s="52"/>
      <c r="J1070" s="263">
        <f t="shared" si="54"/>
        <v>0</v>
      </c>
      <c r="K1070" s="10">
        <f t="shared" si="53"/>
        <v>0</v>
      </c>
      <c r="L1070" s="50">
        <f>Table_246[[#This Row],[Valor da 
venda]]-Table_246[[#This Row],[Valor gasto]]</f>
        <v>0</v>
      </c>
      <c r="M1070" s="111">
        <f t="shared" si="55"/>
        <v>0</v>
      </c>
      <c r="N1070" s="112"/>
      <c r="O1070" t="str">
        <f>IF([1]!Table_246[[#This Row],[Coluna2]]&gt;0.5, "🔥 Excelente", IF([1]!Table_246[[#This Row],[Coluna2]]&gt;0.4, "👍 Bom", "⚠️ Baixo"))</f>
        <v>⚠️ Baixo</v>
      </c>
    </row>
    <row r="1071" spans="1:15" ht="15" customHeight="1">
      <c r="A1071" s="28" t="str">
        <f>IF(Table_246[[#This Row],[Data]]="","",MONTH(Table_246[[#This Row],[Data]]))</f>
        <v/>
      </c>
      <c r="B1071" s="32"/>
      <c r="C1071" s="36"/>
      <c r="D1071" s="43"/>
      <c r="E1071" s="48"/>
      <c r="F1071" s="48"/>
      <c r="G1071" s="49" t="str">
        <f>IFERROR(VLOOKUP(C1071,PROD!$A$2:$E$1204,5,0),"0")</f>
        <v>0</v>
      </c>
      <c r="H1071" s="10">
        <f>Table_246[[#This Row],[QT]]*Table_246[[#This Row],[Custo 
Un]]</f>
        <v>0</v>
      </c>
      <c r="I1071" s="52"/>
      <c r="J1071" s="263">
        <f t="shared" si="54"/>
        <v>0</v>
      </c>
      <c r="K1071" s="10">
        <f t="shared" si="53"/>
        <v>0</v>
      </c>
      <c r="L1071" s="50">
        <f>Table_246[[#This Row],[Valor da 
venda]]-Table_246[[#This Row],[Valor gasto]]</f>
        <v>0</v>
      </c>
      <c r="M1071" s="111">
        <f t="shared" si="55"/>
        <v>0</v>
      </c>
      <c r="N1071" s="112"/>
      <c r="O1071" t="str">
        <f>IF([1]!Table_246[[#This Row],[Coluna2]]&gt;0.5, "🔥 Excelente", IF([1]!Table_246[[#This Row],[Coluna2]]&gt;0.4, "👍 Bom", "⚠️ Baixo"))</f>
        <v>⚠️ Baixo</v>
      </c>
    </row>
    <row r="1072" spans="1:15" ht="15" customHeight="1">
      <c r="A1072" s="28" t="str">
        <f>IF(Table_246[[#This Row],[Data]]="","",MONTH(Table_246[[#This Row],[Data]]))</f>
        <v/>
      </c>
      <c r="B1072" s="32"/>
      <c r="C1072" s="36"/>
      <c r="D1072" s="43"/>
      <c r="E1072" s="48"/>
      <c r="F1072" s="48"/>
      <c r="G1072" s="49" t="str">
        <f>IFERROR(VLOOKUP(C1072,PROD!$A$2:$E$1204,5,0),"0")</f>
        <v>0</v>
      </c>
      <c r="H1072" s="10">
        <f>Table_246[[#This Row],[QT]]*Table_246[[#This Row],[Custo 
Un]]</f>
        <v>0</v>
      </c>
      <c r="I1072" s="52"/>
      <c r="J1072" s="263">
        <f t="shared" si="54"/>
        <v>0</v>
      </c>
      <c r="K1072" s="10">
        <f t="shared" si="53"/>
        <v>0</v>
      </c>
      <c r="L1072" s="50">
        <f>Table_246[[#This Row],[Valor da 
venda]]-Table_246[[#This Row],[Valor gasto]]</f>
        <v>0</v>
      </c>
      <c r="M1072" s="111">
        <f t="shared" si="55"/>
        <v>0</v>
      </c>
      <c r="N1072" s="112"/>
      <c r="O1072" t="str">
        <f>IF([1]!Table_246[[#This Row],[Coluna2]]&gt;0.5, "🔥 Excelente", IF([1]!Table_246[[#This Row],[Coluna2]]&gt;0.4, "👍 Bom", "⚠️ Baixo"))</f>
        <v>⚠️ Baixo</v>
      </c>
    </row>
    <row r="1073" spans="1:15" ht="15" customHeight="1">
      <c r="A1073" s="28" t="str">
        <f>IF(Table_246[[#This Row],[Data]]="","",MONTH(Table_246[[#This Row],[Data]]))</f>
        <v/>
      </c>
      <c r="B1073" s="32"/>
      <c r="C1073" s="36"/>
      <c r="D1073" s="43"/>
      <c r="E1073" s="48"/>
      <c r="F1073" s="48"/>
      <c r="G1073" s="49" t="str">
        <f>IFERROR(VLOOKUP(C1073,PROD!$A$2:$E$1204,5,0),"0")</f>
        <v>0</v>
      </c>
      <c r="H1073" s="10">
        <f>Table_246[[#This Row],[QT]]*Table_246[[#This Row],[Custo 
Un]]</f>
        <v>0</v>
      </c>
      <c r="I1073" s="52"/>
      <c r="J1073" s="263">
        <f t="shared" si="54"/>
        <v>0</v>
      </c>
      <c r="K1073" s="10">
        <f t="shared" si="53"/>
        <v>0</v>
      </c>
      <c r="L1073" s="50">
        <f>Table_246[[#This Row],[Valor da 
venda]]-Table_246[[#This Row],[Valor gasto]]</f>
        <v>0</v>
      </c>
      <c r="M1073" s="111">
        <f t="shared" si="55"/>
        <v>0</v>
      </c>
      <c r="N1073" s="112"/>
      <c r="O1073" t="str">
        <f>IF([1]!Table_246[[#This Row],[Coluna2]]&gt;0.5, "🔥 Excelente", IF([1]!Table_246[[#This Row],[Coluna2]]&gt;0.4, "👍 Bom", "⚠️ Baixo"))</f>
        <v>⚠️ Baixo</v>
      </c>
    </row>
    <row r="1074" spans="1:15" ht="15" customHeight="1">
      <c r="A1074" s="28" t="str">
        <f>IF(Table_246[[#This Row],[Data]]="","",MONTH(Table_246[[#This Row],[Data]]))</f>
        <v/>
      </c>
      <c r="B1074" s="32"/>
      <c r="C1074" s="36"/>
      <c r="D1074" s="43"/>
      <c r="E1074" s="48"/>
      <c r="F1074" s="48"/>
      <c r="G1074" s="49" t="str">
        <f>IFERROR(VLOOKUP(C1074,PROD!$A$2:$E$1204,5,0),"0")</f>
        <v>0</v>
      </c>
      <c r="H1074" s="10">
        <f>Table_246[[#This Row],[QT]]*Table_246[[#This Row],[Custo 
Un]]</f>
        <v>0</v>
      </c>
      <c r="I1074" s="52"/>
      <c r="J1074" s="263">
        <f t="shared" si="54"/>
        <v>0</v>
      </c>
      <c r="K1074" s="10">
        <f t="shared" si="53"/>
        <v>0</v>
      </c>
      <c r="L1074" s="50">
        <f>Table_246[[#This Row],[Valor da 
venda]]-Table_246[[#This Row],[Valor gasto]]</f>
        <v>0</v>
      </c>
      <c r="M1074" s="111">
        <f t="shared" si="55"/>
        <v>0</v>
      </c>
      <c r="N1074" s="112"/>
      <c r="O1074" t="str">
        <f>IF([1]!Table_246[[#This Row],[Coluna2]]&gt;0.5, "🔥 Excelente", IF([1]!Table_246[[#This Row],[Coluna2]]&gt;0.4, "👍 Bom", "⚠️ Baixo"))</f>
        <v>⚠️ Baixo</v>
      </c>
    </row>
    <row r="1075" spans="1:15" ht="15" customHeight="1">
      <c r="A1075" s="28" t="str">
        <f>IF(Table_246[[#This Row],[Data]]="","",MONTH(Table_246[[#This Row],[Data]]))</f>
        <v/>
      </c>
      <c r="B1075" s="32"/>
      <c r="C1075" s="36"/>
      <c r="D1075" s="43"/>
      <c r="E1075" s="48"/>
      <c r="F1075" s="48"/>
      <c r="G1075" s="49" t="str">
        <f>IFERROR(VLOOKUP(C1075,PROD!$A$2:$E$1204,5,0),"0")</f>
        <v>0</v>
      </c>
      <c r="H1075" s="10">
        <f>Table_246[[#This Row],[QT]]*Table_246[[#This Row],[Custo 
Un]]</f>
        <v>0</v>
      </c>
      <c r="I1075" s="52"/>
      <c r="J1075" s="263">
        <f t="shared" si="54"/>
        <v>0</v>
      </c>
      <c r="K1075" s="10">
        <f t="shared" si="53"/>
        <v>0</v>
      </c>
      <c r="L1075" s="50">
        <f>Table_246[[#This Row],[Valor da 
venda]]-Table_246[[#This Row],[Valor gasto]]</f>
        <v>0</v>
      </c>
      <c r="M1075" s="111">
        <f t="shared" si="55"/>
        <v>0</v>
      </c>
      <c r="N1075" s="112"/>
      <c r="O1075" t="str">
        <f>IF([1]!Table_246[[#This Row],[Coluna2]]&gt;0.5, "🔥 Excelente", IF([1]!Table_246[[#This Row],[Coluna2]]&gt;0.4, "👍 Bom", "⚠️ Baixo"))</f>
        <v>⚠️ Baixo</v>
      </c>
    </row>
    <row r="1076" spans="1:15" ht="15" customHeight="1">
      <c r="A1076" s="28" t="str">
        <f>IF(Table_246[[#This Row],[Data]]="","",MONTH(Table_246[[#This Row],[Data]]))</f>
        <v/>
      </c>
      <c r="B1076" s="32"/>
      <c r="C1076" s="36"/>
      <c r="D1076" s="43"/>
      <c r="E1076" s="48"/>
      <c r="F1076" s="48"/>
      <c r="G1076" s="49" t="str">
        <f>IFERROR(VLOOKUP(C1076,PROD!$A$2:$E$1204,5,0),"0")</f>
        <v>0</v>
      </c>
      <c r="H1076" s="10">
        <f>Table_246[[#This Row],[QT]]*Table_246[[#This Row],[Custo 
Un]]</f>
        <v>0</v>
      </c>
      <c r="I1076" s="52"/>
      <c r="J1076" s="263">
        <f t="shared" si="54"/>
        <v>0</v>
      </c>
      <c r="K1076" s="10">
        <f t="shared" ref="K1076:K1110" si="56">I1076*D1076</f>
        <v>0</v>
      </c>
      <c r="L1076" s="50">
        <f>Table_246[[#This Row],[Valor da 
venda]]-Table_246[[#This Row],[Valor gasto]]</f>
        <v>0</v>
      </c>
      <c r="M1076" s="111">
        <f t="shared" si="55"/>
        <v>0</v>
      </c>
      <c r="N1076" s="112"/>
      <c r="O1076" t="str">
        <f>IF([1]!Table_246[[#This Row],[Coluna2]]&gt;0.5, "🔥 Excelente", IF([1]!Table_246[[#This Row],[Coluna2]]&gt;0.4, "👍 Bom", "⚠️ Baixo"))</f>
        <v>⚠️ Baixo</v>
      </c>
    </row>
    <row r="1077" spans="1:15" ht="15" customHeight="1">
      <c r="A1077" s="28" t="str">
        <f>IF(Table_246[[#This Row],[Data]]="","",MONTH(Table_246[[#This Row],[Data]]))</f>
        <v/>
      </c>
      <c r="B1077" s="32"/>
      <c r="C1077" s="36"/>
      <c r="D1077" s="43"/>
      <c r="E1077" s="48"/>
      <c r="F1077" s="48"/>
      <c r="G1077" s="49" t="str">
        <f>IFERROR(VLOOKUP(C1077,PROD!$A$2:$E$1204,5,0),"0")</f>
        <v>0</v>
      </c>
      <c r="H1077" s="10">
        <f>Table_246[[#This Row],[QT]]*Table_246[[#This Row],[Custo 
Un]]</f>
        <v>0</v>
      </c>
      <c r="I1077" s="52"/>
      <c r="J1077" s="263">
        <f t="shared" si="54"/>
        <v>0</v>
      </c>
      <c r="K1077" s="10">
        <f t="shared" si="56"/>
        <v>0</v>
      </c>
      <c r="L1077" s="50">
        <f>Table_246[[#This Row],[Valor da 
venda]]-Table_246[[#This Row],[Valor gasto]]</f>
        <v>0</v>
      </c>
      <c r="M1077" s="111">
        <f t="shared" si="55"/>
        <v>0</v>
      </c>
      <c r="N1077" s="112"/>
      <c r="O1077" t="str">
        <f>IF([1]!Table_246[[#This Row],[Coluna2]]&gt;0.5, "🔥 Excelente", IF([1]!Table_246[[#This Row],[Coluna2]]&gt;0.4, "👍 Bom", "⚠️ Baixo"))</f>
        <v>⚠️ Baixo</v>
      </c>
    </row>
    <row r="1078" spans="1:15" ht="15" customHeight="1">
      <c r="A1078" s="28" t="str">
        <f>IF(Table_246[[#This Row],[Data]]="","",MONTH(Table_246[[#This Row],[Data]]))</f>
        <v/>
      </c>
      <c r="B1078" s="32"/>
      <c r="C1078" s="36"/>
      <c r="D1078" s="43"/>
      <c r="E1078" s="48"/>
      <c r="F1078" s="48"/>
      <c r="G1078" s="49" t="str">
        <f>IFERROR(VLOOKUP(C1078,PROD!$A$2:$E$1204,5,0),"0")</f>
        <v>0</v>
      </c>
      <c r="H1078" s="10">
        <f>Table_246[[#This Row],[QT]]*Table_246[[#This Row],[Custo 
Un]]</f>
        <v>0</v>
      </c>
      <c r="I1078" s="52"/>
      <c r="J1078" s="263">
        <f t="shared" si="54"/>
        <v>0</v>
      </c>
      <c r="K1078" s="10">
        <f t="shared" si="56"/>
        <v>0</v>
      </c>
      <c r="L1078" s="50">
        <f>Table_246[[#This Row],[Valor da 
venda]]-Table_246[[#This Row],[Valor gasto]]</f>
        <v>0</v>
      </c>
      <c r="M1078" s="111">
        <f t="shared" si="55"/>
        <v>0</v>
      </c>
      <c r="N1078" s="112"/>
      <c r="O1078" t="str">
        <f>IF([1]!Table_246[[#This Row],[Coluna2]]&gt;0.5, "🔥 Excelente", IF([1]!Table_246[[#This Row],[Coluna2]]&gt;0.4, "👍 Bom", "⚠️ Baixo"))</f>
        <v>⚠️ Baixo</v>
      </c>
    </row>
    <row r="1079" spans="1:15" ht="15" customHeight="1">
      <c r="A1079" s="28" t="str">
        <f>IF(Table_246[[#This Row],[Data]]="","",MONTH(Table_246[[#This Row],[Data]]))</f>
        <v/>
      </c>
      <c r="B1079" s="32"/>
      <c r="C1079" s="36"/>
      <c r="D1079" s="43"/>
      <c r="E1079" s="48"/>
      <c r="F1079" s="48"/>
      <c r="G1079" s="49" t="str">
        <f>IFERROR(VLOOKUP(C1079,PROD!$A$2:$E$1204,5,0),"0")</f>
        <v>0</v>
      </c>
      <c r="H1079" s="10">
        <f>Table_246[[#This Row],[QT]]*Table_246[[#This Row],[Custo 
Un]]</f>
        <v>0</v>
      </c>
      <c r="I1079" s="52"/>
      <c r="J1079" s="263">
        <f t="shared" si="54"/>
        <v>0</v>
      </c>
      <c r="K1079" s="10">
        <f t="shared" si="56"/>
        <v>0</v>
      </c>
      <c r="L1079" s="50">
        <f>Table_246[[#This Row],[Valor da 
venda]]-Table_246[[#This Row],[Valor gasto]]</f>
        <v>0</v>
      </c>
      <c r="M1079" s="111">
        <f t="shared" si="55"/>
        <v>0</v>
      </c>
      <c r="N1079" s="112"/>
      <c r="O1079" t="str">
        <f>IF([1]!Table_246[[#This Row],[Coluna2]]&gt;0.5, "🔥 Excelente", IF([1]!Table_246[[#This Row],[Coluna2]]&gt;0.4, "👍 Bom", "⚠️ Baixo"))</f>
        <v>⚠️ Baixo</v>
      </c>
    </row>
    <row r="1080" spans="1:15" ht="15" customHeight="1">
      <c r="A1080" s="28" t="str">
        <f>IF(Table_246[[#This Row],[Data]]="","",MONTH(Table_246[[#This Row],[Data]]))</f>
        <v/>
      </c>
      <c r="B1080" s="32"/>
      <c r="C1080" s="36"/>
      <c r="D1080" s="43"/>
      <c r="E1080" s="48"/>
      <c r="F1080" s="48"/>
      <c r="G1080" s="49" t="str">
        <f>IFERROR(VLOOKUP(C1080,PROD!$A$2:$E$1204,5,0),"0")</f>
        <v>0</v>
      </c>
      <c r="H1080" s="10">
        <f>Table_246[[#This Row],[QT]]*Table_246[[#This Row],[Custo 
Un]]</f>
        <v>0</v>
      </c>
      <c r="I1080" s="52"/>
      <c r="J1080" s="263">
        <f t="shared" si="54"/>
        <v>0</v>
      </c>
      <c r="K1080" s="10">
        <f t="shared" si="56"/>
        <v>0</v>
      </c>
      <c r="L1080" s="50">
        <f>Table_246[[#This Row],[Valor da 
venda]]-Table_246[[#This Row],[Valor gasto]]</f>
        <v>0</v>
      </c>
      <c r="M1080" s="111">
        <f t="shared" si="55"/>
        <v>0</v>
      </c>
      <c r="N1080" s="112"/>
      <c r="O1080" t="str">
        <f>IF([1]!Table_246[[#This Row],[Coluna2]]&gt;0.5, "🔥 Excelente", IF([1]!Table_246[[#This Row],[Coluna2]]&gt;0.4, "👍 Bom", "⚠️ Baixo"))</f>
        <v>⚠️ Baixo</v>
      </c>
    </row>
    <row r="1081" spans="1:15" ht="15" customHeight="1">
      <c r="A1081" s="28" t="str">
        <f>IF(Table_246[[#This Row],[Data]]="","",MONTH(Table_246[[#This Row],[Data]]))</f>
        <v/>
      </c>
      <c r="B1081" s="32"/>
      <c r="C1081" s="36"/>
      <c r="D1081" s="43"/>
      <c r="E1081" s="48"/>
      <c r="F1081" s="48"/>
      <c r="G1081" s="49" t="str">
        <f>IFERROR(VLOOKUP(C1081,PROD!$A$2:$E$1204,5,0),"0")</f>
        <v>0</v>
      </c>
      <c r="H1081" s="10">
        <f>Table_246[[#This Row],[QT]]*Table_246[[#This Row],[Custo 
Un]]</f>
        <v>0</v>
      </c>
      <c r="I1081" s="52"/>
      <c r="J1081" s="263">
        <f t="shared" si="54"/>
        <v>0</v>
      </c>
      <c r="K1081" s="10">
        <f t="shared" si="56"/>
        <v>0</v>
      </c>
      <c r="L1081" s="50">
        <f>Table_246[[#This Row],[Valor da 
venda]]-Table_246[[#This Row],[Valor gasto]]</f>
        <v>0</v>
      </c>
      <c r="M1081" s="111">
        <f t="shared" si="55"/>
        <v>0</v>
      </c>
      <c r="N1081" s="112"/>
      <c r="O1081" t="str">
        <f>IF([1]!Table_246[[#This Row],[Coluna2]]&gt;0.5, "🔥 Excelente", IF([1]!Table_246[[#This Row],[Coluna2]]&gt;0.4, "👍 Bom", "⚠️ Baixo"))</f>
        <v>⚠️ Baixo</v>
      </c>
    </row>
    <row r="1082" spans="1:15" ht="15" customHeight="1">
      <c r="A1082" s="28" t="str">
        <f>IF(Table_246[[#This Row],[Data]]="","",MONTH(Table_246[[#This Row],[Data]]))</f>
        <v/>
      </c>
      <c r="B1082" s="32"/>
      <c r="C1082" s="36"/>
      <c r="D1082" s="43"/>
      <c r="E1082" s="48"/>
      <c r="F1082" s="48"/>
      <c r="G1082" s="49" t="str">
        <f>IFERROR(VLOOKUP(C1082,PROD!$A$2:$E$1204,5,0),"0")</f>
        <v>0</v>
      </c>
      <c r="H1082" s="10">
        <f>Table_246[[#This Row],[QT]]*Table_246[[#This Row],[Custo 
Un]]</f>
        <v>0</v>
      </c>
      <c r="I1082" s="52"/>
      <c r="J1082" s="263">
        <f t="shared" si="54"/>
        <v>0</v>
      </c>
      <c r="K1082" s="10">
        <f t="shared" si="56"/>
        <v>0</v>
      </c>
      <c r="L1082" s="50">
        <f>Table_246[[#This Row],[Valor da 
venda]]-Table_246[[#This Row],[Valor gasto]]</f>
        <v>0</v>
      </c>
      <c r="M1082" s="111">
        <f t="shared" si="55"/>
        <v>0</v>
      </c>
      <c r="N1082" s="112"/>
      <c r="O1082" t="str">
        <f>IF([1]!Table_246[[#This Row],[Coluna2]]&gt;0.5, "🔥 Excelente", IF([1]!Table_246[[#This Row],[Coluna2]]&gt;0.4, "👍 Bom", "⚠️ Baixo"))</f>
        <v>⚠️ Baixo</v>
      </c>
    </row>
    <row r="1083" spans="1:15" ht="15" customHeight="1">
      <c r="A1083" s="28" t="str">
        <f>IF(Table_246[[#This Row],[Data]]="","",MONTH(Table_246[[#This Row],[Data]]))</f>
        <v/>
      </c>
      <c r="B1083" s="32"/>
      <c r="C1083" s="36"/>
      <c r="D1083" s="43"/>
      <c r="E1083" s="48"/>
      <c r="F1083" s="48"/>
      <c r="G1083" s="49" t="str">
        <f>IFERROR(VLOOKUP(C1083,PROD!$A$2:$E$1204,5,0),"0")</f>
        <v>0</v>
      </c>
      <c r="H1083" s="10">
        <f>Table_246[[#This Row],[QT]]*Table_246[[#This Row],[Custo 
Un]]</f>
        <v>0</v>
      </c>
      <c r="I1083" s="52"/>
      <c r="J1083" s="263">
        <f t="shared" si="54"/>
        <v>0</v>
      </c>
      <c r="K1083" s="10">
        <f t="shared" si="56"/>
        <v>0</v>
      </c>
      <c r="L1083" s="50">
        <f>Table_246[[#This Row],[Valor da 
venda]]-Table_246[[#This Row],[Valor gasto]]</f>
        <v>0</v>
      </c>
      <c r="M1083" s="111">
        <f t="shared" si="55"/>
        <v>0</v>
      </c>
      <c r="N1083" s="112"/>
      <c r="O1083" t="str">
        <f>IF([1]!Table_246[[#This Row],[Coluna2]]&gt;0.5, "🔥 Excelente", IF([1]!Table_246[[#This Row],[Coluna2]]&gt;0.4, "👍 Bom", "⚠️ Baixo"))</f>
        <v>⚠️ Baixo</v>
      </c>
    </row>
    <row r="1084" spans="1:15" ht="15" customHeight="1">
      <c r="A1084" s="28" t="str">
        <f>IF(Table_246[[#This Row],[Data]]="","",MONTH(Table_246[[#This Row],[Data]]))</f>
        <v/>
      </c>
      <c r="B1084" s="32"/>
      <c r="C1084" s="36"/>
      <c r="D1084" s="43"/>
      <c r="E1084" s="48"/>
      <c r="F1084" s="48"/>
      <c r="G1084" s="49" t="str">
        <f>IFERROR(VLOOKUP(C1084,PROD!$A$2:$E$1204,5,0),"0")</f>
        <v>0</v>
      </c>
      <c r="H1084" s="10">
        <f>Table_246[[#This Row],[QT]]*Table_246[[#This Row],[Custo 
Un]]</f>
        <v>0</v>
      </c>
      <c r="I1084" s="52"/>
      <c r="J1084" s="263">
        <f t="shared" si="54"/>
        <v>0</v>
      </c>
      <c r="K1084" s="10">
        <f t="shared" si="56"/>
        <v>0</v>
      </c>
      <c r="L1084" s="50">
        <f>Table_246[[#This Row],[Valor da 
venda]]-Table_246[[#This Row],[Valor gasto]]</f>
        <v>0</v>
      </c>
      <c r="M1084" s="111">
        <f t="shared" si="55"/>
        <v>0</v>
      </c>
      <c r="N1084" s="112"/>
      <c r="O1084" t="str">
        <f>IF([1]!Table_246[[#This Row],[Coluna2]]&gt;0.5, "🔥 Excelente", IF([1]!Table_246[[#This Row],[Coluna2]]&gt;0.4, "👍 Bom", "⚠️ Baixo"))</f>
        <v>⚠️ Baixo</v>
      </c>
    </row>
    <row r="1085" spans="1:15" ht="15" customHeight="1">
      <c r="A1085" s="28" t="str">
        <f>IF(Table_246[[#This Row],[Data]]="","",MONTH(Table_246[[#This Row],[Data]]))</f>
        <v/>
      </c>
      <c r="B1085" s="32"/>
      <c r="C1085" s="36"/>
      <c r="D1085" s="43"/>
      <c r="E1085" s="48"/>
      <c r="F1085" s="48"/>
      <c r="G1085" s="49" t="str">
        <f>IFERROR(VLOOKUP(C1085,PROD!$A$2:$E$1204,5,0),"0")</f>
        <v>0</v>
      </c>
      <c r="H1085" s="10">
        <f>Table_246[[#This Row],[QT]]*Table_246[[#This Row],[Custo 
Un]]</f>
        <v>0</v>
      </c>
      <c r="I1085" s="52"/>
      <c r="J1085" s="263">
        <f t="shared" si="54"/>
        <v>0</v>
      </c>
      <c r="K1085" s="10">
        <f t="shared" si="56"/>
        <v>0</v>
      </c>
      <c r="L1085" s="50">
        <f>Table_246[[#This Row],[Valor da 
venda]]-Table_246[[#This Row],[Valor gasto]]</f>
        <v>0</v>
      </c>
      <c r="M1085" s="111">
        <f t="shared" si="55"/>
        <v>0</v>
      </c>
      <c r="N1085" s="112"/>
      <c r="O1085" t="str">
        <f>IF([1]!Table_246[[#This Row],[Coluna2]]&gt;0.5, "🔥 Excelente", IF([1]!Table_246[[#This Row],[Coluna2]]&gt;0.4, "👍 Bom", "⚠️ Baixo"))</f>
        <v>⚠️ Baixo</v>
      </c>
    </row>
    <row r="1086" spans="1:15" ht="15" customHeight="1">
      <c r="A1086" s="28" t="str">
        <f>IF(Table_246[[#This Row],[Data]]="","",MONTH(Table_246[[#This Row],[Data]]))</f>
        <v/>
      </c>
      <c r="B1086" s="32"/>
      <c r="C1086" s="36"/>
      <c r="D1086" s="43"/>
      <c r="E1086" s="48"/>
      <c r="F1086" s="48"/>
      <c r="G1086" s="49" t="str">
        <f>IFERROR(VLOOKUP(C1086,PROD!$A$2:$E$1204,5,0),"0")</f>
        <v>0</v>
      </c>
      <c r="H1086" s="10">
        <f>Table_246[[#This Row],[QT]]*Table_246[[#This Row],[Custo 
Un]]</f>
        <v>0</v>
      </c>
      <c r="I1086" s="52"/>
      <c r="J1086" s="263">
        <f t="shared" si="54"/>
        <v>0</v>
      </c>
      <c r="K1086" s="10">
        <f t="shared" si="56"/>
        <v>0</v>
      </c>
      <c r="L1086" s="50">
        <f>Table_246[[#This Row],[Valor da 
venda]]-Table_246[[#This Row],[Valor gasto]]</f>
        <v>0</v>
      </c>
      <c r="M1086" s="111">
        <f t="shared" si="55"/>
        <v>0</v>
      </c>
      <c r="N1086" s="112"/>
      <c r="O1086" t="str">
        <f>IF([1]!Table_246[[#This Row],[Coluna2]]&gt;0.5, "🔥 Excelente", IF([1]!Table_246[[#This Row],[Coluna2]]&gt;0.4, "👍 Bom", "⚠️ Baixo"))</f>
        <v>⚠️ Baixo</v>
      </c>
    </row>
    <row r="1087" spans="1:15" ht="15" customHeight="1">
      <c r="A1087" s="28" t="str">
        <f>IF(Table_246[[#This Row],[Data]]="","",MONTH(Table_246[[#This Row],[Data]]))</f>
        <v/>
      </c>
      <c r="B1087" s="32"/>
      <c r="C1087" s="36"/>
      <c r="D1087" s="43"/>
      <c r="E1087" s="48"/>
      <c r="F1087" s="48"/>
      <c r="G1087" s="49" t="str">
        <f>IFERROR(VLOOKUP(C1087,PROD!$A$2:$E$1204,5,0),"0")</f>
        <v>0</v>
      </c>
      <c r="H1087" s="10">
        <f>Table_246[[#This Row],[QT]]*Table_246[[#This Row],[Custo 
Un]]</f>
        <v>0</v>
      </c>
      <c r="I1087" s="52"/>
      <c r="J1087" s="263">
        <f t="shared" si="54"/>
        <v>0</v>
      </c>
      <c r="K1087" s="10">
        <f t="shared" si="56"/>
        <v>0</v>
      </c>
      <c r="L1087" s="50">
        <f>Table_246[[#This Row],[Valor da 
venda]]-Table_246[[#This Row],[Valor gasto]]</f>
        <v>0</v>
      </c>
      <c r="M1087" s="111">
        <f t="shared" si="55"/>
        <v>0</v>
      </c>
      <c r="N1087" s="112"/>
      <c r="O1087" t="str">
        <f>IF([1]!Table_246[[#This Row],[Coluna2]]&gt;0.5, "🔥 Excelente", IF([1]!Table_246[[#This Row],[Coluna2]]&gt;0.4, "👍 Bom", "⚠️ Baixo"))</f>
        <v>⚠️ Baixo</v>
      </c>
    </row>
    <row r="1088" spans="1:15" ht="15" customHeight="1">
      <c r="A1088" s="28" t="str">
        <f>IF(Table_246[[#This Row],[Data]]="","",MONTH(Table_246[[#This Row],[Data]]))</f>
        <v/>
      </c>
      <c r="B1088" s="32"/>
      <c r="C1088" s="36"/>
      <c r="D1088" s="43"/>
      <c r="E1088" s="48"/>
      <c r="F1088" s="48"/>
      <c r="G1088" s="49" t="str">
        <f>IFERROR(VLOOKUP(C1088,PROD!$A$2:$E$1204,5,0),"0")</f>
        <v>0</v>
      </c>
      <c r="H1088" s="10">
        <f>Table_246[[#This Row],[QT]]*Table_246[[#This Row],[Custo 
Un]]</f>
        <v>0</v>
      </c>
      <c r="I1088" s="52"/>
      <c r="J1088" s="263">
        <f t="shared" si="54"/>
        <v>0</v>
      </c>
      <c r="K1088" s="10">
        <f t="shared" si="56"/>
        <v>0</v>
      </c>
      <c r="L1088" s="50">
        <f>Table_246[[#This Row],[Valor da 
venda]]-Table_246[[#This Row],[Valor gasto]]</f>
        <v>0</v>
      </c>
      <c r="M1088" s="111">
        <f t="shared" si="55"/>
        <v>0</v>
      </c>
      <c r="N1088" s="112"/>
      <c r="O1088" t="str">
        <f>IF([1]!Table_246[[#This Row],[Coluna2]]&gt;0.5, "🔥 Excelente", IF([1]!Table_246[[#This Row],[Coluna2]]&gt;0.4, "👍 Bom", "⚠️ Baixo"))</f>
        <v>⚠️ Baixo</v>
      </c>
    </row>
    <row r="1089" spans="1:15" ht="15" customHeight="1">
      <c r="A1089" s="28" t="str">
        <f>IF(Table_246[[#This Row],[Data]]="","",MONTH(Table_246[[#This Row],[Data]]))</f>
        <v/>
      </c>
      <c r="B1089" s="32"/>
      <c r="C1089" s="36"/>
      <c r="D1089" s="43"/>
      <c r="E1089" s="48"/>
      <c r="F1089" s="48"/>
      <c r="G1089" s="49" t="str">
        <f>IFERROR(VLOOKUP(C1089,PROD!$A$2:$E$1204,5,0),"0")</f>
        <v>0</v>
      </c>
      <c r="H1089" s="10">
        <f>Table_246[[#This Row],[QT]]*Table_246[[#This Row],[Custo 
Un]]</f>
        <v>0</v>
      </c>
      <c r="I1089" s="52"/>
      <c r="J1089" s="263">
        <f t="shared" si="54"/>
        <v>0</v>
      </c>
      <c r="K1089" s="10">
        <f t="shared" si="56"/>
        <v>0</v>
      </c>
      <c r="L1089" s="50">
        <f>Table_246[[#This Row],[Valor da 
venda]]-Table_246[[#This Row],[Valor gasto]]</f>
        <v>0</v>
      </c>
      <c r="M1089" s="111">
        <f t="shared" si="55"/>
        <v>0</v>
      </c>
      <c r="N1089" s="112"/>
      <c r="O1089" t="str">
        <f>IF([1]!Table_246[[#This Row],[Coluna2]]&gt;0.5, "🔥 Excelente", IF([1]!Table_246[[#This Row],[Coluna2]]&gt;0.4, "👍 Bom", "⚠️ Baixo"))</f>
        <v>⚠️ Baixo</v>
      </c>
    </row>
    <row r="1090" spans="1:15" ht="15" customHeight="1">
      <c r="A1090" s="28" t="str">
        <f>IF(Table_246[[#This Row],[Data]]="","",MONTH(Table_246[[#This Row],[Data]]))</f>
        <v/>
      </c>
      <c r="B1090" s="32"/>
      <c r="C1090" s="36"/>
      <c r="D1090" s="43"/>
      <c r="E1090" s="48"/>
      <c r="F1090" s="48"/>
      <c r="G1090" s="49" t="str">
        <f>IFERROR(VLOOKUP(C1090,PROD!$A$2:$E$1204,5,0),"0")</f>
        <v>0</v>
      </c>
      <c r="H1090" s="10">
        <f>Table_246[[#This Row],[QT]]*Table_246[[#This Row],[Custo 
Un]]</f>
        <v>0</v>
      </c>
      <c r="I1090" s="52"/>
      <c r="J1090" s="263">
        <f t="shared" ref="J1090:J1110" si="57">I1090*D1090</f>
        <v>0</v>
      </c>
      <c r="K1090" s="10">
        <f t="shared" si="56"/>
        <v>0</v>
      </c>
      <c r="L1090" s="50">
        <f>Table_246[[#This Row],[Valor da 
venda]]-Table_246[[#This Row],[Valor gasto]]</f>
        <v>0</v>
      </c>
      <c r="M1090" s="111">
        <f t="shared" si="55"/>
        <v>0</v>
      </c>
      <c r="N1090" s="112"/>
      <c r="O1090" t="str">
        <f>IF([1]!Table_246[[#This Row],[Coluna2]]&gt;0.5, "🔥 Excelente", IF([1]!Table_246[[#This Row],[Coluna2]]&gt;0.4, "👍 Bom", "⚠️ Baixo"))</f>
        <v>⚠️ Baixo</v>
      </c>
    </row>
    <row r="1091" spans="1:15" ht="15" customHeight="1">
      <c r="A1091" s="28" t="str">
        <f>IF(Table_246[[#This Row],[Data]]="","",MONTH(Table_246[[#This Row],[Data]]))</f>
        <v/>
      </c>
      <c r="B1091" s="32"/>
      <c r="C1091" s="36"/>
      <c r="D1091" s="43"/>
      <c r="E1091" s="48"/>
      <c r="F1091" s="48"/>
      <c r="G1091" s="49" t="str">
        <f>IFERROR(VLOOKUP(C1091,PROD!$A$2:$E$1204,5,0),"0")</f>
        <v>0</v>
      </c>
      <c r="H1091" s="10">
        <f>Table_246[[#This Row],[QT]]*Table_246[[#This Row],[Custo 
Un]]</f>
        <v>0</v>
      </c>
      <c r="I1091" s="52"/>
      <c r="J1091" s="263">
        <f t="shared" si="57"/>
        <v>0</v>
      </c>
      <c r="K1091" s="10">
        <f t="shared" si="56"/>
        <v>0</v>
      </c>
      <c r="L1091" s="50">
        <f>Table_246[[#This Row],[Valor da 
venda]]-Table_246[[#This Row],[Valor gasto]]</f>
        <v>0</v>
      </c>
      <c r="M1091" s="111">
        <f t="shared" si="55"/>
        <v>0</v>
      </c>
      <c r="N1091" s="112"/>
      <c r="O1091" t="str">
        <f>IF([1]!Table_246[[#This Row],[Coluna2]]&gt;0.5, "🔥 Excelente", IF([1]!Table_246[[#This Row],[Coluna2]]&gt;0.4, "👍 Bom", "⚠️ Baixo"))</f>
        <v>⚠️ Baixo</v>
      </c>
    </row>
    <row r="1092" spans="1:15" ht="15" customHeight="1">
      <c r="A1092" s="28" t="str">
        <f>IF(Table_246[[#This Row],[Data]]="","",MONTH(Table_246[[#This Row],[Data]]))</f>
        <v/>
      </c>
      <c r="B1092" s="32"/>
      <c r="C1092" s="36"/>
      <c r="D1092" s="43"/>
      <c r="E1092" s="48"/>
      <c r="F1092" s="48"/>
      <c r="G1092" s="49" t="str">
        <f>IFERROR(VLOOKUP(C1092,PROD!$A$2:$E$1204,5,0),"0")</f>
        <v>0</v>
      </c>
      <c r="H1092" s="10">
        <f>Table_246[[#This Row],[QT]]*Table_246[[#This Row],[Custo 
Un]]</f>
        <v>0</v>
      </c>
      <c r="I1092" s="52"/>
      <c r="J1092" s="263">
        <f t="shared" si="57"/>
        <v>0</v>
      </c>
      <c r="K1092" s="10">
        <f t="shared" si="56"/>
        <v>0</v>
      </c>
      <c r="L1092" s="50">
        <f>Table_246[[#This Row],[Valor da 
venda]]-Table_246[[#This Row],[Valor gasto]]</f>
        <v>0</v>
      </c>
      <c r="M1092" s="111">
        <f t="shared" si="55"/>
        <v>0</v>
      </c>
      <c r="N1092" s="112"/>
      <c r="O1092" t="str">
        <f>IF([1]!Table_246[[#This Row],[Coluna2]]&gt;0.5, "🔥 Excelente", IF([1]!Table_246[[#This Row],[Coluna2]]&gt;0.4, "👍 Bom", "⚠️ Baixo"))</f>
        <v>⚠️ Baixo</v>
      </c>
    </row>
    <row r="1093" spans="1:15" ht="15" customHeight="1">
      <c r="A1093" s="28" t="str">
        <f>IF(Table_246[[#This Row],[Data]]="","",MONTH(Table_246[[#This Row],[Data]]))</f>
        <v/>
      </c>
      <c r="B1093" s="32"/>
      <c r="C1093" s="36"/>
      <c r="D1093" s="43"/>
      <c r="E1093" s="48"/>
      <c r="F1093" s="48"/>
      <c r="G1093" s="49" t="str">
        <f>IFERROR(VLOOKUP(C1093,PROD!$A$2:$E$1204,5,0),"0")</f>
        <v>0</v>
      </c>
      <c r="H1093" s="10">
        <f>Table_246[[#This Row],[QT]]*Table_246[[#This Row],[Custo 
Un]]</f>
        <v>0</v>
      </c>
      <c r="I1093" s="52"/>
      <c r="J1093" s="263">
        <f t="shared" si="57"/>
        <v>0</v>
      </c>
      <c r="K1093" s="10">
        <f t="shared" si="56"/>
        <v>0</v>
      </c>
      <c r="L1093" s="50">
        <f>Table_246[[#This Row],[Valor da 
venda]]-Table_246[[#This Row],[Valor gasto]]</f>
        <v>0</v>
      </c>
      <c r="M1093" s="111">
        <f t="shared" ref="M1093:M1110" si="58">IFERROR(L1093/K1093, 0)</f>
        <v>0</v>
      </c>
      <c r="N1093" s="112"/>
      <c r="O1093" t="str">
        <f>IF([1]!Table_246[[#This Row],[Coluna2]]&gt;0.5, "🔥 Excelente", IF([1]!Table_246[[#This Row],[Coluna2]]&gt;0.4, "👍 Bom", "⚠️ Baixo"))</f>
        <v>⚠️ Baixo</v>
      </c>
    </row>
    <row r="1094" spans="1:15" ht="15" customHeight="1">
      <c r="A1094" s="28" t="str">
        <f>IF(Table_246[[#This Row],[Data]]="","",MONTH(Table_246[[#This Row],[Data]]))</f>
        <v/>
      </c>
      <c r="B1094" s="32"/>
      <c r="C1094" s="36"/>
      <c r="D1094" s="43"/>
      <c r="E1094" s="48"/>
      <c r="F1094" s="48"/>
      <c r="G1094" s="49" t="str">
        <f>IFERROR(VLOOKUP(C1094,PROD!$A$2:$E$1204,5,0),"0")</f>
        <v>0</v>
      </c>
      <c r="H1094" s="10">
        <f>Table_246[[#This Row],[QT]]*Table_246[[#This Row],[Custo 
Un]]</f>
        <v>0</v>
      </c>
      <c r="I1094" s="52"/>
      <c r="J1094" s="263">
        <f t="shared" si="57"/>
        <v>0</v>
      </c>
      <c r="K1094" s="10">
        <f t="shared" si="56"/>
        <v>0</v>
      </c>
      <c r="L1094" s="50">
        <f>Table_246[[#This Row],[Valor da 
venda]]-Table_246[[#This Row],[Valor gasto]]</f>
        <v>0</v>
      </c>
      <c r="M1094" s="111">
        <f t="shared" si="58"/>
        <v>0</v>
      </c>
      <c r="N1094" s="112"/>
      <c r="O1094" t="str">
        <f>IF([1]!Table_246[[#This Row],[Coluna2]]&gt;0.5, "🔥 Excelente", IF([1]!Table_246[[#This Row],[Coluna2]]&gt;0.4, "👍 Bom", "⚠️ Baixo"))</f>
        <v>⚠️ Baixo</v>
      </c>
    </row>
    <row r="1095" spans="1:15" ht="15" customHeight="1">
      <c r="A1095" s="28" t="str">
        <f>IF(Table_246[[#This Row],[Data]]="","",MONTH(Table_246[[#This Row],[Data]]))</f>
        <v/>
      </c>
      <c r="B1095" s="32"/>
      <c r="C1095" s="36"/>
      <c r="D1095" s="43"/>
      <c r="E1095" s="48"/>
      <c r="F1095" s="48"/>
      <c r="G1095" s="49" t="str">
        <f>IFERROR(VLOOKUP(C1095,PROD!$A$2:$E$1204,5,0),"0")</f>
        <v>0</v>
      </c>
      <c r="H1095" s="10">
        <f>Table_246[[#This Row],[QT]]*Table_246[[#This Row],[Custo 
Un]]</f>
        <v>0</v>
      </c>
      <c r="I1095" s="52"/>
      <c r="J1095" s="263">
        <f t="shared" si="57"/>
        <v>0</v>
      </c>
      <c r="K1095" s="10">
        <f t="shared" si="56"/>
        <v>0</v>
      </c>
      <c r="L1095" s="50">
        <f>Table_246[[#This Row],[Valor da 
venda]]-Table_246[[#This Row],[Valor gasto]]</f>
        <v>0</v>
      </c>
      <c r="M1095" s="111">
        <f t="shared" si="58"/>
        <v>0</v>
      </c>
      <c r="N1095" s="112"/>
      <c r="O1095" t="str">
        <f>IF([1]!Table_246[[#This Row],[Coluna2]]&gt;0.5, "🔥 Excelente", IF([1]!Table_246[[#This Row],[Coluna2]]&gt;0.4, "👍 Bom", "⚠️ Baixo"))</f>
        <v>⚠️ Baixo</v>
      </c>
    </row>
    <row r="1096" spans="1:15" ht="15" customHeight="1">
      <c r="A1096" s="28" t="str">
        <f>IF(Table_246[[#This Row],[Data]]="","",MONTH(Table_246[[#This Row],[Data]]))</f>
        <v/>
      </c>
      <c r="B1096" s="32"/>
      <c r="C1096" s="36"/>
      <c r="D1096" s="43"/>
      <c r="E1096" s="48"/>
      <c r="F1096" s="48"/>
      <c r="G1096" s="49" t="str">
        <f>IFERROR(VLOOKUP(C1096,PROD!$A$2:$E$1204,5,0),"0")</f>
        <v>0</v>
      </c>
      <c r="H1096" s="10">
        <f>Table_246[[#This Row],[QT]]*Table_246[[#This Row],[Custo 
Un]]</f>
        <v>0</v>
      </c>
      <c r="I1096" s="52"/>
      <c r="J1096" s="263">
        <f t="shared" si="57"/>
        <v>0</v>
      </c>
      <c r="K1096" s="10">
        <f t="shared" si="56"/>
        <v>0</v>
      </c>
      <c r="L1096" s="50">
        <f>Table_246[[#This Row],[Valor da 
venda]]-Table_246[[#This Row],[Valor gasto]]</f>
        <v>0</v>
      </c>
      <c r="M1096" s="111">
        <f t="shared" si="58"/>
        <v>0</v>
      </c>
      <c r="N1096" s="112"/>
      <c r="O1096" t="str">
        <f>IF([1]!Table_246[[#This Row],[Coluna2]]&gt;0.5, "🔥 Excelente", IF([1]!Table_246[[#This Row],[Coluna2]]&gt;0.4, "👍 Bom", "⚠️ Baixo"))</f>
        <v>⚠️ Baixo</v>
      </c>
    </row>
    <row r="1097" spans="1:15" ht="15" customHeight="1">
      <c r="A1097" s="28" t="str">
        <f>IF(Table_246[[#This Row],[Data]]="","",MONTH(Table_246[[#This Row],[Data]]))</f>
        <v/>
      </c>
      <c r="B1097" s="32"/>
      <c r="C1097" s="36"/>
      <c r="D1097" s="43"/>
      <c r="E1097" s="48"/>
      <c r="F1097" s="48"/>
      <c r="G1097" s="49" t="str">
        <f>IFERROR(VLOOKUP(C1097,PROD!$A$2:$E$1204,5,0),"0")</f>
        <v>0</v>
      </c>
      <c r="H1097" s="10">
        <f>Table_246[[#This Row],[QT]]*Table_246[[#This Row],[Custo 
Un]]</f>
        <v>0</v>
      </c>
      <c r="I1097" s="52"/>
      <c r="J1097" s="263">
        <f t="shared" si="57"/>
        <v>0</v>
      </c>
      <c r="K1097" s="10">
        <f t="shared" si="56"/>
        <v>0</v>
      </c>
      <c r="L1097" s="50">
        <f>Table_246[[#This Row],[Valor da 
venda]]-Table_246[[#This Row],[Valor gasto]]</f>
        <v>0</v>
      </c>
      <c r="M1097" s="111">
        <f t="shared" si="58"/>
        <v>0</v>
      </c>
      <c r="N1097" s="112"/>
      <c r="O1097" t="str">
        <f>IF([1]!Table_246[[#This Row],[Coluna2]]&gt;0.5, "🔥 Excelente", IF([1]!Table_246[[#This Row],[Coluna2]]&gt;0.4, "👍 Bom", "⚠️ Baixo"))</f>
        <v>⚠️ Baixo</v>
      </c>
    </row>
    <row r="1098" spans="1:15" ht="15" customHeight="1">
      <c r="A1098" s="28" t="str">
        <f>IF(Table_246[[#This Row],[Data]]="","",MONTH(Table_246[[#This Row],[Data]]))</f>
        <v/>
      </c>
      <c r="B1098" s="32"/>
      <c r="C1098" s="36"/>
      <c r="D1098" s="43"/>
      <c r="E1098" s="48"/>
      <c r="F1098" s="48"/>
      <c r="G1098" s="49" t="str">
        <f>IFERROR(VLOOKUP(C1098,PROD!$A$2:$E$1204,5,0),"0")</f>
        <v>0</v>
      </c>
      <c r="H1098" s="10">
        <f>Table_246[[#This Row],[QT]]*Table_246[[#This Row],[Custo 
Un]]</f>
        <v>0</v>
      </c>
      <c r="I1098" s="52"/>
      <c r="J1098" s="263">
        <f t="shared" si="57"/>
        <v>0</v>
      </c>
      <c r="K1098" s="10">
        <f t="shared" si="56"/>
        <v>0</v>
      </c>
      <c r="L1098" s="50">
        <f>Table_246[[#This Row],[Valor da 
venda]]-Table_246[[#This Row],[Valor gasto]]</f>
        <v>0</v>
      </c>
      <c r="M1098" s="111">
        <f t="shared" si="58"/>
        <v>0</v>
      </c>
      <c r="N1098" s="112"/>
      <c r="O1098" t="str">
        <f>IF([1]!Table_246[[#This Row],[Coluna2]]&gt;0.5, "🔥 Excelente", IF([1]!Table_246[[#This Row],[Coluna2]]&gt;0.4, "👍 Bom", "⚠️ Baixo"))</f>
        <v>⚠️ Baixo</v>
      </c>
    </row>
    <row r="1099" spans="1:15" ht="15" customHeight="1">
      <c r="A1099" s="28" t="str">
        <f>IF(Table_246[[#This Row],[Data]]="","",MONTH(Table_246[[#This Row],[Data]]))</f>
        <v/>
      </c>
      <c r="B1099" s="32"/>
      <c r="C1099" s="36"/>
      <c r="D1099" s="43"/>
      <c r="E1099" s="48"/>
      <c r="F1099" s="48"/>
      <c r="G1099" s="49" t="str">
        <f>IFERROR(VLOOKUP(C1099,PROD!$A$2:$E$1204,5,0),"0")</f>
        <v>0</v>
      </c>
      <c r="H1099" s="10">
        <f>Table_246[[#This Row],[QT]]*Table_246[[#This Row],[Custo 
Un]]</f>
        <v>0</v>
      </c>
      <c r="I1099" s="52"/>
      <c r="J1099" s="263">
        <f t="shared" si="57"/>
        <v>0</v>
      </c>
      <c r="K1099" s="10">
        <f t="shared" si="56"/>
        <v>0</v>
      </c>
      <c r="L1099" s="50">
        <f>Table_246[[#This Row],[Valor da 
venda]]-Table_246[[#This Row],[Valor gasto]]</f>
        <v>0</v>
      </c>
      <c r="M1099" s="111">
        <f t="shared" si="58"/>
        <v>0</v>
      </c>
      <c r="N1099" s="112"/>
      <c r="O1099" t="str">
        <f>IF([1]!Table_246[[#This Row],[Coluna2]]&gt;0.5, "🔥 Excelente", IF([1]!Table_246[[#This Row],[Coluna2]]&gt;0.4, "👍 Bom", "⚠️ Baixo"))</f>
        <v>⚠️ Baixo</v>
      </c>
    </row>
    <row r="1100" spans="1:15" ht="15" customHeight="1">
      <c r="A1100" s="28" t="str">
        <f>IF(Table_246[[#This Row],[Data]]="","",MONTH(Table_246[[#This Row],[Data]]))</f>
        <v/>
      </c>
      <c r="B1100" s="32"/>
      <c r="C1100" s="36"/>
      <c r="D1100" s="43"/>
      <c r="E1100" s="48"/>
      <c r="F1100" s="48"/>
      <c r="G1100" s="49" t="str">
        <f>IFERROR(VLOOKUP(C1100,PROD!$A$2:$E$1204,5,0),"0")</f>
        <v>0</v>
      </c>
      <c r="H1100" s="10">
        <f>Table_246[[#This Row],[QT]]*Table_246[[#This Row],[Custo 
Un]]</f>
        <v>0</v>
      </c>
      <c r="I1100" s="52"/>
      <c r="J1100" s="263">
        <f t="shared" si="57"/>
        <v>0</v>
      </c>
      <c r="K1100" s="10">
        <f t="shared" si="56"/>
        <v>0</v>
      </c>
      <c r="L1100" s="50">
        <f>Table_246[[#This Row],[Valor da 
venda]]-Table_246[[#This Row],[Valor gasto]]</f>
        <v>0</v>
      </c>
      <c r="M1100" s="111">
        <f t="shared" si="58"/>
        <v>0</v>
      </c>
      <c r="N1100" s="112"/>
      <c r="O1100" t="str">
        <f>IF([1]!Table_246[[#This Row],[Coluna2]]&gt;0.5, "🔥 Excelente", IF([1]!Table_246[[#This Row],[Coluna2]]&gt;0.4, "👍 Bom", "⚠️ Baixo"))</f>
        <v>⚠️ Baixo</v>
      </c>
    </row>
    <row r="1101" spans="1:15" ht="15" customHeight="1">
      <c r="A1101" s="28" t="str">
        <f>IF(Table_246[[#This Row],[Data]]="","",MONTH(Table_246[[#This Row],[Data]]))</f>
        <v/>
      </c>
      <c r="B1101" s="32"/>
      <c r="C1101" s="36"/>
      <c r="D1101" s="43"/>
      <c r="E1101" s="48"/>
      <c r="F1101" s="48"/>
      <c r="G1101" s="49" t="str">
        <f>IFERROR(VLOOKUP(C1101,PROD!$A$2:$E$1204,5,0),"0")</f>
        <v>0</v>
      </c>
      <c r="H1101" s="10">
        <f>Table_246[[#This Row],[QT]]*Table_246[[#This Row],[Custo 
Un]]</f>
        <v>0</v>
      </c>
      <c r="I1101" s="52"/>
      <c r="J1101" s="263">
        <f t="shared" si="57"/>
        <v>0</v>
      </c>
      <c r="K1101" s="10">
        <f t="shared" si="56"/>
        <v>0</v>
      </c>
      <c r="L1101" s="50">
        <f>Table_246[[#This Row],[Valor da 
venda]]-Table_246[[#This Row],[Valor gasto]]</f>
        <v>0</v>
      </c>
      <c r="M1101" s="111">
        <f t="shared" si="58"/>
        <v>0</v>
      </c>
      <c r="N1101" s="112"/>
      <c r="O1101" t="str">
        <f>IF([1]!Table_246[[#This Row],[Coluna2]]&gt;0.5, "🔥 Excelente", IF([1]!Table_246[[#This Row],[Coluna2]]&gt;0.4, "👍 Bom", "⚠️ Baixo"))</f>
        <v>⚠️ Baixo</v>
      </c>
    </row>
    <row r="1102" spans="1:15" ht="15" customHeight="1">
      <c r="A1102" s="28" t="str">
        <f>IF(Table_246[[#This Row],[Data]]="","",MONTH(Table_246[[#This Row],[Data]]))</f>
        <v/>
      </c>
      <c r="B1102" s="32"/>
      <c r="C1102" s="36"/>
      <c r="D1102" s="43"/>
      <c r="E1102" s="48"/>
      <c r="F1102" s="48"/>
      <c r="G1102" s="49" t="str">
        <f>IFERROR(VLOOKUP(C1102,PROD!$A$2:$E$1204,5,0),"0")</f>
        <v>0</v>
      </c>
      <c r="H1102" s="10">
        <f>Table_246[[#This Row],[QT]]*Table_246[[#This Row],[Custo 
Un]]</f>
        <v>0</v>
      </c>
      <c r="I1102" s="52"/>
      <c r="J1102" s="263">
        <f t="shared" si="57"/>
        <v>0</v>
      </c>
      <c r="K1102" s="10">
        <f t="shared" si="56"/>
        <v>0</v>
      </c>
      <c r="L1102" s="50">
        <f>Table_246[[#This Row],[Valor da 
venda]]-Table_246[[#This Row],[Valor gasto]]</f>
        <v>0</v>
      </c>
      <c r="M1102" s="111">
        <f t="shared" si="58"/>
        <v>0</v>
      </c>
      <c r="N1102" s="112"/>
      <c r="O1102" t="str">
        <f>IF([1]!Table_246[[#This Row],[Coluna2]]&gt;0.5, "🔥 Excelente", IF([1]!Table_246[[#This Row],[Coluna2]]&gt;0.4, "👍 Bom", "⚠️ Baixo"))</f>
        <v>⚠️ Baixo</v>
      </c>
    </row>
    <row r="1103" spans="1:15" ht="15" customHeight="1">
      <c r="A1103" s="28" t="str">
        <f>IF(Table_246[[#This Row],[Data]]="","",MONTH(Table_246[[#This Row],[Data]]))</f>
        <v/>
      </c>
      <c r="B1103" s="32"/>
      <c r="C1103" s="36"/>
      <c r="D1103" s="43"/>
      <c r="E1103" s="48"/>
      <c r="F1103" s="48"/>
      <c r="G1103" s="49" t="str">
        <f>IFERROR(VLOOKUP(C1103,PROD!$A$2:$E$1204,5,0),"0")</f>
        <v>0</v>
      </c>
      <c r="H1103" s="10">
        <f>Table_246[[#This Row],[QT]]*Table_246[[#This Row],[Custo 
Un]]</f>
        <v>0</v>
      </c>
      <c r="I1103" s="52"/>
      <c r="J1103" s="263">
        <f t="shared" si="57"/>
        <v>0</v>
      </c>
      <c r="K1103" s="10">
        <f t="shared" si="56"/>
        <v>0</v>
      </c>
      <c r="L1103" s="50">
        <f>Table_246[[#This Row],[Valor da 
venda]]-Table_246[[#This Row],[Valor gasto]]</f>
        <v>0</v>
      </c>
      <c r="M1103" s="111">
        <f t="shared" si="58"/>
        <v>0</v>
      </c>
      <c r="N1103" s="112"/>
      <c r="O1103" t="str">
        <f>IF([1]!Table_246[[#This Row],[Coluna2]]&gt;0.5, "🔥 Excelente", IF([1]!Table_246[[#This Row],[Coluna2]]&gt;0.4, "👍 Bom", "⚠️ Baixo"))</f>
        <v>⚠️ Baixo</v>
      </c>
    </row>
    <row r="1104" spans="1:15" ht="15" customHeight="1">
      <c r="A1104" s="28" t="str">
        <f>IF(Table_246[[#This Row],[Data]]="","",MONTH(Table_246[[#This Row],[Data]]))</f>
        <v/>
      </c>
      <c r="B1104" s="32"/>
      <c r="C1104" s="36"/>
      <c r="D1104" s="43"/>
      <c r="E1104" s="48"/>
      <c r="F1104" s="48"/>
      <c r="G1104" s="49" t="str">
        <f>IFERROR(VLOOKUP(C1104,PROD!$A$2:$E$1204,5,0),"0")</f>
        <v>0</v>
      </c>
      <c r="H1104" s="10">
        <f>Table_246[[#This Row],[QT]]*Table_246[[#This Row],[Custo 
Un]]</f>
        <v>0</v>
      </c>
      <c r="I1104" s="52"/>
      <c r="J1104" s="263">
        <f t="shared" si="57"/>
        <v>0</v>
      </c>
      <c r="K1104" s="10">
        <f t="shared" si="56"/>
        <v>0</v>
      </c>
      <c r="L1104" s="50">
        <f>Table_246[[#This Row],[Valor da 
venda]]-Table_246[[#This Row],[Valor gasto]]</f>
        <v>0</v>
      </c>
      <c r="M1104" s="111">
        <f t="shared" si="58"/>
        <v>0</v>
      </c>
      <c r="N1104" s="112"/>
      <c r="O1104" t="str">
        <f>IF([1]!Table_246[[#This Row],[Coluna2]]&gt;0.5, "🔥 Excelente", IF([1]!Table_246[[#This Row],[Coluna2]]&gt;0.4, "👍 Bom", "⚠️ Baixo"))</f>
        <v>⚠️ Baixo</v>
      </c>
    </row>
    <row r="1105" spans="1:15" ht="15" customHeight="1">
      <c r="A1105" s="28" t="str">
        <f>IF(Table_246[[#This Row],[Data]]="","",MONTH(Table_246[[#This Row],[Data]]))</f>
        <v/>
      </c>
      <c r="B1105" s="32"/>
      <c r="C1105" s="36"/>
      <c r="D1105" s="43"/>
      <c r="E1105" s="48"/>
      <c r="F1105" s="48"/>
      <c r="G1105" s="49" t="str">
        <f>IFERROR(VLOOKUP(C1105,PROD!$A$2:$E$1204,5,0),"0")</f>
        <v>0</v>
      </c>
      <c r="H1105" s="10">
        <f>Table_246[[#This Row],[QT]]*Table_246[[#This Row],[Custo 
Un]]</f>
        <v>0</v>
      </c>
      <c r="I1105" s="52"/>
      <c r="J1105" s="263">
        <f t="shared" si="57"/>
        <v>0</v>
      </c>
      <c r="K1105" s="10">
        <f t="shared" si="56"/>
        <v>0</v>
      </c>
      <c r="L1105" s="50">
        <f>Table_246[[#This Row],[Valor da 
venda]]-Table_246[[#This Row],[Valor gasto]]</f>
        <v>0</v>
      </c>
      <c r="M1105" s="111">
        <f t="shared" si="58"/>
        <v>0</v>
      </c>
      <c r="N1105" s="112"/>
      <c r="O1105" t="str">
        <f>IF([1]!Table_246[[#This Row],[Coluna2]]&gt;0.5, "🔥 Excelente", IF([1]!Table_246[[#This Row],[Coluna2]]&gt;0.4, "👍 Bom", "⚠️ Baixo"))</f>
        <v>⚠️ Baixo</v>
      </c>
    </row>
    <row r="1106" spans="1:15" ht="15" customHeight="1">
      <c r="A1106" s="28" t="str">
        <f>IF(Table_246[[#This Row],[Data]]="","",MONTH(Table_246[[#This Row],[Data]]))</f>
        <v/>
      </c>
      <c r="B1106" s="32"/>
      <c r="C1106" s="36"/>
      <c r="D1106" s="43"/>
      <c r="E1106" s="48"/>
      <c r="F1106" s="48"/>
      <c r="G1106" s="49" t="str">
        <f>IFERROR(VLOOKUP(C1106,PROD!$A$2:$E$1204,5,0),"0")</f>
        <v>0</v>
      </c>
      <c r="H1106" s="10">
        <f>Table_246[[#This Row],[QT]]*Table_246[[#This Row],[Custo 
Un]]</f>
        <v>0</v>
      </c>
      <c r="I1106" s="52"/>
      <c r="J1106" s="263">
        <f t="shared" si="57"/>
        <v>0</v>
      </c>
      <c r="K1106" s="10">
        <f t="shared" si="56"/>
        <v>0</v>
      </c>
      <c r="L1106" s="50">
        <f>Table_246[[#This Row],[Valor da 
venda]]-Table_246[[#This Row],[Valor gasto]]</f>
        <v>0</v>
      </c>
      <c r="M1106" s="111">
        <f t="shared" si="58"/>
        <v>0</v>
      </c>
      <c r="N1106" s="112"/>
      <c r="O1106" t="str">
        <f>IF([1]!Table_246[[#This Row],[Coluna2]]&gt;0.5, "🔥 Excelente", IF([1]!Table_246[[#This Row],[Coluna2]]&gt;0.4, "👍 Bom", "⚠️ Baixo"))</f>
        <v>⚠️ Baixo</v>
      </c>
    </row>
    <row r="1107" spans="1:15" ht="15" customHeight="1">
      <c r="A1107" s="28" t="str">
        <f>IF(Table_246[[#This Row],[Data]]="","",MONTH(Table_246[[#This Row],[Data]]))</f>
        <v/>
      </c>
      <c r="B1107" s="32"/>
      <c r="C1107" s="36"/>
      <c r="D1107" s="43"/>
      <c r="E1107" s="48"/>
      <c r="F1107" s="48"/>
      <c r="G1107" s="49" t="str">
        <f>IFERROR(VLOOKUP(C1107,PROD!$A$2:$E$1204,5,0),"0")</f>
        <v>0</v>
      </c>
      <c r="H1107" s="10">
        <f>Table_246[[#This Row],[QT]]*Table_246[[#This Row],[Custo 
Un]]</f>
        <v>0</v>
      </c>
      <c r="I1107" s="52"/>
      <c r="J1107" s="263">
        <f t="shared" si="57"/>
        <v>0</v>
      </c>
      <c r="K1107" s="10">
        <f t="shared" si="56"/>
        <v>0</v>
      </c>
      <c r="L1107" s="50">
        <f>Table_246[[#This Row],[Valor da 
venda]]-Table_246[[#This Row],[Valor gasto]]</f>
        <v>0</v>
      </c>
      <c r="M1107" s="111">
        <f t="shared" si="58"/>
        <v>0</v>
      </c>
      <c r="N1107" s="112"/>
      <c r="O1107" t="str">
        <f>IF([1]!Table_246[[#This Row],[Coluna2]]&gt;0.5, "🔥 Excelente", IF([1]!Table_246[[#This Row],[Coluna2]]&gt;0.4, "👍 Bom", "⚠️ Baixo"))</f>
        <v>⚠️ Baixo</v>
      </c>
    </row>
    <row r="1108" spans="1:15" ht="15" customHeight="1">
      <c r="A1108" s="28" t="str">
        <f>IF(Table_246[[#This Row],[Data]]="","",MONTH(Table_246[[#This Row],[Data]]))</f>
        <v/>
      </c>
      <c r="B1108" s="32"/>
      <c r="C1108" s="36"/>
      <c r="D1108" s="43"/>
      <c r="E1108" s="48"/>
      <c r="F1108" s="48"/>
      <c r="G1108" s="49" t="str">
        <f>IFERROR(VLOOKUP(C1108,PROD!$A$2:$E$1204,5,0),"0")</f>
        <v>0</v>
      </c>
      <c r="H1108" s="10">
        <f>Table_246[[#This Row],[QT]]*Table_246[[#This Row],[Custo 
Un]]</f>
        <v>0</v>
      </c>
      <c r="I1108" s="52"/>
      <c r="J1108" s="263">
        <f t="shared" si="57"/>
        <v>0</v>
      </c>
      <c r="K1108" s="10">
        <f t="shared" si="56"/>
        <v>0</v>
      </c>
      <c r="L1108" s="50">
        <f>Table_246[[#This Row],[Valor da 
venda]]-Table_246[[#This Row],[Valor gasto]]</f>
        <v>0</v>
      </c>
      <c r="M1108" s="111">
        <f t="shared" si="58"/>
        <v>0</v>
      </c>
      <c r="N1108" s="112"/>
      <c r="O1108" t="str">
        <f>IF([1]!Table_246[[#This Row],[Coluna2]]&gt;0.5, "🔥 Excelente", IF([1]!Table_246[[#This Row],[Coluna2]]&gt;0.4, "👍 Bom", "⚠️ Baixo"))</f>
        <v>⚠️ Baixo</v>
      </c>
    </row>
    <row r="1109" spans="1:15" ht="15" customHeight="1">
      <c r="A1109" s="28" t="str">
        <f>IF(Table_246[[#This Row],[Data]]="","",MONTH(Table_246[[#This Row],[Data]]))</f>
        <v/>
      </c>
      <c r="B1109" s="32"/>
      <c r="C1109" s="36"/>
      <c r="D1109" s="43"/>
      <c r="E1109" s="48"/>
      <c r="F1109" s="48"/>
      <c r="G1109" s="49" t="str">
        <f>IFERROR(VLOOKUP(C1109,PROD!$A$2:$E$1204,5,0),"0")</f>
        <v>0</v>
      </c>
      <c r="H1109" s="10">
        <f>Table_246[[#This Row],[QT]]*Table_246[[#This Row],[Custo 
Un]]</f>
        <v>0</v>
      </c>
      <c r="I1109" s="52"/>
      <c r="J1109" s="263">
        <f t="shared" si="57"/>
        <v>0</v>
      </c>
      <c r="K1109" s="10">
        <f t="shared" si="56"/>
        <v>0</v>
      </c>
      <c r="L1109" s="50">
        <f>Table_246[[#This Row],[Valor da 
venda]]-Table_246[[#This Row],[Valor gasto]]</f>
        <v>0</v>
      </c>
      <c r="M1109" s="111">
        <f t="shared" si="58"/>
        <v>0</v>
      </c>
      <c r="N1109" s="112"/>
      <c r="O1109" t="str">
        <f>IF([1]!Table_246[[#This Row],[Coluna2]]&gt;0.5, "🔥 Excelente", IF([1]!Table_246[[#This Row],[Coluna2]]&gt;0.4, "👍 Bom", "⚠️ Baixo"))</f>
        <v>⚠️ Baixo</v>
      </c>
    </row>
    <row r="1110" spans="1:15" ht="15" customHeight="1">
      <c r="A1110" s="28" t="str">
        <f>IF(Table_246[[#This Row],[Data]]="","",MONTH(Table_246[[#This Row],[Data]]))</f>
        <v/>
      </c>
      <c r="B1110" s="32"/>
      <c r="C1110" s="36"/>
      <c r="D1110" s="43"/>
      <c r="E1110" s="48"/>
      <c r="F1110" s="48"/>
      <c r="G1110" s="49" t="str">
        <f>IFERROR(VLOOKUP(C1110,PROD!$A$2:$E$1204,5,0),"0")</f>
        <v>0</v>
      </c>
      <c r="H1110" s="10">
        <f>Table_246[[#This Row],[QT]]*Table_246[[#This Row],[Custo 
Un]]</f>
        <v>0</v>
      </c>
      <c r="I1110" s="52"/>
      <c r="J1110" s="263">
        <f t="shared" si="57"/>
        <v>0</v>
      </c>
      <c r="K1110" s="10">
        <f t="shared" si="56"/>
        <v>0</v>
      </c>
      <c r="L1110" s="50">
        <f>Table_246[[#This Row],[Valor da 
venda]]-Table_246[[#This Row],[Valor gasto]]</f>
        <v>0</v>
      </c>
      <c r="M1110" s="111">
        <f t="shared" si="58"/>
        <v>0</v>
      </c>
      <c r="N1110" s="112"/>
      <c r="O1110" t="str">
        <f>IF([1]!Table_246[[#This Row],[Coluna2]]&gt;0.5, "🔥 Excelente", IF([1]!Table_246[[#This Row],[Coluna2]]&gt;0.4, "👍 Bom", "⚠️ Baixo"))</f>
        <v>⚠️ Baixo</v>
      </c>
    </row>
    <row r="1111" spans="1:15" ht="15" customHeight="1">
      <c r="A1111" s="249" t="s">
        <v>1108</v>
      </c>
      <c r="B1111" s="249"/>
      <c r="C1111" s="250"/>
      <c r="D1111" s="249"/>
      <c r="E1111" s="249"/>
      <c r="F1111" s="249"/>
      <c r="G1111" s="251"/>
      <c r="H1111" s="252"/>
      <c r="I1111" s="253"/>
      <c r="J1111" s="253"/>
      <c r="K1111" s="252"/>
      <c r="L1111" s="254"/>
      <c r="M1111" s="254"/>
      <c r="N1111" s="253"/>
      <c r="O1111">
        <f>SUBTOTAL(103,Table_246[Coluna1])</f>
        <v>1109</v>
      </c>
    </row>
  </sheetData>
  <conditionalFormatting sqref="C1:C431 C453:C1110">
    <cfRule type="expression" dxfId="52" priority="178">
      <formula>N1="Aguardando"</formula>
    </cfRule>
    <cfRule type="expression" dxfId="51" priority="179">
      <formula>N1="Transferido"</formula>
    </cfRule>
  </conditionalFormatting>
  <conditionalFormatting sqref="C432:C452">
    <cfRule type="expression" dxfId="50" priority="11">
      <formula>M432 ="Aguardando"</formula>
    </cfRule>
    <cfRule type="expression" dxfId="49" priority="12">
      <formula>M432 ="Transferido"</formula>
    </cfRule>
  </conditionalFormatting>
  <conditionalFormatting sqref="C1112:C1048576">
    <cfRule type="expression" dxfId="48" priority="44">
      <formula>M1112="Aguardando"</formula>
    </cfRule>
    <cfRule type="expression" dxfId="47" priority="45">
      <formula>M1112="Transferido"</formula>
    </cfRule>
  </conditionalFormatting>
  <conditionalFormatting sqref="E1:E431 E453:E1048576">
    <cfRule type="expression" dxfId="46" priority="13">
      <formula>N1="Transferido"</formula>
    </cfRule>
    <cfRule type="expression" dxfId="45" priority="16">
      <formula>N1="Aguardando"</formula>
    </cfRule>
  </conditionalFormatting>
  <conditionalFormatting sqref="E2:E431 E453:E1110">
    <cfRule type="duplicateValues" dxfId="44" priority="439"/>
  </conditionalFormatting>
  <conditionalFormatting sqref="F1:F431 F453:F818">
    <cfRule type="expression" dxfId="43" priority="32">
      <formula>F1="Fisica"</formula>
    </cfRule>
  </conditionalFormatting>
  <conditionalFormatting sqref="F1:F431 F453:F1110">
    <cfRule type="expression" dxfId="42" priority="25">
      <formula>F1="TikTok"</formula>
    </cfRule>
    <cfRule type="expression" dxfId="41" priority="26">
      <formula>F1="Shopee"</formula>
    </cfRule>
    <cfRule type="expression" dxfId="40" priority="28">
      <formula>Q1="Transferido"</formula>
    </cfRule>
  </conditionalFormatting>
  <conditionalFormatting sqref="F432:F452">
    <cfRule type="expression" dxfId="39" priority="5">
      <formula>F432 = "TikTok"</formula>
    </cfRule>
    <cfRule type="expression" dxfId="38" priority="6">
      <formula>F432 ="Shopee"</formula>
    </cfRule>
    <cfRule type="expression" dxfId="37" priority="7">
      <formula>P432 ="Aguardando"</formula>
    </cfRule>
    <cfRule type="expression" dxfId="36" priority="8">
      <formula>P432 ="Transferido"</formula>
    </cfRule>
    <cfRule type="expression" dxfId="35" priority="9">
      <formula>F432 = "Fisica"</formula>
    </cfRule>
  </conditionalFormatting>
  <conditionalFormatting sqref="F1112">
    <cfRule type="expression" dxfId="34" priority="186">
      <formula>Q1111="Aguardando"</formula>
    </cfRule>
    <cfRule type="expression" dxfId="33" priority="187">
      <formula>Q1111="Transferido"</formula>
    </cfRule>
  </conditionalFormatting>
  <conditionalFormatting sqref="F1112:F1048576">
    <cfRule type="expression" dxfId="32" priority="171">
      <formula>F1112="TikTok"</formula>
    </cfRule>
    <cfRule type="expression" dxfId="31" priority="172">
      <formula>F1112="Shopee"</formula>
    </cfRule>
  </conditionalFormatting>
  <conditionalFormatting sqref="F1113:F1048576">
    <cfRule type="expression" dxfId="30" priority="173">
      <formula>P1112="Aguardando"</formula>
    </cfRule>
    <cfRule type="expression" dxfId="29" priority="174">
      <formula>P1112="Transferido"</formula>
    </cfRule>
  </conditionalFormatting>
  <conditionalFormatting sqref="K432:K452">
    <cfRule type="cellIs" dxfId="28" priority="3" operator="lessThan">
      <formula>0</formula>
    </cfRule>
  </conditionalFormatting>
  <conditionalFormatting sqref="L1:L431 L453:L1110 K1112:K1048576">
    <cfRule type="cellIs" dxfId="27" priority="41" operator="lessThan">
      <formula>0</formula>
    </cfRule>
  </conditionalFormatting>
  <conditionalFormatting sqref="L432:L452">
    <cfRule type="cellIs" dxfId="26" priority="2" operator="lessThan">
      <formula>0.3</formula>
    </cfRule>
  </conditionalFormatting>
  <conditionalFormatting sqref="M1:M431 M453:M1110 L1112:L1048576">
    <cfRule type="cellIs" dxfId="25" priority="20" operator="lessThan">
      <formula>0.3</formula>
    </cfRule>
  </conditionalFormatting>
  <conditionalFormatting sqref="M432:M452">
    <cfRule type="cellIs" dxfId="24" priority="1" operator="lessThan">
      <formula>0.3</formula>
    </cfRule>
  </conditionalFormatting>
  <conditionalFormatting sqref="N1:N431 N453:N1048576">
    <cfRule type="expression" dxfId="23" priority="14">
      <formula>N1="Transferido"</formula>
    </cfRule>
    <cfRule type="expression" dxfId="22" priority="15">
      <formula>N1="Aguardando"</formula>
    </cfRule>
  </conditionalFormatting>
  <pageMargins left="0.51" right="0.51" top="0.79" bottom="0.79" header="0" footer="0"/>
  <pageSetup paperSize="9" orientation="portrait" r:id="rId1"/>
  <headerFooter>
    <oddHeader>&amp;L&amp;C&amp;R</oddHeader>
    <oddFooter>&amp;L&amp;C&amp;R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282C8-8D76-1488-3268-846B074C8154}">
  <sheetPr>
    <pageSetUpPr fitToPage="1"/>
  </sheetPr>
  <dimension ref="A1:K1204"/>
  <sheetViews>
    <sheetView showGridLines="0" tabSelected="1" workbookViewId="0">
      <selection activeCell="D7" sqref="D7"/>
    </sheetView>
  </sheetViews>
  <sheetFormatPr defaultColWidth="14.42578125" defaultRowHeight="15" customHeight="1"/>
  <cols>
    <col min="1" max="1" width="57.85546875" style="127" customWidth="1"/>
    <col min="2" max="2" width="15.7109375" customWidth="1"/>
    <col min="3" max="3" width="15" customWidth="1"/>
    <col min="4" max="4" width="14.140625" customWidth="1"/>
    <col min="5" max="5" width="12.42578125" customWidth="1"/>
    <col min="6" max="6" width="9.28515625" customWidth="1"/>
    <col min="7" max="7" width="11.28515625" hidden="1" customWidth="1"/>
    <col min="8" max="8" width="18.7109375" hidden="1" customWidth="1"/>
    <col min="9" max="9" width="3.140625" hidden="1" customWidth="1"/>
    <col min="10" max="10" width="81" hidden="1" customWidth="1"/>
    <col min="11" max="11" width="29.42578125" customWidth="1"/>
  </cols>
  <sheetData>
    <row r="1" spans="1:9" ht="31.5" customHeight="1">
      <c r="A1" s="115" t="s">
        <v>1109</v>
      </c>
      <c r="B1" s="116" t="s">
        <v>1110</v>
      </c>
      <c r="C1" s="117" t="s">
        <v>1111</v>
      </c>
      <c r="D1" s="117" t="s">
        <v>1112</v>
      </c>
      <c r="E1" s="118" t="s">
        <v>1113</v>
      </c>
      <c r="F1" s="119"/>
      <c r="G1" s="120" t="s">
        <v>1114</v>
      </c>
      <c r="H1" s="120" t="s">
        <v>1115</v>
      </c>
      <c r="I1" s="120" t="s">
        <v>1116</v>
      </c>
    </row>
    <row r="2" spans="1:9" ht="18.75" customHeight="1">
      <c r="A2" s="128" t="s">
        <v>1117</v>
      </c>
      <c r="B2" s="135">
        <v>1</v>
      </c>
      <c r="C2" s="137">
        <f t="shared" ref="C2:C256" si="0">B2-D2</f>
        <v>1</v>
      </c>
      <c r="D2" s="139">
        <f>COUNTIF(Table_246[Produto],Table_1[[#This Row],[Produtos]])</f>
        <v>0</v>
      </c>
      <c r="E2" s="141">
        <v>5</v>
      </c>
      <c r="F2" s="121"/>
      <c r="G2" s="122" t="s">
        <v>1118</v>
      </c>
      <c r="H2" s="122" t="s">
        <v>1119</v>
      </c>
      <c r="I2" s="122">
        <v>1</v>
      </c>
    </row>
    <row r="3" spans="1:9" ht="18.75" customHeight="1">
      <c r="A3" s="129" t="s">
        <v>1120</v>
      </c>
      <c r="B3" s="136">
        <v>1</v>
      </c>
      <c r="C3" s="138">
        <f t="shared" si="0"/>
        <v>1</v>
      </c>
      <c r="D3" s="140">
        <f>COUNTIF(Table_246[Produto],Table_1[[#This Row],[Produtos]])</f>
        <v>0</v>
      </c>
      <c r="E3" s="142">
        <v>5.9</v>
      </c>
      <c r="F3" s="121"/>
      <c r="G3" s="122" t="s">
        <v>1118</v>
      </c>
      <c r="H3" s="122" t="s">
        <v>1121</v>
      </c>
      <c r="I3" s="122">
        <v>1</v>
      </c>
    </row>
    <row r="4" spans="1:9" ht="18.75" customHeight="1">
      <c r="A4" s="128" t="s">
        <v>1122</v>
      </c>
      <c r="B4" s="135">
        <v>1</v>
      </c>
      <c r="C4" s="137">
        <f t="shared" si="0"/>
        <v>1</v>
      </c>
      <c r="D4" s="139">
        <f>COUNTIF(Table_246[Produto],Table_1[[#This Row],[Produtos]])</f>
        <v>0</v>
      </c>
      <c r="E4" s="141">
        <v>3.5</v>
      </c>
      <c r="F4" s="121"/>
      <c r="G4" s="122" t="s">
        <v>1118</v>
      </c>
      <c r="H4" s="122" t="s">
        <v>1123</v>
      </c>
      <c r="I4" s="122">
        <v>1</v>
      </c>
    </row>
    <row r="5" spans="1:9" ht="18.75" customHeight="1">
      <c r="A5" s="129" t="s">
        <v>1124</v>
      </c>
      <c r="B5" s="136">
        <v>1</v>
      </c>
      <c r="C5" s="138">
        <f t="shared" si="0"/>
        <v>1</v>
      </c>
      <c r="D5" s="140">
        <f>COUNTIF(Table_246[Produto],Table_1[[#This Row],[Produtos]])</f>
        <v>0</v>
      </c>
      <c r="E5" s="142">
        <v>5</v>
      </c>
      <c r="F5" s="121"/>
      <c r="G5" s="123" t="s">
        <v>1125</v>
      </c>
      <c r="H5" s="123" t="s">
        <v>1126</v>
      </c>
      <c r="I5" s="123">
        <v>2</v>
      </c>
    </row>
    <row r="6" spans="1:9" ht="18.75" customHeight="1">
      <c r="A6" s="128" t="s">
        <v>1127</v>
      </c>
      <c r="B6" s="135">
        <v>1</v>
      </c>
      <c r="C6" s="137">
        <f t="shared" si="0"/>
        <v>1</v>
      </c>
      <c r="D6" s="139">
        <f>COUNTIF(Table_246[Produto],Table_1[[#This Row],[Produtos]])</f>
        <v>0</v>
      </c>
      <c r="E6" s="141">
        <v>8</v>
      </c>
      <c r="F6" s="121"/>
      <c r="G6" s="123" t="s">
        <v>1125</v>
      </c>
      <c r="H6" s="123" t="s">
        <v>1128</v>
      </c>
      <c r="I6" s="123">
        <v>2</v>
      </c>
    </row>
    <row r="7" spans="1:9" ht="18.75" customHeight="1">
      <c r="A7" s="129" t="s">
        <v>1129</v>
      </c>
      <c r="B7" s="136">
        <v>1</v>
      </c>
      <c r="C7" s="138">
        <f t="shared" si="0"/>
        <v>1</v>
      </c>
      <c r="D7" s="140">
        <f>COUNTIF(Table_246[Produto],Table_1[[#This Row],[Produtos]])</f>
        <v>0</v>
      </c>
      <c r="E7" s="142">
        <v>5</v>
      </c>
      <c r="F7" s="121"/>
      <c r="G7" s="123" t="s">
        <v>1125</v>
      </c>
      <c r="H7" s="123" t="s">
        <v>1130</v>
      </c>
      <c r="I7" s="123">
        <v>2</v>
      </c>
    </row>
    <row r="8" spans="1:9" ht="18.75" customHeight="1">
      <c r="A8" s="128" t="s">
        <v>1131</v>
      </c>
      <c r="B8" s="135">
        <v>2</v>
      </c>
      <c r="C8" s="137">
        <f t="shared" si="0"/>
        <v>2</v>
      </c>
      <c r="D8" s="139">
        <f>COUNTIF(Table_246[Produto],Table_1[[#This Row],[Produtos]])</f>
        <v>0</v>
      </c>
      <c r="E8" s="141"/>
      <c r="F8" s="121"/>
      <c r="G8" s="122" t="s">
        <v>1132</v>
      </c>
      <c r="H8" s="122" t="s">
        <v>1133</v>
      </c>
      <c r="I8" s="122">
        <v>1</v>
      </c>
    </row>
    <row r="9" spans="1:9" ht="18.75" customHeight="1">
      <c r="A9" s="129" t="s">
        <v>1134</v>
      </c>
      <c r="B9" s="136">
        <v>1</v>
      </c>
      <c r="C9" s="138">
        <f t="shared" si="0"/>
        <v>1</v>
      </c>
      <c r="D9" s="140">
        <f>COUNTIF(Table_246[Produto],Table_1[[#This Row],[Produtos]])</f>
        <v>0</v>
      </c>
      <c r="E9" s="142">
        <v>1.5</v>
      </c>
      <c r="F9" s="121"/>
      <c r="G9" s="122" t="s">
        <v>1132</v>
      </c>
      <c r="H9" s="122" t="s">
        <v>1135</v>
      </c>
      <c r="I9" s="122">
        <v>3</v>
      </c>
    </row>
    <row r="10" spans="1:9" ht="18.75" customHeight="1">
      <c r="A10" s="128" t="s">
        <v>1136</v>
      </c>
      <c r="B10" s="135">
        <v>1</v>
      </c>
      <c r="C10" s="137">
        <f t="shared" si="0"/>
        <v>1</v>
      </c>
      <c r="D10" s="139">
        <f>COUNTIF(Table_246[Produto],Table_1[[#This Row],[Produtos]])</f>
        <v>0</v>
      </c>
      <c r="E10" s="141">
        <v>3.5</v>
      </c>
      <c r="F10" s="121"/>
      <c r="G10" s="122" t="s">
        <v>1132</v>
      </c>
      <c r="H10" s="122" t="s">
        <v>1137</v>
      </c>
      <c r="I10" s="122">
        <v>1</v>
      </c>
    </row>
    <row r="11" spans="1:9" ht="18.75" customHeight="1">
      <c r="A11" s="129" t="s">
        <v>1138</v>
      </c>
      <c r="B11" s="136">
        <v>1</v>
      </c>
      <c r="C11" s="138">
        <f t="shared" si="0"/>
        <v>1</v>
      </c>
      <c r="D11" s="140">
        <f>COUNTIF(Table_246[Produto],Table_1[[#This Row],[Produtos]])</f>
        <v>0</v>
      </c>
      <c r="E11" s="142">
        <v>9.9</v>
      </c>
      <c r="F11" s="121"/>
      <c r="G11" s="123" t="s">
        <v>1139</v>
      </c>
      <c r="H11" s="123" t="s">
        <v>1140</v>
      </c>
      <c r="I11" s="123">
        <v>1</v>
      </c>
    </row>
    <row r="12" spans="1:9" ht="18.75" customHeight="1">
      <c r="A12" s="128" t="s">
        <v>1141</v>
      </c>
      <c r="B12" s="135">
        <v>1</v>
      </c>
      <c r="C12" s="137">
        <f t="shared" si="0"/>
        <v>1</v>
      </c>
      <c r="D12" s="139">
        <f>COUNTIF(Table_246[Produto],Table_1[[#This Row],[Produtos]])</f>
        <v>0</v>
      </c>
      <c r="E12" s="141">
        <v>3.5</v>
      </c>
      <c r="F12" s="121"/>
      <c r="G12" s="123" t="s">
        <v>1139</v>
      </c>
      <c r="H12" s="123" t="s">
        <v>1142</v>
      </c>
      <c r="I12" s="123">
        <v>2</v>
      </c>
    </row>
    <row r="13" spans="1:9" ht="18.75" customHeight="1">
      <c r="A13" s="129" t="s">
        <v>1143</v>
      </c>
      <c r="B13" s="136">
        <v>1</v>
      </c>
      <c r="C13" s="138">
        <f t="shared" si="0"/>
        <v>1</v>
      </c>
      <c r="D13" s="140">
        <f>COUNTIF(Table_246[Produto],Table_1[[#This Row],[Produtos]])</f>
        <v>0</v>
      </c>
      <c r="E13" s="142">
        <v>15</v>
      </c>
      <c r="F13" s="121"/>
      <c r="G13" s="123" t="s">
        <v>1139</v>
      </c>
      <c r="H13" s="123" t="s">
        <v>1144</v>
      </c>
      <c r="I13" s="123">
        <v>3</v>
      </c>
    </row>
    <row r="14" spans="1:9" ht="18.75" customHeight="1">
      <c r="A14" s="128" t="s">
        <v>585</v>
      </c>
      <c r="B14" s="135">
        <v>1</v>
      </c>
      <c r="C14" s="137">
        <f t="shared" si="0"/>
        <v>1</v>
      </c>
      <c r="D14" s="139">
        <f>COUNTIF(Table_246[Produto],Table_1[[#This Row],[Produtos]])</f>
        <v>0</v>
      </c>
      <c r="E14" s="141">
        <v>11</v>
      </c>
      <c r="F14" s="121"/>
      <c r="G14" s="123" t="s">
        <v>1139</v>
      </c>
      <c r="H14" s="123" t="s">
        <v>1145</v>
      </c>
      <c r="I14" s="123">
        <v>1</v>
      </c>
    </row>
    <row r="15" spans="1:9" ht="18.75" customHeight="1">
      <c r="A15" s="129" t="s">
        <v>1146</v>
      </c>
      <c r="B15" s="136">
        <v>1</v>
      </c>
      <c r="C15" s="138">
        <f t="shared" si="0"/>
        <v>1</v>
      </c>
      <c r="D15" s="140">
        <f>COUNTIF(Table_246[Produto],Table_1[[#This Row],[Produtos]])</f>
        <v>0</v>
      </c>
      <c r="E15" s="142">
        <v>12</v>
      </c>
      <c r="F15" s="121"/>
      <c r="G15" s="123" t="s">
        <v>1139</v>
      </c>
      <c r="H15" s="123" t="s">
        <v>1147</v>
      </c>
      <c r="I15" s="123">
        <v>2</v>
      </c>
    </row>
    <row r="16" spans="1:9" ht="18.75" customHeight="1">
      <c r="A16" s="128" t="s">
        <v>1148</v>
      </c>
      <c r="B16" s="135">
        <v>1</v>
      </c>
      <c r="C16" s="137">
        <f t="shared" si="0"/>
        <v>1</v>
      </c>
      <c r="D16" s="139">
        <f>COUNTIF(Table_246[Produto],Table_1[[#This Row],[Produtos]])</f>
        <v>0</v>
      </c>
      <c r="E16" s="141">
        <v>9</v>
      </c>
      <c r="F16" s="121"/>
      <c r="G16" s="123" t="s">
        <v>1139</v>
      </c>
      <c r="H16" s="123" t="s">
        <v>1149</v>
      </c>
      <c r="I16" s="123">
        <v>2</v>
      </c>
    </row>
    <row r="17" spans="1:9" ht="18.75" customHeight="1">
      <c r="A17" s="129" t="s">
        <v>1150</v>
      </c>
      <c r="B17" s="136">
        <v>1</v>
      </c>
      <c r="C17" s="138">
        <f t="shared" si="0"/>
        <v>1</v>
      </c>
      <c r="D17" s="140">
        <f>COUNTIF(Table_246[Produto],Table_1[[#This Row],[Produtos]])</f>
        <v>0</v>
      </c>
      <c r="E17" s="142">
        <v>17.18</v>
      </c>
      <c r="F17" s="121"/>
      <c r="G17" s="123" t="s">
        <v>1139</v>
      </c>
      <c r="H17" s="123" t="s">
        <v>1151</v>
      </c>
      <c r="I17" s="123">
        <v>1</v>
      </c>
    </row>
    <row r="18" spans="1:9" ht="18.75" customHeight="1">
      <c r="A18" s="128" t="s">
        <v>1152</v>
      </c>
      <c r="B18" s="135">
        <v>1</v>
      </c>
      <c r="C18" s="137">
        <f t="shared" si="0"/>
        <v>1</v>
      </c>
      <c r="D18" s="139">
        <f>COUNTIF(Table_246[Produto],Table_1[[#This Row],[Produtos]])</f>
        <v>0</v>
      </c>
      <c r="E18" s="141">
        <v>11</v>
      </c>
      <c r="F18" s="121"/>
      <c r="G18" s="123" t="s">
        <v>1139</v>
      </c>
      <c r="H18" s="123" t="s">
        <v>1153</v>
      </c>
      <c r="I18" s="123">
        <v>1</v>
      </c>
    </row>
    <row r="19" spans="1:9" ht="18.75" customHeight="1">
      <c r="A19" s="129" t="s">
        <v>1154</v>
      </c>
      <c r="B19" s="136">
        <v>1</v>
      </c>
      <c r="C19" s="138">
        <f t="shared" si="0"/>
        <v>1</v>
      </c>
      <c r="D19" s="140">
        <f>COUNTIF(Table_246[Produto],Table_1[[#This Row],[Produtos]])</f>
        <v>0</v>
      </c>
      <c r="E19" s="142">
        <v>35</v>
      </c>
      <c r="F19" s="121"/>
      <c r="G19" s="123" t="s">
        <v>1139</v>
      </c>
      <c r="H19" s="123" t="s">
        <v>1155</v>
      </c>
      <c r="I19" s="123">
        <v>2</v>
      </c>
    </row>
    <row r="20" spans="1:9" ht="18.75" customHeight="1">
      <c r="A20" s="130" t="s">
        <v>1033</v>
      </c>
      <c r="B20" s="135">
        <v>99</v>
      </c>
      <c r="C20" s="137">
        <f t="shared" si="0"/>
        <v>98</v>
      </c>
      <c r="D20" s="139">
        <f>COUNTIF(Table_246[Produto],Table_1[[#This Row],[Produtos]])</f>
        <v>1</v>
      </c>
      <c r="E20" s="141"/>
      <c r="F20" s="121"/>
      <c r="G20" s="120" t="s">
        <v>1114</v>
      </c>
      <c r="H20" s="120" t="s">
        <v>1115</v>
      </c>
      <c r="I20" s="120" t="s">
        <v>1116</v>
      </c>
    </row>
    <row r="21" spans="1:9" ht="18.75" customHeight="1">
      <c r="A21" s="129" t="s">
        <v>1156</v>
      </c>
      <c r="B21" s="136">
        <v>1</v>
      </c>
      <c r="C21" s="138">
        <f t="shared" si="0"/>
        <v>1</v>
      </c>
      <c r="D21" s="140">
        <f>COUNTIF(Table_246[Produto],Table_1[[#This Row],[Produtos]])</f>
        <v>0</v>
      </c>
      <c r="E21" s="142">
        <v>14</v>
      </c>
      <c r="F21" s="121"/>
      <c r="G21" s="282" t="s">
        <v>1157</v>
      </c>
      <c r="H21" s="283"/>
      <c r="I21" s="283"/>
    </row>
    <row r="22" spans="1:9" ht="18.75" customHeight="1">
      <c r="A22" s="128" t="s">
        <v>1158</v>
      </c>
      <c r="B22" s="135">
        <v>1</v>
      </c>
      <c r="C22" s="137">
        <f t="shared" si="0"/>
        <v>1</v>
      </c>
      <c r="D22" s="139">
        <f>COUNTIF(Table_246[Produto],Table_1[[#This Row],[Produtos]])</f>
        <v>0</v>
      </c>
      <c r="E22" s="141">
        <v>16</v>
      </c>
      <c r="F22" s="121"/>
      <c r="G22" s="122" t="s">
        <v>1118</v>
      </c>
      <c r="H22" s="122" t="s">
        <v>1159</v>
      </c>
      <c r="I22" s="122">
        <v>3</v>
      </c>
    </row>
    <row r="23" spans="1:9" ht="18.75" customHeight="1">
      <c r="A23" s="129" t="s">
        <v>222</v>
      </c>
      <c r="B23" s="136">
        <v>1</v>
      </c>
      <c r="C23" s="138">
        <f t="shared" si="0"/>
        <v>1</v>
      </c>
      <c r="D23" s="140">
        <f>COUNTIF(Table_246[Produto],Table_1[[#This Row],[Produtos]])</f>
        <v>0</v>
      </c>
      <c r="E23" s="142">
        <v>1</v>
      </c>
      <c r="F23" s="121"/>
      <c r="G23" s="122" t="s">
        <v>1118</v>
      </c>
      <c r="H23" s="122" t="s">
        <v>1160</v>
      </c>
      <c r="I23" s="122">
        <v>2</v>
      </c>
    </row>
    <row r="24" spans="1:9" ht="18.75" customHeight="1">
      <c r="A24" s="128" t="s">
        <v>1161</v>
      </c>
      <c r="B24" s="135">
        <v>1</v>
      </c>
      <c r="C24" s="137">
        <f t="shared" si="0"/>
        <v>1</v>
      </c>
      <c r="D24" s="139">
        <f>COUNTIF(Table_246[Produto],Table_1[[#This Row],[Produtos]])</f>
        <v>0</v>
      </c>
      <c r="E24" s="141">
        <f>7.5/5</f>
        <v>1.5</v>
      </c>
      <c r="F24" s="121"/>
      <c r="G24" s="122" t="s">
        <v>1118</v>
      </c>
      <c r="H24" s="122">
        <v>12</v>
      </c>
      <c r="I24" s="122">
        <v>1</v>
      </c>
    </row>
    <row r="25" spans="1:9" ht="18.75" customHeight="1">
      <c r="A25" s="129" t="s">
        <v>1162</v>
      </c>
      <c r="B25" s="136">
        <v>1</v>
      </c>
      <c r="C25" s="138">
        <f t="shared" si="0"/>
        <v>1</v>
      </c>
      <c r="D25" s="140">
        <f>COUNTIF(Table_246[Produto],Table_1[[#This Row],[Produtos]])</f>
        <v>0</v>
      </c>
      <c r="E25" s="142">
        <v>4</v>
      </c>
      <c r="F25" s="121"/>
      <c r="G25" s="122"/>
      <c r="H25" s="122"/>
      <c r="I25" s="122"/>
    </row>
    <row r="26" spans="1:9" ht="18.75" customHeight="1">
      <c r="A26" s="130" t="s">
        <v>1026</v>
      </c>
      <c r="B26" s="135">
        <v>99</v>
      </c>
      <c r="C26" s="137">
        <f t="shared" si="0"/>
        <v>98</v>
      </c>
      <c r="D26" s="139">
        <f>COUNTIF(Table_246[Produto],Table_1[[#This Row],[Produtos]])</f>
        <v>1</v>
      </c>
      <c r="E26" s="141"/>
      <c r="F26" s="121"/>
      <c r="G26" s="122"/>
      <c r="H26" s="122"/>
      <c r="I26" s="122"/>
    </row>
    <row r="27" spans="1:9" ht="18.75" customHeight="1">
      <c r="A27" s="129" t="s">
        <v>1163</v>
      </c>
      <c r="B27" s="136">
        <v>1</v>
      </c>
      <c r="C27" s="138">
        <f t="shared" si="0"/>
        <v>1</v>
      </c>
      <c r="D27" s="140">
        <f>COUNTIF(Table_246[Produto],Table_1[[#This Row],[Produtos]])</f>
        <v>0</v>
      </c>
      <c r="E27" s="142">
        <v>13</v>
      </c>
      <c r="F27" s="121"/>
      <c r="G27" s="122"/>
      <c r="H27" s="122"/>
      <c r="I27" s="122"/>
    </row>
    <row r="28" spans="1:9" ht="18.75" customHeight="1">
      <c r="A28" s="128" t="s">
        <v>1164</v>
      </c>
      <c r="B28" s="135">
        <v>1</v>
      </c>
      <c r="C28" s="137">
        <f t="shared" si="0"/>
        <v>1</v>
      </c>
      <c r="D28" s="139">
        <f>COUNTIF(Table_246[Produto],Table_1[[#This Row],[Produtos]])</f>
        <v>0</v>
      </c>
      <c r="E28" s="141">
        <v>2.5</v>
      </c>
      <c r="F28" s="121"/>
      <c r="G28" s="122"/>
      <c r="H28" s="122"/>
      <c r="I28" s="122"/>
    </row>
    <row r="29" spans="1:9" ht="18.75" customHeight="1">
      <c r="A29" s="130" t="s">
        <v>1025</v>
      </c>
      <c r="B29" s="136">
        <v>99</v>
      </c>
      <c r="C29" s="138">
        <f t="shared" si="0"/>
        <v>98</v>
      </c>
      <c r="D29" s="140">
        <f>COUNTIF(Table_246[Produto],Table_1[[#This Row],[Produtos]])</f>
        <v>1</v>
      </c>
      <c r="E29" s="142"/>
      <c r="F29" s="121"/>
      <c r="G29" s="122"/>
      <c r="H29" s="122"/>
      <c r="I29" s="122"/>
    </row>
    <row r="30" spans="1:9" ht="18.75" customHeight="1">
      <c r="A30" s="128" t="s">
        <v>959</v>
      </c>
      <c r="B30" s="135">
        <v>1</v>
      </c>
      <c r="C30" s="137">
        <f t="shared" si="0"/>
        <v>1</v>
      </c>
      <c r="D30" s="139">
        <f>COUNTIF(Table_246[Produto],Table_1[[#This Row],[Produtos]])</f>
        <v>0</v>
      </c>
      <c r="E30" s="141">
        <v>15</v>
      </c>
      <c r="F30" s="121"/>
    </row>
    <row r="31" spans="1:9" ht="18.75" customHeight="1">
      <c r="A31" s="130" t="s">
        <v>1009</v>
      </c>
      <c r="B31" s="136">
        <v>99</v>
      </c>
      <c r="C31" s="138">
        <f t="shared" si="0"/>
        <v>97</v>
      </c>
      <c r="D31" s="140">
        <f>COUNTIF(Table_246[Produto],Table_1[[#This Row],[Produtos]])</f>
        <v>2</v>
      </c>
      <c r="E31" s="142"/>
      <c r="F31" s="121"/>
    </row>
    <row r="32" spans="1:9" ht="18.75" customHeight="1">
      <c r="A32" s="130" t="s">
        <v>1023</v>
      </c>
      <c r="B32" s="135">
        <v>99</v>
      </c>
      <c r="C32" s="137">
        <f t="shared" si="0"/>
        <v>98</v>
      </c>
      <c r="D32" s="139">
        <f>COUNTIF(Table_246[Produto],Table_1[[#This Row],[Produtos]])</f>
        <v>1</v>
      </c>
      <c r="E32" s="141"/>
      <c r="F32" s="121"/>
    </row>
    <row r="33" spans="1:6" ht="18.75" customHeight="1">
      <c r="A33" s="129" t="s">
        <v>1165</v>
      </c>
      <c r="B33" s="136">
        <v>1</v>
      </c>
      <c r="C33" s="138">
        <f t="shared" si="0"/>
        <v>1</v>
      </c>
      <c r="D33" s="140">
        <f>COUNTIF(Table_246[Produto],Table_1[[#This Row],[Produtos]])</f>
        <v>0</v>
      </c>
      <c r="E33" s="142">
        <v>6</v>
      </c>
      <c r="F33" s="121"/>
    </row>
    <row r="34" spans="1:6" ht="18.75" customHeight="1">
      <c r="A34" s="128" t="s">
        <v>1166</v>
      </c>
      <c r="B34" s="135">
        <v>1</v>
      </c>
      <c r="C34" s="137">
        <f t="shared" si="0"/>
        <v>1</v>
      </c>
      <c r="D34" s="139">
        <f>COUNTIF(Table_246[Produto],Table_1[[#This Row],[Produtos]])</f>
        <v>0</v>
      </c>
      <c r="E34" s="141">
        <v>3.5</v>
      </c>
      <c r="F34" s="121"/>
    </row>
    <row r="35" spans="1:6" ht="18.75" customHeight="1">
      <c r="A35" s="129" t="s">
        <v>352</v>
      </c>
      <c r="B35" s="136">
        <v>1</v>
      </c>
      <c r="C35" s="138">
        <f t="shared" si="0"/>
        <v>1</v>
      </c>
      <c r="D35" s="140">
        <f>COUNTIF(Table_246[Produto],Table_1[[#This Row],[Produtos]])</f>
        <v>0</v>
      </c>
      <c r="E35" s="142">
        <v>7</v>
      </c>
      <c r="F35" s="121"/>
    </row>
    <row r="36" spans="1:6" ht="18.75" customHeight="1">
      <c r="A36" s="128" t="s">
        <v>1167</v>
      </c>
      <c r="B36" s="135">
        <v>1</v>
      </c>
      <c r="C36" s="137">
        <f t="shared" si="0"/>
        <v>1</v>
      </c>
      <c r="D36" s="139">
        <f>COUNTIF(Table_246[Produto],Table_1[[#This Row],[Produtos]])</f>
        <v>0</v>
      </c>
      <c r="E36" s="141">
        <v>2.5</v>
      </c>
      <c r="F36" s="121"/>
    </row>
    <row r="37" spans="1:6" ht="18.75" customHeight="1">
      <c r="A37" s="130" t="s">
        <v>1029</v>
      </c>
      <c r="B37" s="136">
        <v>99</v>
      </c>
      <c r="C37" s="138">
        <f t="shared" si="0"/>
        <v>98</v>
      </c>
      <c r="D37" s="140">
        <f>COUNTIF(Table_246[Produto],Table_1[[#This Row],[Produtos]])</f>
        <v>1</v>
      </c>
      <c r="E37" s="142"/>
      <c r="F37" s="121"/>
    </row>
    <row r="38" spans="1:6" ht="18.75" customHeight="1">
      <c r="A38" s="128" t="s">
        <v>1168</v>
      </c>
      <c r="B38" s="135">
        <v>1</v>
      </c>
      <c r="C38" s="137">
        <f t="shared" si="0"/>
        <v>1</v>
      </c>
      <c r="D38" s="139">
        <f>COUNTIF(Table_246[Produto],Table_1[[#This Row],[Produtos]])</f>
        <v>0</v>
      </c>
      <c r="E38" s="141">
        <v>3.5</v>
      </c>
      <c r="F38" s="121"/>
    </row>
    <row r="39" spans="1:6" ht="18.75" customHeight="1">
      <c r="A39" s="129" t="s">
        <v>1169</v>
      </c>
      <c r="B39" s="136">
        <v>1</v>
      </c>
      <c r="C39" s="138">
        <f t="shared" si="0"/>
        <v>1</v>
      </c>
      <c r="D39" s="140">
        <f>COUNTIF(Table_246[Produto],Table_1[[#This Row],[Produtos]])</f>
        <v>0</v>
      </c>
      <c r="E39" s="142">
        <v>3.5</v>
      </c>
      <c r="F39" s="121"/>
    </row>
    <row r="40" spans="1:6" ht="18.75" customHeight="1">
      <c r="A40" s="128" t="s">
        <v>1170</v>
      </c>
      <c r="B40" s="135">
        <v>1</v>
      </c>
      <c r="C40" s="137">
        <f t="shared" si="0"/>
        <v>1</v>
      </c>
      <c r="D40" s="139">
        <f>COUNTIF(Table_246[Produto],Table_1[[#This Row],[Produtos]])</f>
        <v>0</v>
      </c>
      <c r="E40" s="141"/>
      <c r="F40" s="121"/>
    </row>
    <row r="41" spans="1:6" ht="18.75" customHeight="1">
      <c r="A41" s="129" t="s">
        <v>1032</v>
      </c>
      <c r="B41" s="136">
        <v>3</v>
      </c>
      <c r="C41" s="138">
        <f t="shared" si="0"/>
        <v>0</v>
      </c>
      <c r="D41" s="140">
        <f>COUNTIF(Table_246[Produto],Table_1[[#This Row],[Produtos]])</f>
        <v>3</v>
      </c>
      <c r="E41" s="142">
        <v>6</v>
      </c>
      <c r="F41" s="121"/>
    </row>
    <row r="42" spans="1:6" ht="18.75" customHeight="1">
      <c r="A42" s="128" t="s">
        <v>1171</v>
      </c>
      <c r="B42" s="135">
        <v>1</v>
      </c>
      <c r="C42" s="137">
        <f t="shared" si="0"/>
        <v>1</v>
      </c>
      <c r="D42" s="139">
        <f>COUNTIF(Table_246[Produto],Table_1[[#This Row],[Produtos]])</f>
        <v>0</v>
      </c>
      <c r="E42" s="141">
        <v>6</v>
      </c>
      <c r="F42" s="121"/>
    </row>
    <row r="43" spans="1:6" ht="18.75" customHeight="1">
      <c r="A43" s="130" t="s">
        <v>1079</v>
      </c>
      <c r="B43" s="136">
        <v>99</v>
      </c>
      <c r="C43" s="138">
        <f t="shared" si="0"/>
        <v>98</v>
      </c>
      <c r="D43" s="140">
        <f>COUNTIF(Table_246[Produto],Table_1[[#This Row],[Produtos]])</f>
        <v>1</v>
      </c>
      <c r="E43" s="142"/>
      <c r="F43" s="121"/>
    </row>
    <row r="44" spans="1:6" ht="18.75" customHeight="1">
      <c r="A44" s="128" t="s">
        <v>1172</v>
      </c>
      <c r="B44" s="135">
        <v>1</v>
      </c>
      <c r="C44" s="137">
        <f t="shared" si="0"/>
        <v>1</v>
      </c>
      <c r="D44" s="139">
        <f>COUNTIF(Table_246[Produto],Table_1[[#This Row],[Produtos]])</f>
        <v>0</v>
      </c>
      <c r="E44" s="141">
        <v>10</v>
      </c>
      <c r="F44" s="121"/>
    </row>
    <row r="45" spans="1:6" ht="18.75" customHeight="1">
      <c r="A45" s="129" t="s">
        <v>1173</v>
      </c>
      <c r="B45" s="136">
        <v>1</v>
      </c>
      <c r="C45" s="138">
        <f t="shared" si="0"/>
        <v>1</v>
      </c>
      <c r="D45" s="140">
        <f>COUNTIF(Table_246[Produto],Table_1[[#This Row],[Produtos]])</f>
        <v>0</v>
      </c>
      <c r="E45" s="142">
        <v>6</v>
      </c>
      <c r="F45" s="121"/>
    </row>
    <row r="46" spans="1:6" ht="18.75" customHeight="1">
      <c r="A46" s="128" t="s">
        <v>182</v>
      </c>
      <c r="B46" s="135">
        <v>1</v>
      </c>
      <c r="C46" s="137">
        <f t="shared" si="0"/>
        <v>1</v>
      </c>
      <c r="D46" s="139">
        <f>COUNTIF(Table_246[Produto],Table_1[[#This Row],[Produtos]])</f>
        <v>0</v>
      </c>
      <c r="E46" s="141">
        <v>6</v>
      </c>
      <c r="F46" s="121"/>
    </row>
    <row r="47" spans="1:6" ht="18.75" customHeight="1">
      <c r="A47" s="129" t="s">
        <v>1174</v>
      </c>
      <c r="B47" s="136">
        <v>1</v>
      </c>
      <c r="C47" s="138">
        <f t="shared" si="0"/>
        <v>1</v>
      </c>
      <c r="D47" s="140">
        <f>COUNTIF(Table_246[Produto],Table_1[[#This Row],[Produtos]])</f>
        <v>0</v>
      </c>
      <c r="E47" s="142">
        <v>0</v>
      </c>
      <c r="F47" s="121"/>
    </row>
    <row r="48" spans="1:6" ht="18.75" customHeight="1">
      <c r="A48" s="128" t="s">
        <v>410</v>
      </c>
      <c r="B48" s="135">
        <v>1</v>
      </c>
      <c r="C48" s="137">
        <f t="shared" si="0"/>
        <v>1</v>
      </c>
      <c r="D48" s="139">
        <f>COUNTIF(Table_246[Produto],Table_1[[#This Row],[Produtos]])</f>
        <v>0</v>
      </c>
      <c r="E48" s="141">
        <v>15</v>
      </c>
      <c r="F48" s="121"/>
    </row>
    <row r="49" spans="1:6" ht="18.75" customHeight="1">
      <c r="A49" s="129" t="s">
        <v>371</v>
      </c>
      <c r="B49" s="136">
        <v>1</v>
      </c>
      <c r="C49" s="138">
        <f t="shared" si="0"/>
        <v>1</v>
      </c>
      <c r="D49" s="140">
        <f>COUNTIF(Table_246[Produto],Table_1[[#This Row],[Produtos]])</f>
        <v>0</v>
      </c>
      <c r="E49" s="142">
        <v>4</v>
      </c>
      <c r="F49" s="121"/>
    </row>
    <row r="50" spans="1:6" ht="18.75" customHeight="1">
      <c r="A50" s="128" t="s">
        <v>1175</v>
      </c>
      <c r="B50" s="135">
        <v>1</v>
      </c>
      <c r="C50" s="137">
        <f t="shared" si="0"/>
        <v>1</v>
      </c>
      <c r="D50" s="139">
        <f>COUNTIF(Table_246[Produto],Table_1[[#This Row],[Produtos]])</f>
        <v>0</v>
      </c>
      <c r="E50" s="141">
        <v>4.5</v>
      </c>
      <c r="F50" s="121"/>
    </row>
    <row r="51" spans="1:6" ht="18.75" customHeight="1">
      <c r="A51" s="129" t="s">
        <v>488</v>
      </c>
      <c r="B51" s="136">
        <v>1</v>
      </c>
      <c r="C51" s="138">
        <f t="shared" si="0"/>
        <v>1</v>
      </c>
      <c r="D51" s="140">
        <f>COUNTIF(Table_246[Produto],Table_1[[#This Row],[Produtos]])</f>
        <v>0</v>
      </c>
      <c r="E51" s="142">
        <v>6</v>
      </c>
      <c r="F51" s="121"/>
    </row>
    <row r="52" spans="1:6" ht="18.75" customHeight="1">
      <c r="A52" s="128" t="s">
        <v>1030</v>
      </c>
      <c r="B52" s="135">
        <v>3</v>
      </c>
      <c r="C52" s="137">
        <f t="shared" si="0"/>
        <v>1</v>
      </c>
      <c r="D52" s="139">
        <f>COUNTIF(Table_246[Produto],Table_1[[#This Row],[Produtos]])</f>
        <v>2</v>
      </c>
      <c r="E52" s="141">
        <v>6</v>
      </c>
      <c r="F52" s="121"/>
    </row>
    <row r="53" spans="1:6" ht="18.75" customHeight="1">
      <c r="A53" s="129" t="s">
        <v>1176</v>
      </c>
      <c r="B53" s="136">
        <v>1</v>
      </c>
      <c r="C53" s="138">
        <f t="shared" si="0"/>
        <v>1</v>
      </c>
      <c r="D53" s="140">
        <f>COUNTIF(Table_246[Produto],Table_1[[#This Row],[Produtos]])</f>
        <v>0</v>
      </c>
      <c r="E53" s="142">
        <v>15</v>
      </c>
      <c r="F53" s="121"/>
    </row>
    <row r="54" spans="1:6" ht="18.75" customHeight="1">
      <c r="A54" s="128" t="s">
        <v>1177</v>
      </c>
      <c r="B54" s="135">
        <v>1</v>
      </c>
      <c r="C54" s="137">
        <f t="shared" si="0"/>
        <v>1</v>
      </c>
      <c r="D54" s="139">
        <f>COUNTIF(Table_246[Produto],Table_1[[#This Row],[Produtos]])</f>
        <v>0</v>
      </c>
      <c r="E54" s="141">
        <v>5</v>
      </c>
      <c r="F54" s="121"/>
    </row>
    <row r="55" spans="1:6" ht="18.75" customHeight="1">
      <c r="A55" s="129" t="s">
        <v>1178</v>
      </c>
      <c r="B55" s="136">
        <v>1</v>
      </c>
      <c r="C55" s="138">
        <f t="shared" si="0"/>
        <v>1</v>
      </c>
      <c r="D55" s="140">
        <f>COUNTIF(Table_246[Produto],Table_1[[#This Row],[Produtos]])</f>
        <v>0</v>
      </c>
      <c r="E55" s="142">
        <v>5</v>
      </c>
      <c r="F55" s="121"/>
    </row>
    <row r="56" spans="1:6" ht="18.75" customHeight="1">
      <c r="A56" s="128" t="s">
        <v>1179</v>
      </c>
      <c r="B56" s="135">
        <v>1</v>
      </c>
      <c r="C56" s="137">
        <f t="shared" si="0"/>
        <v>1</v>
      </c>
      <c r="D56" s="139">
        <f>COUNTIF(Table_246[Produto],Table_1[[#This Row],[Produtos]])</f>
        <v>0</v>
      </c>
      <c r="E56" s="141">
        <v>4</v>
      </c>
      <c r="F56" s="121"/>
    </row>
    <row r="57" spans="1:6" ht="18.75" customHeight="1">
      <c r="A57" s="129" t="s">
        <v>16</v>
      </c>
      <c r="B57" s="136">
        <v>1</v>
      </c>
      <c r="C57" s="138">
        <f t="shared" si="0"/>
        <v>1</v>
      </c>
      <c r="D57" s="140">
        <f>COUNTIF(Table_246[Produto],Table_1[[#This Row],[Produtos]])</f>
        <v>0</v>
      </c>
      <c r="E57" s="142">
        <v>7</v>
      </c>
      <c r="F57" s="121"/>
    </row>
    <row r="58" spans="1:6" ht="18.75" customHeight="1">
      <c r="A58" s="128" t="s">
        <v>581</v>
      </c>
      <c r="B58" s="135">
        <v>1</v>
      </c>
      <c r="C58" s="137">
        <f t="shared" si="0"/>
        <v>1</v>
      </c>
      <c r="D58" s="139">
        <f>COUNTIF(Table_246[Produto],Table_1[[#This Row],[Produtos]])</f>
        <v>0</v>
      </c>
      <c r="E58" s="141">
        <v>10</v>
      </c>
      <c r="F58" s="121"/>
    </row>
    <row r="59" spans="1:6" ht="18.75" customHeight="1">
      <c r="A59" s="129" t="s">
        <v>214</v>
      </c>
      <c r="B59" s="136">
        <v>1</v>
      </c>
      <c r="C59" s="138">
        <f t="shared" si="0"/>
        <v>1</v>
      </c>
      <c r="D59" s="140">
        <f>COUNTIF(Table_246[Produto],Table_1[[#This Row],[Produtos]])</f>
        <v>0</v>
      </c>
      <c r="E59" s="142">
        <v>7</v>
      </c>
      <c r="F59" s="121"/>
    </row>
    <row r="60" spans="1:6" ht="18.75" customHeight="1">
      <c r="A60" s="128" t="s">
        <v>1180</v>
      </c>
      <c r="B60" s="135">
        <v>1</v>
      </c>
      <c r="C60" s="137">
        <f t="shared" si="0"/>
        <v>1</v>
      </c>
      <c r="D60" s="139">
        <f>COUNTIF(Table_246[Produto],Table_1[[#This Row],[Produtos]])</f>
        <v>0</v>
      </c>
      <c r="E60" s="141">
        <v>4</v>
      </c>
      <c r="F60" s="121"/>
    </row>
    <row r="61" spans="1:6" ht="18.75" customHeight="1">
      <c r="A61" s="129" t="s">
        <v>1181</v>
      </c>
      <c r="B61" s="136">
        <v>1</v>
      </c>
      <c r="C61" s="138">
        <f t="shared" si="0"/>
        <v>1</v>
      </c>
      <c r="D61" s="140">
        <f>COUNTIF(Table_246[Produto],Table_1[[#This Row],[Produtos]])</f>
        <v>0</v>
      </c>
      <c r="E61" s="142">
        <v>5</v>
      </c>
      <c r="F61" s="121"/>
    </row>
    <row r="62" spans="1:6" ht="18.75" customHeight="1">
      <c r="A62" s="128" t="s">
        <v>1182</v>
      </c>
      <c r="B62" s="135">
        <v>1</v>
      </c>
      <c r="C62" s="137">
        <f t="shared" si="0"/>
        <v>1</v>
      </c>
      <c r="D62" s="139">
        <f>COUNTIF(Table_246[Produto],Table_1[[#This Row],[Produtos]])</f>
        <v>0</v>
      </c>
      <c r="E62" s="141">
        <v>3.5</v>
      </c>
      <c r="F62" s="121"/>
    </row>
    <row r="63" spans="1:6" ht="18.75" customHeight="1">
      <c r="A63" s="129" t="s">
        <v>246</v>
      </c>
      <c r="B63" s="136">
        <v>1</v>
      </c>
      <c r="C63" s="138">
        <f t="shared" si="0"/>
        <v>1</v>
      </c>
      <c r="D63" s="140">
        <f>COUNTIF(Table_246[Produto],Table_1[[#This Row],[Produtos]])</f>
        <v>0</v>
      </c>
      <c r="E63" s="142">
        <v>4.5</v>
      </c>
      <c r="F63" s="121"/>
    </row>
    <row r="64" spans="1:6" ht="18.75" customHeight="1">
      <c r="A64" s="128" t="s">
        <v>1183</v>
      </c>
      <c r="B64" s="135">
        <v>1</v>
      </c>
      <c r="C64" s="137">
        <f t="shared" si="0"/>
        <v>1</v>
      </c>
      <c r="D64" s="139">
        <f>COUNTIF(Table_246[Produto],Table_1[[#This Row],[Produtos]])</f>
        <v>0</v>
      </c>
      <c r="E64" s="141">
        <v>4</v>
      </c>
      <c r="F64" s="121"/>
    </row>
    <row r="65" spans="1:6" ht="18.75" customHeight="1">
      <c r="A65" s="129" t="s">
        <v>1184</v>
      </c>
      <c r="B65" s="136">
        <v>1</v>
      </c>
      <c r="C65" s="138">
        <f t="shared" si="0"/>
        <v>1</v>
      </c>
      <c r="D65" s="140">
        <f>COUNTIF(Table_246[Produto],Table_1[[#This Row],[Produtos]])</f>
        <v>0</v>
      </c>
      <c r="E65" s="142">
        <v>15</v>
      </c>
      <c r="F65" s="121"/>
    </row>
    <row r="66" spans="1:6" ht="18.75" customHeight="1">
      <c r="A66" s="128" t="s">
        <v>1185</v>
      </c>
      <c r="B66" s="135">
        <v>1</v>
      </c>
      <c r="C66" s="137">
        <f t="shared" si="0"/>
        <v>1</v>
      </c>
      <c r="D66" s="139">
        <f>COUNTIF(Table_246[Produto],Table_1[[#This Row],[Produtos]])</f>
        <v>0</v>
      </c>
      <c r="E66" s="141">
        <v>3.5</v>
      </c>
      <c r="F66" s="121"/>
    </row>
    <row r="67" spans="1:6" ht="18.75" customHeight="1">
      <c r="A67" s="129" t="s">
        <v>1186</v>
      </c>
      <c r="B67" s="136">
        <v>1</v>
      </c>
      <c r="C67" s="138">
        <f t="shared" si="0"/>
        <v>1</v>
      </c>
      <c r="D67" s="140">
        <f>COUNTIF(Table_246[Produto],Table_1[[#This Row],[Produtos]])</f>
        <v>0</v>
      </c>
      <c r="E67" s="142">
        <v>4</v>
      </c>
      <c r="F67" s="121"/>
    </row>
    <row r="68" spans="1:6" ht="18.75" customHeight="1">
      <c r="A68" s="128" t="s">
        <v>1187</v>
      </c>
      <c r="B68" s="135">
        <v>1</v>
      </c>
      <c r="C68" s="137">
        <f t="shared" si="0"/>
        <v>1</v>
      </c>
      <c r="D68" s="139">
        <f>COUNTIF(Table_246[Produto],Table_1[[#This Row],[Produtos]])</f>
        <v>0</v>
      </c>
      <c r="E68" s="141">
        <v>4.5</v>
      </c>
      <c r="F68" s="121"/>
    </row>
    <row r="69" spans="1:6" ht="18.75" customHeight="1">
      <c r="A69" s="129" t="s">
        <v>1188</v>
      </c>
      <c r="B69" s="136">
        <v>1</v>
      </c>
      <c r="C69" s="138">
        <f t="shared" si="0"/>
        <v>1</v>
      </c>
      <c r="D69" s="140">
        <f>COUNTIF(Table_246[Produto],Table_1[[#This Row],[Produtos]])</f>
        <v>0</v>
      </c>
      <c r="E69" s="142">
        <v>15</v>
      </c>
      <c r="F69" s="121"/>
    </row>
    <row r="70" spans="1:6" ht="18.75" customHeight="1">
      <c r="A70" s="128" t="s">
        <v>1083</v>
      </c>
      <c r="B70" s="135">
        <v>1</v>
      </c>
      <c r="C70" s="137">
        <f t="shared" si="0"/>
        <v>0</v>
      </c>
      <c r="D70" s="139">
        <f>COUNTIF(Table_246[Produto],Table_1[[#This Row],[Produtos]])</f>
        <v>1</v>
      </c>
      <c r="E70" s="141">
        <v>9</v>
      </c>
      <c r="F70" s="121"/>
    </row>
    <row r="71" spans="1:6" ht="18.75" customHeight="1">
      <c r="A71" s="129" t="s">
        <v>1189</v>
      </c>
      <c r="B71" s="136">
        <v>1</v>
      </c>
      <c r="C71" s="138">
        <f t="shared" si="0"/>
        <v>1</v>
      </c>
      <c r="D71" s="140">
        <f>COUNTIF(Table_246[Produto],Table_1[[#This Row],[Produtos]])</f>
        <v>0</v>
      </c>
      <c r="E71" s="142">
        <v>5</v>
      </c>
      <c r="F71" s="121"/>
    </row>
    <row r="72" spans="1:6" ht="18.75" customHeight="1">
      <c r="A72" s="128" t="s">
        <v>1190</v>
      </c>
      <c r="B72" s="135">
        <v>1</v>
      </c>
      <c r="C72" s="137">
        <f t="shared" si="0"/>
        <v>1</v>
      </c>
      <c r="D72" s="139">
        <f>COUNTIF(Table_246[Produto],Table_1[[#This Row],[Produtos]])</f>
        <v>0</v>
      </c>
      <c r="E72" s="141">
        <v>5</v>
      </c>
      <c r="F72" s="121"/>
    </row>
    <row r="73" spans="1:6" ht="18.75" customHeight="1">
      <c r="A73" s="130" t="s">
        <v>1024</v>
      </c>
      <c r="B73" s="136">
        <v>99</v>
      </c>
      <c r="C73" s="138">
        <f t="shared" si="0"/>
        <v>98</v>
      </c>
      <c r="D73" s="140">
        <f>COUNTIF(Table_246[Produto],Table_1[[#This Row],[Produtos]])</f>
        <v>1</v>
      </c>
      <c r="E73" s="142"/>
      <c r="F73" s="121"/>
    </row>
    <row r="74" spans="1:6" ht="18.75" customHeight="1">
      <c r="A74" s="128" t="s">
        <v>755</v>
      </c>
      <c r="B74" s="135">
        <v>1</v>
      </c>
      <c r="C74" s="137">
        <f t="shared" si="0"/>
        <v>1</v>
      </c>
      <c r="D74" s="139">
        <f>COUNTIF(Table_246[Produto],Table_1[[#This Row],[Produtos]])</f>
        <v>0</v>
      </c>
      <c r="E74" s="141">
        <v>23</v>
      </c>
      <c r="F74" s="121"/>
    </row>
    <row r="75" spans="1:6" ht="18.75" customHeight="1">
      <c r="A75" s="129" t="s">
        <v>1191</v>
      </c>
      <c r="B75" s="136">
        <v>1</v>
      </c>
      <c r="C75" s="138">
        <f t="shared" si="0"/>
        <v>1</v>
      </c>
      <c r="D75" s="140">
        <f>COUNTIF(Table_246[Produto],Table_1[[#This Row],[Produtos]])</f>
        <v>0</v>
      </c>
      <c r="E75" s="142">
        <v>2.7</v>
      </c>
      <c r="F75" s="121"/>
    </row>
    <row r="76" spans="1:6" ht="18.75" customHeight="1">
      <c r="A76" s="128" t="s">
        <v>224</v>
      </c>
      <c r="B76" s="135">
        <v>1</v>
      </c>
      <c r="C76" s="137">
        <f t="shared" si="0"/>
        <v>1</v>
      </c>
      <c r="D76" s="139">
        <f>COUNTIF(Table_246[Produto],Table_1[[#This Row],[Produtos]])</f>
        <v>0</v>
      </c>
      <c r="E76" s="141">
        <f>210.35/2</f>
        <v>105.175</v>
      </c>
      <c r="F76" s="121"/>
    </row>
    <row r="77" spans="1:6" ht="18.75" customHeight="1">
      <c r="A77" s="129" t="s">
        <v>1192</v>
      </c>
      <c r="B77" s="136">
        <v>1</v>
      </c>
      <c r="C77" s="138">
        <f t="shared" si="0"/>
        <v>1</v>
      </c>
      <c r="D77" s="140">
        <f>COUNTIF(Table_246[Produto],Table_1[[#This Row],[Produtos]])</f>
        <v>0</v>
      </c>
      <c r="E77" s="142">
        <v>12.5</v>
      </c>
      <c r="F77" s="121"/>
    </row>
    <row r="78" spans="1:6" ht="18.75" customHeight="1">
      <c r="A78" s="128" t="s">
        <v>1193</v>
      </c>
      <c r="B78" s="135">
        <v>1</v>
      </c>
      <c r="C78" s="137">
        <f t="shared" si="0"/>
        <v>1</v>
      </c>
      <c r="D78" s="139">
        <f>COUNTIF(Table_246[Produto],Table_1[[#This Row],[Produtos]])</f>
        <v>0</v>
      </c>
      <c r="E78" s="141">
        <v>9</v>
      </c>
      <c r="F78" s="121"/>
    </row>
    <row r="79" spans="1:6" ht="18.75" customHeight="1">
      <c r="A79" s="129" t="s">
        <v>762</v>
      </c>
      <c r="B79" s="136">
        <v>1</v>
      </c>
      <c r="C79" s="138">
        <f t="shared" si="0"/>
        <v>1</v>
      </c>
      <c r="D79" s="140">
        <f>COUNTIF(Table_246[Produto],Table_1[[#This Row],[Produtos]])</f>
        <v>0</v>
      </c>
      <c r="E79" s="52">
        <v>3.5</v>
      </c>
      <c r="F79" s="121"/>
    </row>
    <row r="80" spans="1:6" ht="18.75" customHeight="1">
      <c r="A80" s="128" t="s">
        <v>1194</v>
      </c>
      <c r="B80" s="135">
        <v>1</v>
      </c>
      <c r="C80" s="137">
        <f t="shared" si="0"/>
        <v>1</v>
      </c>
      <c r="D80" s="139">
        <f>COUNTIF(Table_246[Produto],Table_1[[#This Row],[Produtos]])</f>
        <v>0</v>
      </c>
      <c r="E80" s="141">
        <v>2</v>
      </c>
      <c r="F80" s="121"/>
    </row>
    <row r="81" spans="1:6" ht="18.75" customHeight="1">
      <c r="A81" s="129" t="s">
        <v>1195</v>
      </c>
      <c r="B81" s="136">
        <v>1</v>
      </c>
      <c r="C81" s="138">
        <f t="shared" si="0"/>
        <v>1</v>
      </c>
      <c r="D81" s="140">
        <f>COUNTIF(Table_246[Produto],Table_1[[#This Row],[Produtos]])</f>
        <v>0</v>
      </c>
      <c r="E81" s="142">
        <v>7</v>
      </c>
      <c r="F81" s="121"/>
    </row>
    <row r="82" spans="1:6" ht="18.75" customHeight="1">
      <c r="A82" s="128" t="s">
        <v>55</v>
      </c>
      <c r="B82" s="135">
        <v>1</v>
      </c>
      <c r="C82" s="137">
        <f t="shared" si="0"/>
        <v>1</v>
      </c>
      <c r="D82" s="139">
        <f>COUNTIF(Table_246[Produto],Table_1[[#This Row],[Produtos]])</f>
        <v>0</v>
      </c>
      <c r="E82" s="141">
        <v>3</v>
      </c>
      <c r="F82" s="121"/>
    </row>
    <row r="83" spans="1:6" ht="18.75" customHeight="1">
      <c r="A83" s="130" t="s">
        <v>1031</v>
      </c>
      <c r="B83" s="136">
        <v>99</v>
      </c>
      <c r="C83" s="138">
        <f t="shared" si="0"/>
        <v>98</v>
      </c>
      <c r="D83" s="140">
        <f>COUNTIF(Table_246[Produto],Table_1[[#This Row],[Produtos]])</f>
        <v>1</v>
      </c>
      <c r="E83" s="142"/>
      <c r="F83" s="121"/>
    </row>
    <row r="84" spans="1:6" ht="18.75" customHeight="1">
      <c r="A84" s="130" t="s">
        <v>1060</v>
      </c>
      <c r="B84" s="135">
        <v>99</v>
      </c>
      <c r="C84" s="137">
        <f t="shared" si="0"/>
        <v>98</v>
      </c>
      <c r="D84" s="139">
        <f>COUNTIF(Table_246[Produto],Table_1[[#This Row],[Produtos]])</f>
        <v>1</v>
      </c>
      <c r="E84" s="141"/>
      <c r="F84" s="121"/>
    </row>
    <row r="85" spans="1:6" ht="18.75" customHeight="1">
      <c r="A85" s="129" t="s">
        <v>781</v>
      </c>
      <c r="B85" s="136">
        <v>1</v>
      </c>
      <c r="C85" s="138">
        <f t="shared" si="0"/>
        <v>1</v>
      </c>
      <c r="D85" s="140">
        <f>COUNTIF(Table_246[Produto],Table_1[[#This Row],[Produtos]])</f>
        <v>0</v>
      </c>
      <c r="E85" s="142">
        <v>0.4</v>
      </c>
      <c r="F85" s="121"/>
    </row>
    <row r="86" spans="1:6" ht="18.75" customHeight="1">
      <c r="A86" s="128" t="s">
        <v>1196</v>
      </c>
      <c r="B86" s="135">
        <v>1</v>
      </c>
      <c r="C86" s="137">
        <f t="shared" si="0"/>
        <v>1</v>
      </c>
      <c r="D86" s="139">
        <f>COUNTIF(Table_246[Produto],Table_1[[#This Row],[Produtos]])</f>
        <v>0</v>
      </c>
      <c r="E86" s="141">
        <v>5</v>
      </c>
      <c r="F86" s="121"/>
    </row>
    <row r="87" spans="1:6" ht="18.75" customHeight="1">
      <c r="A87" s="129" t="s">
        <v>112</v>
      </c>
      <c r="B87" s="136">
        <v>1</v>
      </c>
      <c r="C87" s="138">
        <f t="shared" si="0"/>
        <v>1</v>
      </c>
      <c r="D87" s="140">
        <f>COUNTIF(Table_246[Produto],Table_1[[#This Row],[Produtos]])</f>
        <v>0</v>
      </c>
      <c r="E87" s="142">
        <v>12</v>
      </c>
      <c r="F87" s="121"/>
    </row>
    <row r="88" spans="1:6" ht="18.75" customHeight="1">
      <c r="A88" s="128" t="s">
        <v>1197</v>
      </c>
      <c r="B88" s="135">
        <v>1</v>
      </c>
      <c r="C88" s="137">
        <f t="shared" si="0"/>
        <v>1</v>
      </c>
      <c r="D88" s="139">
        <f>COUNTIF(Table_246[Produto],Table_1[[#This Row],[Produtos]])</f>
        <v>0</v>
      </c>
      <c r="E88" s="141">
        <v>11</v>
      </c>
      <c r="F88" s="121"/>
    </row>
    <row r="89" spans="1:6" ht="18.75" customHeight="1">
      <c r="A89" s="130" t="s">
        <v>992</v>
      </c>
      <c r="B89" s="136">
        <v>99</v>
      </c>
      <c r="C89" s="138">
        <f t="shared" si="0"/>
        <v>96</v>
      </c>
      <c r="D89" s="140">
        <f>COUNTIF(Table_246[Produto],Table_1[[#This Row],[Produtos]])</f>
        <v>3</v>
      </c>
      <c r="E89" s="142">
        <v>15</v>
      </c>
      <c r="F89" s="121"/>
    </row>
    <row r="90" spans="1:6" ht="18.75" customHeight="1">
      <c r="A90" s="128" t="s">
        <v>1198</v>
      </c>
      <c r="B90" s="135">
        <v>1</v>
      </c>
      <c r="C90" s="137">
        <f t="shared" si="0"/>
        <v>1</v>
      </c>
      <c r="D90" s="139">
        <f>COUNTIF(Table_246[Produto],Table_1[[#This Row],[Produtos]])</f>
        <v>0</v>
      </c>
      <c r="E90" s="141">
        <v>11</v>
      </c>
      <c r="F90" s="121"/>
    </row>
    <row r="91" spans="1:6" ht="18.75" customHeight="1">
      <c r="A91" s="129" t="s">
        <v>1199</v>
      </c>
      <c r="B91" s="136">
        <v>1</v>
      </c>
      <c r="C91" s="138">
        <f t="shared" si="0"/>
        <v>1</v>
      </c>
      <c r="D91" s="140">
        <f>COUNTIF(Table_246[Produto],Table_1[[#This Row],[Produtos]])</f>
        <v>0</v>
      </c>
      <c r="E91" s="142">
        <v>11</v>
      </c>
      <c r="F91" s="121"/>
    </row>
    <row r="92" spans="1:6" ht="18.75" customHeight="1">
      <c r="A92" s="128" t="s">
        <v>1200</v>
      </c>
      <c r="B92" s="135">
        <v>1</v>
      </c>
      <c r="C92" s="137">
        <f t="shared" si="0"/>
        <v>1</v>
      </c>
      <c r="D92" s="139">
        <f>COUNTIF(Table_246[Produto],Table_1[[#This Row],[Produtos]])</f>
        <v>0</v>
      </c>
      <c r="E92" s="141">
        <v>11</v>
      </c>
      <c r="F92" s="121"/>
    </row>
    <row r="93" spans="1:6" ht="18.75" customHeight="1">
      <c r="A93" s="129" t="s">
        <v>1072</v>
      </c>
      <c r="B93" s="136">
        <v>999</v>
      </c>
      <c r="C93" s="138">
        <f t="shared" si="0"/>
        <v>990</v>
      </c>
      <c r="D93" s="140">
        <f>COUNTIF(Table_246[Produto],Table_1[[#This Row],[Produtos]])</f>
        <v>9</v>
      </c>
      <c r="E93" s="142">
        <v>0.7</v>
      </c>
      <c r="F93" s="121"/>
    </row>
    <row r="94" spans="1:6" ht="18.75" customHeight="1">
      <c r="A94" s="128" t="s">
        <v>1201</v>
      </c>
      <c r="B94" s="135">
        <v>999</v>
      </c>
      <c r="C94" s="137">
        <f t="shared" si="0"/>
        <v>964</v>
      </c>
      <c r="D94" s="139">
        <f>COUNTIF(Table_246[Produto],Table_1[[#This Row],[Produtos]])</f>
        <v>35</v>
      </c>
      <c r="E94" s="141">
        <v>0.7</v>
      </c>
      <c r="F94" s="121"/>
    </row>
    <row r="95" spans="1:6" ht="18.75" customHeight="1">
      <c r="A95" s="129" t="s">
        <v>1202</v>
      </c>
      <c r="B95" s="136">
        <v>1</v>
      </c>
      <c r="C95" s="138">
        <f t="shared" si="0"/>
        <v>1</v>
      </c>
      <c r="D95" s="140">
        <f>COUNTIF(Table_246[Produto],Table_1[[#This Row],[Produtos]])</f>
        <v>0</v>
      </c>
      <c r="E95" s="142">
        <v>10</v>
      </c>
      <c r="F95" s="121"/>
    </row>
    <row r="96" spans="1:6" ht="18.75" customHeight="1">
      <c r="A96" s="128" t="s">
        <v>341</v>
      </c>
      <c r="B96" s="135">
        <v>1</v>
      </c>
      <c r="C96" s="137">
        <f t="shared" si="0"/>
        <v>1</v>
      </c>
      <c r="D96" s="139">
        <f>COUNTIF(Table_246[Produto],Table_1[[#This Row],[Produtos]])</f>
        <v>0</v>
      </c>
      <c r="E96" s="141">
        <v>10</v>
      </c>
      <c r="F96" s="121"/>
    </row>
    <row r="97" spans="1:6" ht="18.75" customHeight="1">
      <c r="A97" s="129" t="s">
        <v>1203</v>
      </c>
      <c r="B97" s="136">
        <v>1</v>
      </c>
      <c r="C97" s="138">
        <f t="shared" si="0"/>
        <v>1</v>
      </c>
      <c r="D97" s="140">
        <f>COUNTIF(Table_246[Produto],Table_1[[#This Row],[Produtos]])</f>
        <v>0</v>
      </c>
      <c r="E97" s="142">
        <v>10</v>
      </c>
      <c r="F97" s="121"/>
    </row>
    <row r="98" spans="1:6" ht="18.75" customHeight="1">
      <c r="A98" s="128" t="s">
        <v>1204</v>
      </c>
      <c r="B98" s="135">
        <v>1</v>
      </c>
      <c r="C98" s="137">
        <f t="shared" si="0"/>
        <v>1</v>
      </c>
      <c r="D98" s="139">
        <f>COUNTIF(Table_246[Produto],Table_1[[#This Row],[Produtos]])</f>
        <v>0</v>
      </c>
      <c r="E98" s="141">
        <v>19</v>
      </c>
      <c r="F98" s="121"/>
    </row>
    <row r="99" spans="1:6" ht="18.75" customHeight="1">
      <c r="A99" s="129" t="s">
        <v>1205</v>
      </c>
      <c r="B99" s="136">
        <v>1</v>
      </c>
      <c r="C99" s="138">
        <f t="shared" si="0"/>
        <v>1</v>
      </c>
      <c r="D99" s="140">
        <f>COUNTIF(Table_246[Produto],Table_1[[#This Row],[Produtos]])</f>
        <v>0</v>
      </c>
      <c r="E99" s="142">
        <v>20</v>
      </c>
      <c r="F99" s="121"/>
    </row>
    <row r="100" spans="1:6" ht="18.75" customHeight="1">
      <c r="A100" s="128" t="s">
        <v>1206</v>
      </c>
      <c r="B100" s="135">
        <v>1</v>
      </c>
      <c r="C100" s="137">
        <f t="shared" si="0"/>
        <v>1</v>
      </c>
      <c r="D100" s="139">
        <f>COUNTIF(Table_246[Produto],Table_1[[#This Row],[Produtos]])</f>
        <v>0</v>
      </c>
      <c r="E100" s="141">
        <v>10</v>
      </c>
      <c r="F100" s="121"/>
    </row>
    <row r="101" spans="1:6" ht="18.75" customHeight="1">
      <c r="A101" s="129" t="s">
        <v>359</v>
      </c>
      <c r="B101" s="136">
        <v>1</v>
      </c>
      <c r="C101" s="138">
        <f t="shared" si="0"/>
        <v>1</v>
      </c>
      <c r="D101" s="140">
        <f>COUNTIF(Table_246[Produto],Table_1[[#This Row],[Produtos]])</f>
        <v>0</v>
      </c>
      <c r="E101" s="142">
        <v>11</v>
      </c>
      <c r="F101" s="121"/>
    </row>
    <row r="102" spans="1:6" ht="18.75" customHeight="1">
      <c r="A102" s="128" t="s">
        <v>1207</v>
      </c>
      <c r="B102" s="135">
        <v>1</v>
      </c>
      <c r="C102" s="137">
        <f t="shared" si="0"/>
        <v>1</v>
      </c>
      <c r="D102" s="139">
        <f>COUNTIF(Table_246[Produto],Table_1[[#This Row],[Produtos]])</f>
        <v>0</v>
      </c>
      <c r="E102" s="141">
        <v>14</v>
      </c>
      <c r="F102" s="121"/>
    </row>
    <row r="103" spans="1:6" ht="18.75" customHeight="1">
      <c r="A103" s="129" t="s">
        <v>240</v>
      </c>
      <c r="B103" s="136">
        <v>1</v>
      </c>
      <c r="C103" s="138">
        <f t="shared" si="0"/>
        <v>1</v>
      </c>
      <c r="D103" s="140">
        <f>COUNTIF(Table_246[Produto],Table_1[[#This Row],[Produtos]])</f>
        <v>0</v>
      </c>
      <c r="E103" s="142">
        <v>15</v>
      </c>
      <c r="F103" s="121"/>
    </row>
    <row r="104" spans="1:6" ht="18.75" customHeight="1">
      <c r="A104" s="128" t="s">
        <v>1208</v>
      </c>
      <c r="B104" s="135">
        <v>1</v>
      </c>
      <c r="C104" s="137">
        <f t="shared" si="0"/>
        <v>1</v>
      </c>
      <c r="D104" s="139">
        <f>COUNTIF(Table_246[Produto],Table_1[[#This Row],[Produtos]])</f>
        <v>0</v>
      </c>
      <c r="E104" s="141">
        <v>5</v>
      </c>
      <c r="F104" s="121"/>
    </row>
    <row r="105" spans="1:6" ht="18.75" customHeight="1">
      <c r="A105" s="129" t="s">
        <v>1209</v>
      </c>
      <c r="B105" s="136">
        <v>1</v>
      </c>
      <c r="C105" s="138">
        <f t="shared" si="0"/>
        <v>1</v>
      </c>
      <c r="D105" s="140">
        <f>COUNTIF(Table_246[Produto],Table_1[[#This Row],[Produtos]])</f>
        <v>0</v>
      </c>
      <c r="E105" s="142">
        <v>7</v>
      </c>
      <c r="F105" s="121"/>
    </row>
    <row r="106" spans="1:6" ht="18.75" customHeight="1">
      <c r="A106" s="128" t="s">
        <v>1210</v>
      </c>
      <c r="B106" s="135">
        <v>1</v>
      </c>
      <c r="C106" s="137">
        <f t="shared" si="0"/>
        <v>1</v>
      </c>
      <c r="D106" s="139">
        <f>COUNTIF(Table_246[Produto],Table_1[[#This Row],[Produtos]])</f>
        <v>0</v>
      </c>
      <c r="E106" s="141">
        <v>15</v>
      </c>
      <c r="F106" s="121"/>
    </row>
    <row r="107" spans="1:6" ht="18.75" customHeight="1">
      <c r="A107" s="129" t="s">
        <v>362</v>
      </c>
      <c r="B107" s="136">
        <v>1</v>
      </c>
      <c r="C107" s="138">
        <f t="shared" si="0"/>
        <v>1</v>
      </c>
      <c r="D107" s="140">
        <f>COUNTIF(Table_246[Produto],Table_1[[#This Row],[Produtos]])</f>
        <v>0</v>
      </c>
      <c r="E107" s="142">
        <v>18.8</v>
      </c>
      <c r="F107" s="121"/>
    </row>
    <row r="108" spans="1:6" ht="18.75" customHeight="1">
      <c r="A108" s="128" t="s">
        <v>250</v>
      </c>
      <c r="B108" s="135">
        <v>1</v>
      </c>
      <c r="C108" s="137">
        <f t="shared" si="0"/>
        <v>1</v>
      </c>
      <c r="D108" s="139">
        <f>COUNTIF(Table_246[Produto],Table_1[[#This Row],[Produtos]])</f>
        <v>0</v>
      </c>
      <c r="E108" s="141">
        <v>23.5</v>
      </c>
      <c r="F108" s="121"/>
    </row>
    <row r="109" spans="1:6" ht="18.75" customHeight="1">
      <c r="A109" s="130" t="s">
        <v>1062</v>
      </c>
      <c r="B109" s="136">
        <v>99</v>
      </c>
      <c r="C109" s="138">
        <f t="shared" si="0"/>
        <v>97</v>
      </c>
      <c r="D109" s="140">
        <f>COUNTIF(Table_246[Produto],Table_1[[#This Row],[Produtos]])</f>
        <v>2</v>
      </c>
      <c r="E109" s="142"/>
      <c r="F109" s="121"/>
    </row>
    <row r="110" spans="1:6" ht="18.75" customHeight="1">
      <c r="A110" s="128" t="s">
        <v>366</v>
      </c>
      <c r="B110" s="135">
        <v>1</v>
      </c>
      <c r="C110" s="137">
        <f t="shared" si="0"/>
        <v>1</v>
      </c>
      <c r="D110" s="139">
        <f>COUNTIF(Table_246[Produto],Table_1[[#This Row],[Produtos]])</f>
        <v>0</v>
      </c>
      <c r="E110" s="141">
        <v>2.5</v>
      </c>
      <c r="F110" s="121"/>
    </row>
    <row r="111" spans="1:6" ht="18.75" customHeight="1">
      <c r="A111" s="129" t="s">
        <v>724</v>
      </c>
      <c r="B111" s="136">
        <v>1</v>
      </c>
      <c r="C111" s="138">
        <f t="shared" si="0"/>
        <v>1</v>
      </c>
      <c r="D111" s="140">
        <f>COUNTIF(Table_246[Produto],Table_1[[#This Row],[Produtos]])</f>
        <v>0</v>
      </c>
      <c r="E111" s="142">
        <v>1</v>
      </c>
      <c r="F111" s="121"/>
    </row>
    <row r="112" spans="1:6" ht="18.75" customHeight="1">
      <c r="A112" s="128" t="s">
        <v>1211</v>
      </c>
      <c r="B112" s="135">
        <v>1</v>
      </c>
      <c r="C112" s="137">
        <f t="shared" si="0"/>
        <v>1</v>
      </c>
      <c r="D112" s="139">
        <f>COUNTIF(Table_246[Produto],Table_1[[#This Row],[Produtos]])</f>
        <v>0</v>
      </c>
      <c r="E112" s="141">
        <v>12.88</v>
      </c>
      <c r="F112" s="121"/>
    </row>
    <row r="113" spans="1:6" ht="18.75" customHeight="1">
      <c r="A113" s="130" t="s">
        <v>1002</v>
      </c>
      <c r="B113" s="136">
        <v>99</v>
      </c>
      <c r="C113" s="138">
        <f t="shared" si="0"/>
        <v>98</v>
      </c>
      <c r="D113" s="140">
        <f>COUNTIF(Table_246[Produto],Table_1[[#This Row],[Produtos]])</f>
        <v>1</v>
      </c>
      <c r="E113" s="142"/>
      <c r="F113" s="121"/>
    </row>
    <row r="114" spans="1:6" ht="18.75" customHeight="1">
      <c r="A114" s="128" t="s">
        <v>1212</v>
      </c>
      <c r="B114" s="135">
        <v>1</v>
      </c>
      <c r="C114" s="137">
        <f t="shared" si="0"/>
        <v>1</v>
      </c>
      <c r="D114" s="139">
        <f>COUNTIF(Table_246[Produto],Table_1[[#This Row],[Produtos]])</f>
        <v>0</v>
      </c>
      <c r="E114" s="141">
        <v>13</v>
      </c>
      <c r="F114" s="121"/>
    </row>
    <row r="115" spans="1:6" ht="18.75" customHeight="1">
      <c r="A115" s="129" t="s">
        <v>1213</v>
      </c>
      <c r="B115" s="136">
        <v>1</v>
      </c>
      <c r="C115" s="138">
        <f t="shared" si="0"/>
        <v>1</v>
      </c>
      <c r="D115" s="140">
        <f>COUNTIF(Table_246[Produto],Table_1[[#This Row],[Produtos]])</f>
        <v>0</v>
      </c>
      <c r="E115" s="142">
        <v>3.5</v>
      </c>
      <c r="F115" s="121"/>
    </row>
    <row r="116" spans="1:6" ht="18.75" customHeight="1">
      <c r="A116" s="128" t="s">
        <v>629</v>
      </c>
      <c r="B116" s="135">
        <v>1</v>
      </c>
      <c r="C116" s="137">
        <f t="shared" si="0"/>
        <v>1</v>
      </c>
      <c r="D116" s="139">
        <f>COUNTIF(Table_246[Produto],Table_1[[#This Row],[Produtos]])</f>
        <v>0</v>
      </c>
      <c r="E116" s="141">
        <v>11.5</v>
      </c>
      <c r="F116" s="121"/>
    </row>
    <row r="117" spans="1:6" ht="18.75" customHeight="1">
      <c r="A117" s="130" t="s">
        <v>1044</v>
      </c>
      <c r="B117" s="136">
        <v>99</v>
      </c>
      <c r="C117" s="138">
        <f t="shared" si="0"/>
        <v>98</v>
      </c>
      <c r="D117" s="140">
        <f>COUNTIF(Table_246[Produto],Table_1[[#This Row],[Produtos]])</f>
        <v>1</v>
      </c>
      <c r="E117" s="142"/>
      <c r="F117" s="121"/>
    </row>
    <row r="118" spans="1:6" ht="18.75" customHeight="1">
      <c r="A118" s="130" t="s">
        <v>995</v>
      </c>
      <c r="B118" s="135">
        <v>99</v>
      </c>
      <c r="C118" s="137">
        <f t="shared" si="0"/>
        <v>98</v>
      </c>
      <c r="D118" s="139">
        <f>COUNTIF(Table_246[Produto],Table_1[[#This Row],[Produtos]])</f>
        <v>1</v>
      </c>
      <c r="E118" s="141"/>
      <c r="F118" s="121"/>
    </row>
    <row r="119" spans="1:6" ht="18.75" customHeight="1">
      <c r="A119" s="129" t="s">
        <v>1012</v>
      </c>
      <c r="B119" s="136">
        <v>7</v>
      </c>
      <c r="C119" s="138">
        <f t="shared" si="0"/>
        <v>-14</v>
      </c>
      <c r="D119" s="140">
        <f>COUNTIF(Table_246[Produto],Table_1[[#This Row],[Produtos]])</f>
        <v>21</v>
      </c>
      <c r="E119" s="142">
        <v>7.5</v>
      </c>
      <c r="F119" s="121"/>
    </row>
    <row r="120" spans="1:6" ht="18.75" customHeight="1">
      <c r="A120" s="128" t="s">
        <v>1214</v>
      </c>
      <c r="B120" s="135">
        <v>1</v>
      </c>
      <c r="C120" s="137">
        <f t="shared" si="0"/>
        <v>1</v>
      </c>
      <c r="D120" s="139">
        <f>COUNTIF(Table_246[Produto],Table_1[[#This Row],[Produtos]])</f>
        <v>0</v>
      </c>
      <c r="E120" s="141">
        <v>10</v>
      </c>
      <c r="F120" s="121"/>
    </row>
    <row r="121" spans="1:6" ht="18.75" customHeight="1">
      <c r="A121" s="129" t="s">
        <v>1215</v>
      </c>
      <c r="B121" s="136">
        <v>1</v>
      </c>
      <c r="C121" s="138">
        <f t="shared" si="0"/>
        <v>1</v>
      </c>
      <c r="D121" s="140">
        <f>COUNTIF(Table_246[Produto],Table_1[[#This Row],[Produtos]])</f>
        <v>0</v>
      </c>
      <c r="E121" s="142">
        <v>17</v>
      </c>
      <c r="F121" s="121"/>
    </row>
    <row r="122" spans="1:6" ht="18.75" customHeight="1">
      <c r="A122" s="130" t="s">
        <v>1022</v>
      </c>
      <c r="B122" s="135">
        <v>99</v>
      </c>
      <c r="C122" s="137">
        <f t="shared" si="0"/>
        <v>97</v>
      </c>
      <c r="D122" s="139">
        <f>COUNTIF(Table_246[Produto],Table_1[[#This Row],[Produtos]])</f>
        <v>2</v>
      </c>
      <c r="E122" s="141"/>
      <c r="F122" s="121"/>
    </row>
    <row r="123" spans="1:6" ht="18.75" customHeight="1">
      <c r="A123" s="130" t="s">
        <v>1049</v>
      </c>
      <c r="B123" s="136">
        <v>99</v>
      </c>
      <c r="C123" s="138">
        <f t="shared" si="0"/>
        <v>98</v>
      </c>
      <c r="D123" s="140">
        <f>COUNTIF(Table_246[Produto],Table_1[[#This Row],[Produtos]])</f>
        <v>1</v>
      </c>
      <c r="E123" s="142"/>
      <c r="F123" s="121"/>
    </row>
    <row r="124" spans="1:6" ht="18.75" customHeight="1">
      <c r="A124" s="128" t="s">
        <v>390</v>
      </c>
      <c r="B124" s="135">
        <v>1</v>
      </c>
      <c r="C124" s="137">
        <f t="shared" si="0"/>
        <v>1</v>
      </c>
      <c r="D124" s="139">
        <f>COUNTIF(Table_246[Produto],Table_1[[#This Row],[Produtos]])</f>
        <v>0</v>
      </c>
      <c r="E124" s="141"/>
      <c r="F124" s="121"/>
    </row>
    <row r="125" spans="1:6" ht="18.75" customHeight="1">
      <c r="A125" s="129" t="s">
        <v>1216</v>
      </c>
      <c r="B125" s="136">
        <v>1</v>
      </c>
      <c r="C125" s="138">
        <f t="shared" si="0"/>
        <v>1</v>
      </c>
      <c r="D125" s="140">
        <f>COUNTIF(Table_246[Produto],Table_1[[#This Row],[Produtos]])</f>
        <v>0</v>
      </c>
      <c r="E125" s="142">
        <v>15</v>
      </c>
      <c r="F125" s="121"/>
    </row>
    <row r="126" spans="1:6" ht="18.75" customHeight="1">
      <c r="A126" s="128" t="s">
        <v>1217</v>
      </c>
      <c r="B126" s="135">
        <v>1</v>
      </c>
      <c r="C126" s="137">
        <f t="shared" si="0"/>
        <v>1</v>
      </c>
      <c r="D126" s="139">
        <f>COUNTIF(Table_246[Produto],Table_1[[#This Row],[Produtos]])</f>
        <v>0</v>
      </c>
      <c r="E126" s="141">
        <v>17</v>
      </c>
      <c r="F126" s="121"/>
    </row>
    <row r="127" spans="1:6" ht="18.75" customHeight="1">
      <c r="A127" s="129" t="s">
        <v>327</v>
      </c>
      <c r="B127" s="136">
        <v>1</v>
      </c>
      <c r="C127" s="138">
        <f t="shared" si="0"/>
        <v>1</v>
      </c>
      <c r="D127" s="140">
        <f>COUNTIF(Table_246[Produto],Table_1[[#This Row],[Produtos]])</f>
        <v>0</v>
      </c>
      <c r="E127" s="142">
        <v>15</v>
      </c>
      <c r="F127" s="121"/>
    </row>
    <row r="128" spans="1:6" ht="18.75" customHeight="1">
      <c r="A128" s="128" t="s">
        <v>211</v>
      </c>
      <c r="B128" s="135">
        <v>1</v>
      </c>
      <c r="C128" s="137">
        <f t="shared" si="0"/>
        <v>1</v>
      </c>
      <c r="D128" s="139">
        <f>COUNTIF(Table_246[Produto],Table_1[[#This Row],[Produtos]])</f>
        <v>0</v>
      </c>
      <c r="E128" s="141">
        <v>17</v>
      </c>
      <c r="F128" s="121"/>
    </row>
    <row r="129" spans="1:6" ht="18.75" customHeight="1">
      <c r="A129" s="129" t="s">
        <v>140</v>
      </c>
      <c r="B129" s="136">
        <v>1</v>
      </c>
      <c r="C129" s="138">
        <f t="shared" si="0"/>
        <v>1</v>
      </c>
      <c r="D129" s="140">
        <f>COUNTIF(Table_246[Produto],Table_1[[#This Row],[Produtos]])</f>
        <v>0</v>
      </c>
      <c r="E129" s="142">
        <v>20</v>
      </c>
      <c r="F129" s="121"/>
    </row>
    <row r="130" spans="1:6" ht="18.75" customHeight="1">
      <c r="A130" s="128" t="s">
        <v>1218</v>
      </c>
      <c r="B130" s="135">
        <v>1</v>
      </c>
      <c r="C130" s="137">
        <f t="shared" si="0"/>
        <v>-1</v>
      </c>
      <c r="D130" s="139">
        <f>COUNTIF(Table_246[Produto],Table_1[[#This Row],[Produtos]])</f>
        <v>2</v>
      </c>
      <c r="E130" s="141">
        <v>20</v>
      </c>
      <c r="F130" s="121"/>
    </row>
    <row r="131" spans="1:6" ht="18.75" customHeight="1">
      <c r="A131" s="129" t="s">
        <v>183</v>
      </c>
      <c r="B131" s="136">
        <v>1</v>
      </c>
      <c r="C131" s="138">
        <f t="shared" si="0"/>
        <v>1</v>
      </c>
      <c r="D131" s="140">
        <f>COUNTIF(Table_246[Produto],Table_1[[#This Row],[Produtos]])</f>
        <v>0</v>
      </c>
      <c r="E131" s="142">
        <v>5</v>
      </c>
      <c r="F131" s="121"/>
    </row>
    <row r="132" spans="1:6" ht="18.75" customHeight="1">
      <c r="A132" s="128" t="s">
        <v>1219</v>
      </c>
      <c r="B132" s="135">
        <v>1</v>
      </c>
      <c r="C132" s="137">
        <f t="shared" si="0"/>
        <v>1</v>
      </c>
      <c r="D132" s="139">
        <f>COUNTIF(Table_246[Produto],Table_1[[#This Row],[Produtos]])</f>
        <v>0</v>
      </c>
      <c r="E132" s="141">
        <v>8.5</v>
      </c>
      <c r="F132" s="121"/>
    </row>
    <row r="133" spans="1:6" ht="18.75" customHeight="1">
      <c r="A133" s="130" t="s">
        <v>1037</v>
      </c>
      <c r="B133" s="136">
        <v>99</v>
      </c>
      <c r="C133" s="138">
        <f t="shared" si="0"/>
        <v>97</v>
      </c>
      <c r="D133" s="140">
        <f>COUNTIF(Table_246[Produto],Table_1[[#This Row],[Produtos]])</f>
        <v>2</v>
      </c>
      <c r="E133" s="142"/>
      <c r="F133" s="121"/>
    </row>
    <row r="134" spans="1:6" ht="18.75" customHeight="1">
      <c r="A134" s="128" t="s">
        <v>1220</v>
      </c>
      <c r="B134" s="135">
        <v>1</v>
      </c>
      <c r="C134" s="137">
        <f t="shared" si="0"/>
        <v>1</v>
      </c>
      <c r="D134" s="139">
        <f>COUNTIF(Table_246[Produto],Table_1[[#This Row],[Produtos]])</f>
        <v>0</v>
      </c>
      <c r="E134" s="141">
        <v>20</v>
      </c>
      <c r="F134" s="121"/>
    </row>
    <row r="135" spans="1:6" ht="18.75" customHeight="1">
      <c r="A135" s="129" t="s">
        <v>1221</v>
      </c>
      <c r="B135" s="136">
        <v>1</v>
      </c>
      <c r="C135" s="138">
        <f t="shared" si="0"/>
        <v>1</v>
      </c>
      <c r="D135" s="140">
        <f>COUNTIF(Table_246[Produto],Table_1[[#This Row],[Produtos]])</f>
        <v>0</v>
      </c>
      <c r="E135" s="142">
        <v>25</v>
      </c>
      <c r="F135" s="121"/>
    </row>
    <row r="136" spans="1:6" ht="18.75" customHeight="1">
      <c r="A136" s="128" t="s">
        <v>1222</v>
      </c>
      <c r="B136" s="135">
        <v>1</v>
      </c>
      <c r="C136" s="137">
        <f t="shared" si="0"/>
        <v>1</v>
      </c>
      <c r="D136" s="139">
        <f>COUNTIF(Table_246[Produto],Table_1[[#This Row],[Produtos]])</f>
        <v>0</v>
      </c>
      <c r="E136" s="141">
        <v>2</v>
      </c>
      <c r="F136" s="121"/>
    </row>
    <row r="137" spans="1:6" ht="18.75" customHeight="1">
      <c r="A137" s="129" t="s">
        <v>1223</v>
      </c>
      <c r="B137" s="136">
        <v>1</v>
      </c>
      <c r="C137" s="138">
        <f t="shared" si="0"/>
        <v>1</v>
      </c>
      <c r="D137" s="140">
        <f>COUNTIF(Table_246[Produto],Table_1[[#This Row],[Produtos]])</f>
        <v>0</v>
      </c>
      <c r="E137" s="142">
        <v>2.5</v>
      </c>
      <c r="F137" s="121"/>
    </row>
    <row r="138" spans="1:6" ht="18.75" customHeight="1">
      <c r="A138" s="128" t="s">
        <v>1224</v>
      </c>
      <c r="B138" s="135">
        <v>1</v>
      </c>
      <c r="C138" s="137">
        <f t="shared" si="0"/>
        <v>1</v>
      </c>
      <c r="D138" s="139">
        <f>COUNTIF(Table_246[Produto],Table_1[[#This Row],[Produtos]])</f>
        <v>0</v>
      </c>
      <c r="E138" s="141">
        <v>44</v>
      </c>
      <c r="F138" s="121"/>
    </row>
    <row r="139" spans="1:6" ht="18.75" customHeight="1">
      <c r="A139" s="129" t="s">
        <v>167</v>
      </c>
      <c r="B139" s="136">
        <v>1</v>
      </c>
      <c r="C139" s="138">
        <f t="shared" si="0"/>
        <v>1</v>
      </c>
      <c r="D139" s="140">
        <f>COUNTIF(Table_246[Produto],Table_1[[#This Row],[Produtos]])</f>
        <v>0</v>
      </c>
      <c r="E139" s="142">
        <v>21.99</v>
      </c>
      <c r="F139" s="121"/>
    </row>
    <row r="140" spans="1:6" ht="18.75" customHeight="1">
      <c r="A140" s="130" t="s">
        <v>1073</v>
      </c>
      <c r="B140" s="135">
        <v>99</v>
      </c>
      <c r="C140" s="137">
        <f t="shared" si="0"/>
        <v>96</v>
      </c>
      <c r="D140" s="139">
        <f>COUNTIF(Table_246[Produto],Table_1[[#This Row],[Produtos]])</f>
        <v>3</v>
      </c>
      <c r="E140" s="141"/>
      <c r="F140" s="121"/>
    </row>
    <row r="141" spans="1:6" ht="18.75" customHeight="1">
      <c r="A141" s="129" t="s">
        <v>1225</v>
      </c>
      <c r="B141" s="136">
        <v>1</v>
      </c>
      <c r="C141" s="138">
        <f t="shared" si="0"/>
        <v>1</v>
      </c>
      <c r="D141" s="140">
        <f>COUNTIF(Table_246[Produto],Table_1[[#This Row],[Produtos]])</f>
        <v>0</v>
      </c>
      <c r="E141" s="142"/>
      <c r="F141" s="121"/>
    </row>
    <row r="142" spans="1:6" ht="18.75" customHeight="1">
      <c r="A142" s="128" t="s">
        <v>1226</v>
      </c>
      <c r="B142" s="135">
        <v>1</v>
      </c>
      <c r="C142" s="137">
        <f t="shared" si="0"/>
        <v>1</v>
      </c>
      <c r="D142" s="139">
        <f>COUNTIF(Table_246[Produto],Table_1[[#This Row],[Produtos]])</f>
        <v>0</v>
      </c>
      <c r="E142" s="141">
        <v>48</v>
      </c>
      <c r="F142" s="121"/>
    </row>
    <row r="143" spans="1:6" ht="18.75" customHeight="1">
      <c r="A143" s="129" t="s">
        <v>1227</v>
      </c>
      <c r="B143" s="136">
        <v>1</v>
      </c>
      <c r="C143" s="138">
        <f t="shared" si="0"/>
        <v>1</v>
      </c>
      <c r="D143" s="140">
        <f>COUNTIF(Table_246[Produto],Table_1[[#This Row],[Produtos]])</f>
        <v>0</v>
      </c>
      <c r="E143" s="142"/>
      <c r="F143" s="121"/>
    </row>
    <row r="144" spans="1:6" ht="18.75" customHeight="1">
      <c r="A144" s="128" t="s">
        <v>1010</v>
      </c>
      <c r="B144" s="135">
        <v>3</v>
      </c>
      <c r="C144" s="137">
        <f t="shared" si="0"/>
        <v>2</v>
      </c>
      <c r="D144" s="139">
        <f>COUNTIF(Table_246[Produto],Table_1[[#This Row],[Produtos]])</f>
        <v>1</v>
      </c>
      <c r="E144" s="141">
        <v>2.5</v>
      </c>
      <c r="F144" s="121"/>
    </row>
    <row r="145" spans="1:6" ht="18.75" customHeight="1">
      <c r="A145" s="129" t="s">
        <v>398</v>
      </c>
      <c r="B145" s="136">
        <v>1</v>
      </c>
      <c r="C145" s="138">
        <f t="shared" si="0"/>
        <v>1</v>
      </c>
      <c r="D145" s="140">
        <f>COUNTIF(Table_246[Produto],Table_1[[#This Row],[Produtos]])</f>
        <v>0</v>
      </c>
      <c r="E145" s="142">
        <f>39.55/100</f>
        <v>0.39549999999999996</v>
      </c>
      <c r="F145" s="121"/>
    </row>
    <row r="146" spans="1:6" ht="18.75" customHeight="1">
      <c r="A146" s="128" t="s">
        <v>1228</v>
      </c>
      <c r="B146" s="135">
        <v>1</v>
      </c>
      <c r="C146" s="137">
        <f t="shared" si="0"/>
        <v>1</v>
      </c>
      <c r="D146" s="139">
        <f>COUNTIF(Table_246[Produto],Table_1[[#This Row],[Produtos]])</f>
        <v>0</v>
      </c>
      <c r="E146" s="141">
        <v>15.11</v>
      </c>
      <c r="F146" s="121"/>
    </row>
    <row r="147" spans="1:6" ht="18.75" customHeight="1">
      <c r="A147" s="129" t="s">
        <v>1229</v>
      </c>
      <c r="B147" s="136">
        <v>1</v>
      </c>
      <c r="C147" s="138">
        <f t="shared" si="0"/>
        <v>1</v>
      </c>
      <c r="D147" s="140">
        <f>COUNTIF(Table_246[Produto],Table_1[[#This Row],[Produtos]])</f>
        <v>0</v>
      </c>
      <c r="E147" s="142">
        <v>2.5</v>
      </c>
      <c r="F147" s="121"/>
    </row>
    <row r="148" spans="1:6" ht="18.75" customHeight="1">
      <c r="A148" s="128" t="s">
        <v>1230</v>
      </c>
      <c r="B148" s="135">
        <v>1</v>
      </c>
      <c r="C148" s="137">
        <f t="shared" si="0"/>
        <v>1</v>
      </c>
      <c r="D148" s="139">
        <f>COUNTIF(Table_246[Produto],Table_1[[#This Row],[Produtos]])</f>
        <v>0</v>
      </c>
      <c r="E148" s="141"/>
      <c r="F148" s="121"/>
    </row>
    <row r="149" spans="1:6" ht="18.75" customHeight="1">
      <c r="A149" s="129" t="s">
        <v>1231</v>
      </c>
      <c r="B149" s="136">
        <v>1</v>
      </c>
      <c r="C149" s="138">
        <f t="shared" si="0"/>
        <v>1</v>
      </c>
      <c r="D149" s="140">
        <f>COUNTIF(Table_246[Produto],Table_1[[#This Row],[Produtos]])</f>
        <v>0</v>
      </c>
      <c r="E149" s="142">
        <v>20</v>
      </c>
      <c r="F149" s="121"/>
    </row>
    <row r="150" spans="1:6" ht="18.75" customHeight="1">
      <c r="A150" s="128" t="s">
        <v>1232</v>
      </c>
      <c r="B150" s="135">
        <v>1</v>
      </c>
      <c r="C150" s="137">
        <f t="shared" si="0"/>
        <v>1</v>
      </c>
      <c r="D150" s="139">
        <f>COUNTIF(Table_246[Produto],Table_1[[#This Row],[Produtos]])</f>
        <v>0</v>
      </c>
      <c r="E150" s="141">
        <v>8</v>
      </c>
      <c r="F150" s="121"/>
    </row>
    <row r="151" spans="1:6" ht="18.75" customHeight="1">
      <c r="A151" s="129" t="s">
        <v>476</v>
      </c>
      <c r="B151" s="136">
        <v>1</v>
      </c>
      <c r="C151" s="138">
        <f t="shared" si="0"/>
        <v>1</v>
      </c>
      <c r="D151" s="140">
        <f>COUNTIF(Table_246[Produto],Table_1[[#This Row],[Produtos]])</f>
        <v>0</v>
      </c>
      <c r="E151" s="142">
        <v>9</v>
      </c>
      <c r="F151" s="121"/>
    </row>
    <row r="152" spans="1:6" ht="18.75" customHeight="1">
      <c r="A152" s="128" t="s">
        <v>1233</v>
      </c>
      <c r="B152" s="135">
        <v>1</v>
      </c>
      <c r="C152" s="137">
        <f t="shared" si="0"/>
        <v>1</v>
      </c>
      <c r="D152" s="139">
        <f>COUNTIF(Table_246[Produto],Table_1[[#This Row],[Produtos]])</f>
        <v>0</v>
      </c>
      <c r="E152" s="141">
        <v>17</v>
      </c>
      <c r="F152" s="121"/>
    </row>
    <row r="153" spans="1:6" ht="18.75" customHeight="1">
      <c r="A153" s="129" t="s">
        <v>231</v>
      </c>
      <c r="B153" s="136">
        <v>1</v>
      </c>
      <c r="C153" s="138">
        <f t="shared" si="0"/>
        <v>1</v>
      </c>
      <c r="D153" s="140">
        <f>COUNTIF(Table_246[Produto],Table_1[[#This Row],[Produtos]])</f>
        <v>0</v>
      </c>
      <c r="E153" s="142">
        <v>18</v>
      </c>
      <c r="F153" s="121"/>
    </row>
    <row r="154" spans="1:6" ht="18.75" customHeight="1">
      <c r="A154" s="128" t="s">
        <v>177</v>
      </c>
      <c r="B154" s="135">
        <v>1</v>
      </c>
      <c r="C154" s="137">
        <f t="shared" si="0"/>
        <v>1</v>
      </c>
      <c r="D154" s="139">
        <f>COUNTIF(Table_246[Produto],Table_1[[#This Row],[Produtos]])</f>
        <v>0</v>
      </c>
      <c r="E154" s="141">
        <v>8</v>
      </c>
      <c r="F154" s="121"/>
    </row>
    <row r="155" spans="1:6" ht="18.75" customHeight="1">
      <c r="A155" s="129" t="s">
        <v>1234</v>
      </c>
      <c r="B155" s="136">
        <v>1</v>
      </c>
      <c r="C155" s="138">
        <f t="shared" si="0"/>
        <v>1</v>
      </c>
      <c r="D155" s="140">
        <f>COUNTIF(Table_246[Produto],Table_1[[#This Row],[Produtos]])</f>
        <v>0</v>
      </c>
      <c r="E155" s="142">
        <v>18</v>
      </c>
      <c r="F155" s="121"/>
    </row>
    <row r="156" spans="1:6" ht="18.75" customHeight="1">
      <c r="A156" s="128" t="s">
        <v>599</v>
      </c>
      <c r="B156" s="135">
        <v>1</v>
      </c>
      <c r="C156" s="137">
        <f t="shared" si="0"/>
        <v>1</v>
      </c>
      <c r="D156" s="139">
        <f>COUNTIF(Table_246[Produto],Table_1[[#This Row],[Produtos]])</f>
        <v>0</v>
      </c>
      <c r="E156" s="141">
        <v>12</v>
      </c>
      <c r="F156" s="121"/>
    </row>
    <row r="157" spans="1:6" ht="18.75" customHeight="1">
      <c r="A157" s="129" t="s">
        <v>1235</v>
      </c>
      <c r="B157" s="136">
        <v>1</v>
      </c>
      <c r="C157" s="138">
        <f t="shared" si="0"/>
        <v>1</v>
      </c>
      <c r="D157" s="140">
        <f>COUNTIF(Table_246[Produto],Table_1[[#This Row],[Produtos]])</f>
        <v>0</v>
      </c>
      <c r="E157" s="142">
        <v>35</v>
      </c>
      <c r="F157" s="121"/>
    </row>
    <row r="158" spans="1:6" ht="18.75" customHeight="1">
      <c r="A158" s="128" t="s">
        <v>1236</v>
      </c>
      <c r="B158" s="135">
        <v>1</v>
      </c>
      <c r="C158" s="137">
        <f t="shared" si="0"/>
        <v>1</v>
      </c>
      <c r="D158" s="139">
        <f>COUNTIF(Table_246[Produto],Table_1[[#This Row],[Produtos]])</f>
        <v>0</v>
      </c>
      <c r="E158" s="141">
        <v>18</v>
      </c>
      <c r="F158" s="121"/>
    </row>
    <row r="159" spans="1:6" ht="18.75" customHeight="1">
      <c r="A159" s="129" t="s">
        <v>1237</v>
      </c>
      <c r="B159" s="136">
        <v>1</v>
      </c>
      <c r="C159" s="138">
        <f t="shared" si="0"/>
        <v>1</v>
      </c>
      <c r="D159" s="140">
        <f>COUNTIF(Table_246[Produto],Table_1[[#This Row],[Produtos]])</f>
        <v>0</v>
      </c>
      <c r="E159" s="142">
        <v>25</v>
      </c>
      <c r="F159" s="121"/>
    </row>
    <row r="160" spans="1:6" ht="18.75" customHeight="1">
      <c r="A160" s="130" t="s">
        <v>1027</v>
      </c>
      <c r="B160" s="135">
        <v>99</v>
      </c>
      <c r="C160" s="137">
        <f t="shared" si="0"/>
        <v>98</v>
      </c>
      <c r="D160" s="139">
        <f>COUNTIF(Table_246[Produto],Table_1[[#This Row],[Produtos]])</f>
        <v>1</v>
      </c>
      <c r="E160" s="141"/>
      <c r="F160" s="121"/>
    </row>
    <row r="161" spans="1:6" ht="18.75" customHeight="1">
      <c r="A161" s="129" t="s">
        <v>253</v>
      </c>
      <c r="B161" s="136">
        <v>1</v>
      </c>
      <c r="C161" s="138">
        <f t="shared" si="0"/>
        <v>1</v>
      </c>
      <c r="D161" s="140">
        <f>COUNTIF(Table_246[Produto],Table_1[[#This Row],[Produtos]])</f>
        <v>0</v>
      </c>
      <c r="E161" s="142">
        <v>3.5</v>
      </c>
      <c r="F161" s="121"/>
    </row>
    <row r="162" spans="1:6" ht="18.75" customHeight="1">
      <c r="A162" s="128" t="s">
        <v>463</v>
      </c>
      <c r="B162" s="135">
        <v>1</v>
      </c>
      <c r="C162" s="137">
        <f t="shared" si="0"/>
        <v>1</v>
      </c>
      <c r="D162" s="139">
        <f>COUNTIF(Table_246[Produto],Table_1[[#This Row],[Produtos]])</f>
        <v>0</v>
      </c>
      <c r="E162" s="141">
        <v>9</v>
      </c>
      <c r="F162" s="121"/>
    </row>
    <row r="163" spans="1:6" ht="18.75" customHeight="1">
      <c r="A163" s="129" t="s">
        <v>1238</v>
      </c>
      <c r="B163" s="136">
        <v>1</v>
      </c>
      <c r="C163" s="138">
        <f t="shared" si="0"/>
        <v>1</v>
      </c>
      <c r="D163" s="140">
        <f>COUNTIF(Table_246[Produto],Table_1[[#This Row],[Produtos]])</f>
        <v>0</v>
      </c>
      <c r="E163" s="142">
        <v>4</v>
      </c>
      <c r="F163" s="121"/>
    </row>
    <row r="164" spans="1:6" ht="18.75" customHeight="1">
      <c r="A164" s="128" t="s">
        <v>1239</v>
      </c>
      <c r="B164" s="135">
        <v>1</v>
      </c>
      <c r="C164" s="137">
        <f t="shared" si="0"/>
        <v>1</v>
      </c>
      <c r="D164" s="139">
        <f>COUNTIF(Table_246[Produto],Table_1[[#This Row],[Produtos]])</f>
        <v>0</v>
      </c>
      <c r="E164" s="141">
        <v>9</v>
      </c>
      <c r="F164" s="121"/>
    </row>
    <row r="165" spans="1:6" ht="18.75" customHeight="1">
      <c r="A165" s="129" t="s">
        <v>1240</v>
      </c>
      <c r="B165" s="136">
        <v>1</v>
      </c>
      <c r="C165" s="138">
        <f t="shared" si="0"/>
        <v>1</v>
      </c>
      <c r="D165" s="140">
        <f>COUNTIF(Table_246[Produto],Table_1[[#This Row],[Produtos]])</f>
        <v>0</v>
      </c>
      <c r="E165" s="142">
        <v>35</v>
      </c>
      <c r="F165" s="121"/>
    </row>
    <row r="166" spans="1:6" ht="18.75" customHeight="1">
      <c r="A166" s="128" t="s">
        <v>1241</v>
      </c>
      <c r="B166" s="135">
        <v>1</v>
      </c>
      <c r="C166" s="137">
        <f t="shared" si="0"/>
        <v>1</v>
      </c>
      <c r="D166" s="139">
        <f>COUNTIF(Table_246[Produto],Table_1[[#This Row],[Produtos]])</f>
        <v>0</v>
      </c>
      <c r="E166" s="141">
        <v>15</v>
      </c>
      <c r="F166" s="121"/>
    </row>
    <row r="167" spans="1:6" ht="18.75" customHeight="1">
      <c r="A167" s="129" t="s">
        <v>1242</v>
      </c>
      <c r="B167" s="136">
        <v>1</v>
      </c>
      <c r="C167" s="138">
        <f t="shared" si="0"/>
        <v>1</v>
      </c>
      <c r="D167" s="140">
        <f>COUNTIF(Table_246[Produto],Table_1[[#This Row],[Produtos]])</f>
        <v>0</v>
      </c>
      <c r="E167" s="52">
        <v>4</v>
      </c>
      <c r="F167" s="121"/>
    </row>
    <row r="168" spans="1:6" ht="18.75" customHeight="1">
      <c r="A168" s="128" t="s">
        <v>1243</v>
      </c>
      <c r="B168" s="135">
        <v>1</v>
      </c>
      <c r="C168" s="137">
        <f t="shared" si="0"/>
        <v>1</v>
      </c>
      <c r="D168" s="139">
        <f>COUNTIF(Table_246[Produto],Table_1[[#This Row],[Produtos]])</f>
        <v>0</v>
      </c>
      <c r="E168" s="143">
        <v>4</v>
      </c>
      <c r="F168" s="121"/>
    </row>
    <row r="169" spans="1:6" ht="18.75" customHeight="1">
      <c r="A169" s="129" t="s">
        <v>1244</v>
      </c>
      <c r="B169" s="136">
        <v>1</v>
      </c>
      <c r="C169" s="138">
        <f t="shared" si="0"/>
        <v>1</v>
      </c>
      <c r="D169" s="140">
        <f>COUNTIF(Table_246[Produto],Table_1[[#This Row],[Produtos]])</f>
        <v>0</v>
      </c>
      <c r="E169" s="52">
        <v>4</v>
      </c>
      <c r="F169" s="121"/>
    </row>
    <row r="170" spans="1:6" ht="18.75" customHeight="1">
      <c r="A170" s="128" t="s">
        <v>1245</v>
      </c>
      <c r="B170" s="135">
        <v>1</v>
      </c>
      <c r="C170" s="137">
        <f t="shared" si="0"/>
        <v>1</v>
      </c>
      <c r="D170" s="139">
        <f>COUNTIF(Table_246[Produto],Table_1[[#This Row],[Produtos]])</f>
        <v>0</v>
      </c>
      <c r="E170" s="141">
        <v>15</v>
      </c>
      <c r="F170" s="121"/>
    </row>
    <row r="171" spans="1:6" ht="18.75" customHeight="1">
      <c r="A171" s="129" t="s">
        <v>1246</v>
      </c>
      <c r="B171" s="136">
        <v>1</v>
      </c>
      <c r="C171" s="138">
        <f t="shared" si="0"/>
        <v>1</v>
      </c>
      <c r="D171" s="140">
        <f>COUNTIF(Table_246[Produto],Table_1[[#This Row],[Produtos]])</f>
        <v>0</v>
      </c>
      <c r="E171" s="142">
        <v>10</v>
      </c>
      <c r="F171" s="121"/>
    </row>
    <row r="172" spans="1:6" ht="18.75" customHeight="1">
      <c r="A172" s="128" t="s">
        <v>1247</v>
      </c>
      <c r="B172" s="135">
        <v>1</v>
      </c>
      <c r="C172" s="137">
        <f t="shared" si="0"/>
        <v>1</v>
      </c>
      <c r="D172" s="139">
        <f>COUNTIF(Table_246[Produto],Table_1[[#This Row],[Produtos]])</f>
        <v>0</v>
      </c>
      <c r="E172" s="141">
        <v>32</v>
      </c>
      <c r="F172" s="121"/>
    </row>
    <row r="173" spans="1:6" ht="18.75" customHeight="1">
      <c r="A173" s="129" t="s">
        <v>1248</v>
      </c>
      <c r="B173" s="136">
        <v>1</v>
      </c>
      <c r="C173" s="138">
        <f t="shared" si="0"/>
        <v>1</v>
      </c>
      <c r="D173" s="140">
        <f>COUNTIF(Table_246[Produto],Table_1[[#This Row],[Produtos]])</f>
        <v>0</v>
      </c>
      <c r="E173" s="142">
        <v>60</v>
      </c>
      <c r="F173" s="121"/>
    </row>
    <row r="174" spans="1:6" ht="18.75" customHeight="1">
      <c r="A174" s="128" t="s">
        <v>1249</v>
      </c>
      <c r="B174" s="135">
        <v>1</v>
      </c>
      <c r="C174" s="137">
        <f t="shared" si="0"/>
        <v>1</v>
      </c>
      <c r="D174" s="139">
        <f>COUNTIF(Table_246[Produto],Table_1[[#This Row],[Produtos]])</f>
        <v>0</v>
      </c>
      <c r="E174" s="141">
        <v>7</v>
      </c>
      <c r="F174" s="121"/>
    </row>
    <row r="175" spans="1:6" ht="18.75" customHeight="1">
      <c r="A175" s="129" t="s">
        <v>1250</v>
      </c>
      <c r="B175" s="136">
        <v>1</v>
      </c>
      <c r="C175" s="138">
        <f t="shared" si="0"/>
        <v>1</v>
      </c>
      <c r="D175" s="140">
        <f>COUNTIF(Table_246[Produto],Table_1[[#This Row],[Produtos]])</f>
        <v>0</v>
      </c>
      <c r="E175" s="142">
        <v>8.8000000000000007</v>
      </c>
      <c r="F175" s="121"/>
    </row>
    <row r="176" spans="1:6" ht="18.75" customHeight="1">
      <c r="A176" s="128" t="s">
        <v>509</v>
      </c>
      <c r="B176" s="135">
        <v>1</v>
      </c>
      <c r="C176" s="137">
        <f t="shared" si="0"/>
        <v>1</v>
      </c>
      <c r="D176" s="139">
        <f>COUNTIF(Table_246[Produto],Table_1[[#This Row],[Produtos]])</f>
        <v>0</v>
      </c>
      <c r="E176" s="141">
        <v>5.5</v>
      </c>
      <c r="F176" s="121"/>
    </row>
    <row r="177" spans="1:6" ht="18.75" customHeight="1">
      <c r="A177" s="129" t="s">
        <v>1251</v>
      </c>
      <c r="B177" s="136">
        <v>1</v>
      </c>
      <c r="C177" s="138">
        <f t="shared" si="0"/>
        <v>1</v>
      </c>
      <c r="D177" s="140">
        <f>COUNTIF(Table_246[Produto],Table_1[[#This Row],[Produtos]])</f>
        <v>0</v>
      </c>
      <c r="E177" s="142">
        <v>18</v>
      </c>
      <c r="F177" s="121"/>
    </row>
    <row r="178" spans="1:6" ht="18.75" customHeight="1">
      <c r="A178" s="130" t="s">
        <v>223</v>
      </c>
      <c r="B178" s="135">
        <v>99</v>
      </c>
      <c r="C178" s="137">
        <f t="shared" si="0"/>
        <v>97</v>
      </c>
      <c r="D178" s="139">
        <f>COUNTIF(Table_246[Produto],Table_1[[#This Row],[Produtos]])</f>
        <v>2</v>
      </c>
      <c r="E178" s="141"/>
      <c r="F178" s="124"/>
    </row>
    <row r="179" spans="1:6" ht="18.75" customHeight="1">
      <c r="A179" s="129" t="s">
        <v>163</v>
      </c>
      <c r="B179" s="136">
        <v>1</v>
      </c>
      <c r="C179" s="138">
        <f t="shared" si="0"/>
        <v>1</v>
      </c>
      <c r="D179" s="140">
        <f>COUNTIF(Table_246[Produto],Table_1[[#This Row],[Produtos]])</f>
        <v>0</v>
      </c>
      <c r="E179" s="142">
        <v>50</v>
      </c>
      <c r="F179" s="121"/>
    </row>
    <row r="180" spans="1:6" ht="18.75" customHeight="1">
      <c r="A180" s="128" t="s">
        <v>153</v>
      </c>
      <c r="B180" s="135">
        <v>1</v>
      </c>
      <c r="C180" s="137">
        <f t="shared" si="0"/>
        <v>1</v>
      </c>
      <c r="D180" s="139">
        <f>COUNTIF(Table_246[Produto],Table_1[[#This Row],[Produtos]])</f>
        <v>0</v>
      </c>
      <c r="E180" s="141">
        <v>27</v>
      </c>
      <c r="F180" s="121"/>
    </row>
    <row r="181" spans="1:6" ht="18.75" customHeight="1">
      <c r="A181" s="129" t="s">
        <v>1252</v>
      </c>
      <c r="B181" s="136">
        <v>1</v>
      </c>
      <c r="C181" s="138">
        <f t="shared" si="0"/>
        <v>1</v>
      </c>
      <c r="D181" s="140">
        <f>COUNTIF(Table_246[Produto],Table_1[[#This Row],[Produtos]])</f>
        <v>0</v>
      </c>
      <c r="E181" s="142">
        <v>15</v>
      </c>
      <c r="F181" s="121"/>
    </row>
    <row r="182" spans="1:6" ht="18.75" customHeight="1">
      <c r="A182" s="128" t="s">
        <v>159</v>
      </c>
      <c r="B182" s="135">
        <v>1</v>
      </c>
      <c r="C182" s="137">
        <f t="shared" si="0"/>
        <v>1</v>
      </c>
      <c r="D182" s="139">
        <f>COUNTIF(Table_246[Produto],Table_1[[#This Row],[Produtos]])</f>
        <v>0</v>
      </c>
      <c r="E182" s="141">
        <v>22</v>
      </c>
      <c r="F182" s="121"/>
    </row>
    <row r="183" spans="1:6" ht="18.75" customHeight="1">
      <c r="A183" s="129" t="s">
        <v>1253</v>
      </c>
      <c r="B183" s="136">
        <v>1</v>
      </c>
      <c r="C183" s="138">
        <f t="shared" si="0"/>
        <v>1</v>
      </c>
      <c r="D183" s="140">
        <f>COUNTIF(Table_246[Produto],Table_1[[#This Row],[Produtos]])</f>
        <v>0</v>
      </c>
      <c r="E183" s="142">
        <v>22</v>
      </c>
      <c r="F183" s="121"/>
    </row>
    <row r="184" spans="1:6" ht="18.75" customHeight="1">
      <c r="A184" s="128" t="s">
        <v>1254</v>
      </c>
      <c r="B184" s="135">
        <v>1</v>
      </c>
      <c r="C184" s="137">
        <f t="shared" si="0"/>
        <v>1</v>
      </c>
      <c r="D184" s="139">
        <f>COUNTIF(Table_246[Produto],Table_1[[#This Row],[Produtos]])</f>
        <v>0</v>
      </c>
      <c r="E184" s="141">
        <v>13.5</v>
      </c>
      <c r="F184" s="121"/>
    </row>
    <row r="185" spans="1:6" ht="18.75" customHeight="1">
      <c r="A185" s="129" t="s">
        <v>304</v>
      </c>
      <c r="B185" s="136">
        <v>1</v>
      </c>
      <c r="C185" s="138">
        <f t="shared" si="0"/>
        <v>1</v>
      </c>
      <c r="D185" s="140">
        <f>COUNTIF(Table_246[Produto],Table_1[[#This Row],[Produtos]])</f>
        <v>0</v>
      </c>
      <c r="E185" s="142">
        <v>50</v>
      </c>
      <c r="F185" s="121"/>
    </row>
    <row r="186" spans="1:6" ht="18.75" customHeight="1">
      <c r="A186" s="128" t="s">
        <v>187</v>
      </c>
      <c r="B186" s="135">
        <v>1</v>
      </c>
      <c r="C186" s="137">
        <f t="shared" si="0"/>
        <v>1</v>
      </c>
      <c r="D186" s="139">
        <f>COUNTIF(Table_246[Produto],Table_1[[#This Row],[Produtos]])</f>
        <v>0</v>
      </c>
      <c r="E186" s="141">
        <v>35</v>
      </c>
      <c r="F186" s="121"/>
    </row>
    <row r="187" spans="1:6" ht="18.75" customHeight="1">
      <c r="A187" s="129" t="s">
        <v>1255</v>
      </c>
      <c r="B187" s="136">
        <v>1</v>
      </c>
      <c r="C187" s="138">
        <f t="shared" si="0"/>
        <v>1</v>
      </c>
      <c r="D187" s="140">
        <f>COUNTIF(Table_246[Produto],Table_1[[#This Row],[Produtos]])</f>
        <v>0</v>
      </c>
      <c r="E187" s="142">
        <v>4</v>
      </c>
      <c r="F187" s="121"/>
    </row>
    <row r="188" spans="1:6" ht="18.75" customHeight="1">
      <c r="A188" s="128" t="s">
        <v>293</v>
      </c>
      <c r="B188" s="135">
        <v>1</v>
      </c>
      <c r="C188" s="137">
        <f t="shared" si="0"/>
        <v>1</v>
      </c>
      <c r="D188" s="139">
        <f>COUNTIF(Table_246[Produto],Table_1[[#This Row],[Produtos]])</f>
        <v>0</v>
      </c>
      <c r="E188" s="141">
        <v>4</v>
      </c>
      <c r="F188" s="121"/>
    </row>
    <row r="189" spans="1:6" ht="18.75" customHeight="1">
      <c r="A189" s="129" t="s">
        <v>1256</v>
      </c>
      <c r="B189" s="136">
        <v>1</v>
      </c>
      <c r="C189" s="138">
        <f t="shared" si="0"/>
        <v>1</v>
      </c>
      <c r="D189" s="140">
        <f>COUNTIF(Table_246[Produto],Table_1[[#This Row],[Produtos]])</f>
        <v>0</v>
      </c>
      <c r="E189" s="142">
        <v>35</v>
      </c>
      <c r="F189" s="121"/>
    </row>
    <row r="190" spans="1:6" ht="18.75" customHeight="1">
      <c r="A190" s="128" t="s">
        <v>1257</v>
      </c>
      <c r="B190" s="135">
        <v>1</v>
      </c>
      <c r="C190" s="137">
        <f t="shared" si="0"/>
        <v>1</v>
      </c>
      <c r="D190" s="139">
        <f>COUNTIF(Table_246[Produto],Table_1[[#This Row],[Produtos]])</f>
        <v>0</v>
      </c>
      <c r="E190" s="141">
        <v>30</v>
      </c>
      <c r="F190" s="121"/>
    </row>
    <row r="191" spans="1:6" ht="18.75" customHeight="1">
      <c r="A191" s="130" t="s">
        <v>1007</v>
      </c>
      <c r="B191" s="136">
        <v>99</v>
      </c>
      <c r="C191" s="138">
        <f t="shared" si="0"/>
        <v>96</v>
      </c>
      <c r="D191" s="140">
        <f>COUNTIF(Table_246[Produto],Table_1[[#This Row],[Produtos]])</f>
        <v>3</v>
      </c>
      <c r="E191" s="142"/>
      <c r="F191" s="121"/>
    </row>
    <row r="192" spans="1:6" ht="18.75" customHeight="1">
      <c r="A192" s="128" t="s">
        <v>1258</v>
      </c>
      <c r="B192" s="135">
        <v>1</v>
      </c>
      <c r="C192" s="137">
        <f t="shared" si="0"/>
        <v>1</v>
      </c>
      <c r="D192" s="139">
        <f>COUNTIF(Table_246[Produto],Table_1[[#This Row],[Produtos]])</f>
        <v>0</v>
      </c>
      <c r="E192" s="141">
        <v>16.75</v>
      </c>
      <c r="F192" s="121"/>
    </row>
    <row r="193" spans="1:6" ht="18.75" customHeight="1">
      <c r="A193" s="129" t="s">
        <v>1259</v>
      </c>
      <c r="B193" s="136">
        <v>1</v>
      </c>
      <c r="C193" s="138">
        <f t="shared" si="0"/>
        <v>1</v>
      </c>
      <c r="D193" s="140">
        <f>COUNTIF(Table_246[Produto],Table_1[[#This Row],[Produtos]])</f>
        <v>0</v>
      </c>
      <c r="E193" s="142">
        <v>3</v>
      </c>
      <c r="F193" s="121"/>
    </row>
    <row r="194" spans="1:6" ht="18.75" customHeight="1">
      <c r="A194" s="128" t="s">
        <v>1260</v>
      </c>
      <c r="B194" s="135">
        <v>1</v>
      </c>
      <c r="C194" s="137">
        <f t="shared" si="0"/>
        <v>1</v>
      </c>
      <c r="D194" s="139">
        <f>COUNTIF(Table_246[Produto],Table_1[[#This Row],[Produtos]])</f>
        <v>0</v>
      </c>
      <c r="E194" s="141"/>
      <c r="F194" s="121"/>
    </row>
    <row r="195" spans="1:6" ht="18.75" customHeight="1">
      <c r="A195" s="129" t="s">
        <v>1261</v>
      </c>
      <c r="B195" s="136">
        <v>1</v>
      </c>
      <c r="C195" s="138">
        <f t="shared" si="0"/>
        <v>1</v>
      </c>
      <c r="D195" s="140">
        <f>COUNTIF(Table_246[Produto],Table_1[[#This Row],[Produtos]])</f>
        <v>0</v>
      </c>
      <c r="E195" s="142">
        <v>10.99</v>
      </c>
      <c r="F195" s="121"/>
    </row>
    <row r="196" spans="1:6" ht="18.75" customHeight="1">
      <c r="A196" s="128" t="s">
        <v>1262</v>
      </c>
      <c r="B196" s="135">
        <v>1</v>
      </c>
      <c r="C196" s="137">
        <f t="shared" si="0"/>
        <v>1</v>
      </c>
      <c r="D196" s="139">
        <f>COUNTIF(Table_246[Produto],Table_1[[#This Row],[Produtos]])</f>
        <v>0</v>
      </c>
      <c r="E196" s="141">
        <v>8</v>
      </c>
      <c r="F196" s="121"/>
    </row>
    <row r="197" spans="1:6" ht="18.75" customHeight="1">
      <c r="A197" s="129" t="s">
        <v>1263</v>
      </c>
      <c r="B197" s="136">
        <v>1</v>
      </c>
      <c r="C197" s="138">
        <f t="shared" si="0"/>
        <v>1</v>
      </c>
      <c r="D197" s="140">
        <f>COUNTIF(Table_246[Produto],Table_1[[#This Row],[Produtos]])</f>
        <v>0</v>
      </c>
      <c r="E197" s="142">
        <v>0.05</v>
      </c>
      <c r="F197" s="121"/>
    </row>
    <row r="198" spans="1:6" ht="18.75" customHeight="1">
      <c r="A198" s="128" t="s">
        <v>146</v>
      </c>
      <c r="B198" s="135">
        <v>1</v>
      </c>
      <c r="C198" s="137">
        <f t="shared" si="0"/>
        <v>-18</v>
      </c>
      <c r="D198" s="139">
        <f>COUNTIF(Table_246[Produto],Table_1[[#This Row],[Produtos]])</f>
        <v>19</v>
      </c>
      <c r="E198" s="141">
        <f>35/500</f>
        <v>7.0000000000000007E-2</v>
      </c>
      <c r="F198" s="121"/>
    </row>
    <row r="199" spans="1:6" ht="18.75" customHeight="1">
      <c r="A199" s="129" t="s">
        <v>1264</v>
      </c>
      <c r="B199" s="136">
        <v>1</v>
      </c>
      <c r="C199" s="138">
        <f t="shared" si="0"/>
        <v>1</v>
      </c>
      <c r="D199" s="140">
        <f>COUNTIF(Table_246[Produto],Table_1[[#This Row],[Produtos]])</f>
        <v>0</v>
      </c>
      <c r="E199" s="142">
        <f>8/10</f>
        <v>0.8</v>
      </c>
      <c r="F199" s="121"/>
    </row>
    <row r="200" spans="1:6" ht="18.75" customHeight="1">
      <c r="A200" s="128" t="s">
        <v>166</v>
      </c>
      <c r="B200" s="135">
        <v>1</v>
      </c>
      <c r="C200" s="137">
        <f t="shared" si="0"/>
        <v>1</v>
      </c>
      <c r="D200" s="139">
        <f>COUNTIF(Table_246[Produto],Table_1[[#This Row],[Produtos]])</f>
        <v>0</v>
      </c>
      <c r="E200" s="141">
        <v>19</v>
      </c>
      <c r="F200" s="121"/>
    </row>
    <row r="201" spans="1:6" ht="18.75" customHeight="1">
      <c r="A201" s="129" t="s">
        <v>577</v>
      </c>
      <c r="B201" s="136">
        <v>1</v>
      </c>
      <c r="C201" s="138">
        <f t="shared" si="0"/>
        <v>1</v>
      </c>
      <c r="D201" s="140">
        <f>COUNTIF(Table_246[Produto],Table_1[[#This Row],[Produtos]])</f>
        <v>0</v>
      </c>
      <c r="E201" s="142">
        <v>19</v>
      </c>
      <c r="F201" s="121"/>
    </row>
    <row r="202" spans="1:6" ht="18.75" customHeight="1">
      <c r="A202" s="128" t="s">
        <v>1265</v>
      </c>
      <c r="B202" s="135">
        <v>1</v>
      </c>
      <c r="C202" s="137">
        <f t="shared" si="0"/>
        <v>1</v>
      </c>
      <c r="D202" s="139">
        <f>COUNTIF(Table_246[Produto],Table_1[[#This Row],[Produtos]])</f>
        <v>0</v>
      </c>
      <c r="E202" s="141">
        <v>3.5</v>
      </c>
      <c r="F202" s="121"/>
    </row>
    <row r="203" spans="1:6" ht="18.75" customHeight="1">
      <c r="A203" s="129" t="s">
        <v>1266</v>
      </c>
      <c r="B203" s="136">
        <v>1</v>
      </c>
      <c r="C203" s="138">
        <f t="shared" si="0"/>
        <v>0</v>
      </c>
      <c r="D203" s="140">
        <f>COUNTIF(Table_246[Produto],Table_1[[#This Row],[Produtos]])</f>
        <v>1</v>
      </c>
      <c r="E203" s="142">
        <v>5</v>
      </c>
      <c r="F203" s="121"/>
    </row>
    <row r="204" spans="1:6" ht="18.75" customHeight="1">
      <c r="A204" s="128" t="s">
        <v>1047</v>
      </c>
      <c r="B204" s="135">
        <v>1</v>
      </c>
      <c r="C204" s="137">
        <f t="shared" si="0"/>
        <v>-101</v>
      </c>
      <c r="D204" s="139">
        <f>COUNTIF(Table_246[Produto],Table_1[[#This Row],[Produtos]])</f>
        <v>102</v>
      </c>
      <c r="E204" s="141">
        <v>0.7</v>
      </c>
      <c r="F204" s="121"/>
    </row>
    <row r="205" spans="1:6" ht="18.75" customHeight="1">
      <c r="A205" s="130" t="s">
        <v>1072</v>
      </c>
      <c r="B205" s="136">
        <v>99</v>
      </c>
      <c r="C205" s="138">
        <f t="shared" si="0"/>
        <v>90</v>
      </c>
      <c r="D205" s="140">
        <f>COUNTIF(Table_246[Produto],Table_1[[#This Row],[Produtos]])</f>
        <v>9</v>
      </c>
      <c r="E205" s="142"/>
      <c r="F205" s="121"/>
    </row>
    <row r="206" spans="1:6" ht="18.75" customHeight="1">
      <c r="A206" s="128" t="s">
        <v>1267</v>
      </c>
      <c r="B206" s="135">
        <v>1</v>
      </c>
      <c r="C206" s="137">
        <f t="shared" si="0"/>
        <v>0</v>
      </c>
      <c r="D206" s="139">
        <f>COUNTIF(Table_246[Produto],Table_1[[#This Row],[Produtos]])</f>
        <v>1</v>
      </c>
      <c r="E206" s="141">
        <v>7.5</v>
      </c>
      <c r="F206" s="121"/>
    </row>
    <row r="207" spans="1:6" ht="18.75" customHeight="1">
      <c r="A207" s="129" t="s">
        <v>1268</v>
      </c>
      <c r="B207" s="136">
        <v>1</v>
      </c>
      <c r="C207" s="138">
        <f t="shared" si="0"/>
        <v>1</v>
      </c>
      <c r="D207" s="140">
        <f>COUNTIF(Table_246[Produto],Table_1[[#This Row],[Produtos]])</f>
        <v>0</v>
      </c>
      <c r="E207" s="142">
        <f>65.9/2</f>
        <v>32.950000000000003</v>
      </c>
      <c r="F207" s="121"/>
    </row>
    <row r="208" spans="1:6" ht="18.75" customHeight="1">
      <c r="A208" s="130" t="s">
        <v>1042</v>
      </c>
      <c r="B208" s="135">
        <v>99</v>
      </c>
      <c r="C208" s="137">
        <f t="shared" si="0"/>
        <v>95</v>
      </c>
      <c r="D208" s="139">
        <f>COUNTIF(Table_246[Produto],Table_1[[#This Row],[Produtos]])</f>
        <v>4</v>
      </c>
      <c r="E208" s="141"/>
      <c r="F208" s="121"/>
    </row>
    <row r="209" spans="1:6" ht="18.75" customHeight="1">
      <c r="A209" s="129" t="s">
        <v>213</v>
      </c>
      <c r="B209" s="136">
        <v>1</v>
      </c>
      <c r="C209" s="138">
        <f t="shared" si="0"/>
        <v>1</v>
      </c>
      <c r="D209" s="140">
        <f>COUNTIF(Table_246[Produto],Table_1[[#This Row],[Produtos]])</f>
        <v>0</v>
      </c>
      <c r="E209" s="142">
        <v>10</v>
      </c>
      <c r="F209" s="121"/>
    </row>
    <row r="210" spans="1:6" ht="18.75" customHeight="1">
      <c r="A210" s="128" t="s">
        <v>185</v>
      </c>
      <c r="B210" s="135">
        <v>1</v>
      </c>
      <c r="C210" s="137">
        <f t="shared" si="0"/>
        <v>1</v>
      </c>
      <c r="D210" s="139">
        <f>COUNTIF(Table_246[Produto],Table_1[[#This Row],[Produtos]])</f>
        <v>0</v>
      </c>
      <c r="E210" s="141">
        <v>26</v>
      </c>
      <c r="F210" s="121"/>
    </row>
    <row r="211" spans="1:6" ht="18.75" customHeight="1">
      <c r="A211" s="129" t="s">
        <v>1269</v>
      </c>
      <c r="B211" s="136">
        <v>1</v>
      </c>
      <c r="C211" s="138">
        <f t="shared" si="0"/>
        <v>1</v>
      </c>
      <c r="D211" s="140">
        <f>COUNTIF(Table_246[Produto],Table_1[[#This Row],[Produtos]])</f>
        <v>0</v>
      </c>
      <c r="E211" s="142">
        <v>3.8</v>
      </c>
      <c r="F211" s="121"/>
    </row>
    <row r="212" spans="1:6" ht="18.75" customHeight="1">
      <c r="A212" s="128" t="s">
        <v>1270</v>
      </c>
      <c r="B212" s="135">
        <v>1</v>
      </c>
      <c r="C212" s="137">
        <f t="shared" si="0"/>
        <v>1</v>
      </c>
      <c r="D212" s="139">
        <f>COUNTIF(Table_246[Produto],Table_1[[#This Row],[Produtos]])</f>
        <v>0</v>
      </c>
      <c r="E212" s="141">
        <v>10</v>
      </c>
      <c r="F212" s="121"/>
    </row>
    <row r="213" spans="1:6" ht="18.75" customHeight="1">
      <c r="A213" s="129" t="s">
        <v>1271</v>
      </c>
      <c r="B213" s="136">
        <v>1</v>
      </c>
      <c r="C213" s="138">
        <f t="shared" si="0"/>
        <v>1</v>
      </c>
      <c r="D213" s="140">
        <f>COUNTIF(Table_246[Produto],Table_1[[#This Row],[Produtos]])</f>
        <v>0</v>
      </c>
      <c r="E213" s="142">
        <v>50</v>
      </c>
      <c r="F213" s="121"/>
    </row>
    <row r="214" spans="1:6" ht="18.75" customHeight="1">
      <c r="A214" s="130" t="s">
        <v>1051</v>
      </c>
      <c r="B214" s="135">
        <v>99</v>
      </c>
      <c r="C214" s="137">
        <f t="shared" si="0"/>
        <v>98</v>
      </c>
      <c r="D214" s="139">
        <f>COUNTIF(Table_246[Produto],Table_1[[#This Row],[Produtos]])</f>
        <v>1</v>
      </c>
      <c r="E214" s="141"/>
      <c r="F214" s="121"/>
    </row>
    <row r="215" spans="1:6" ht="18.75" customHeight="1">
      <c r="A215" s="129" t="s">
        <v>1272</v>
      </c>
      <c r="B215" s="136">
        <v>1</v>
      </c>
      <c r="C215" s="138">
        <f t="shared" si="0"/>
        <v>1</v>
      </c>
      <c r="D215" s="140">
        <f>COUNTIF(Table_246[Produto],Table_1[[#This Row],[Produtos]])</f>
        <v>0</v>
      </c>
      <c r="E215" s="142">
        <v>17</v>
      </c>
      <c r="F215" s="121"/>
    </row>
    <row r="216" spans="1:6" ht="18.75" customHeight="1">
      <c r="A216" s="128" t="s">
        <v>1273</v>
      </c>
      <c r="B216" s="135">
        <v>1</v>
      </c>
      <c r="C216" s="137">
        <f t="shared" si="0"/>
        <v>1</v>
      </c>
      <c r="D216" s="139">
        <f>COUNTIF(Table_246[Produto],Table_1[[#This Row],[Produtos]])</f>
        <v>0</v>
      </c>
      <c r="E216" s="141">
        <v>5</v>
      </c>
      <c r="F216" s="121"/>
    </row>
    <row r="217" spans="1:6" ht="18.75" customHeight="1">
      <c r="A217" s="129" t="s">
        <v>1274</v>
      </c>
      <c r="B217" s="136">
        <v>1</v>
      </c>
      <c r="C217" s="138">
        <f t="shared" si="0"/>
        <v>1</v>
      </c>
      <c r="D217" s="140">
        <f>COUNTIF(Table_246[Produto],Table_1[[#This Row],[Produtos]])</f>
        <v>0</v>
      </c>
      <c r="E217" s="142">
        <v>36.9</v>
      </c>
      <c r="F217" s="121"/>
    </row>
    <row r="218" spans="1:6" ht="18.75" customHeight="1">
      <c r="A218" s="128" t="s">
        <v>1275</v>
      </c>
      <c r="B218" s="135">
        <v>1</v>
      </c>
      <c r="C218" s="137">
        <f t="shared" si="0"/>
        <v>1</v>
      </c>
      <c r="D218" s="139">
        <f>COUNTIF(Table_246[Produto],Table_1[[#This Row],[Produtos]])</f>
        <v>0</v>
      </c>
      <c r="E218" s="141">
        <v>23</v>
      </c>
      <c r="F218" s="121"/>
    </row>
    <row r="219" spans="1:6" ht="18.75" customHeight="1">
      <c r="A219" s="129" t="s">
        <v>1276</v>
      </c>
      <c r="B219" s="136">
        <v>1</v>
      </c>
      <c r="C219" s="138">
        <f t="shared" si="0"/>
        <v>1</v>
      </c>
      <c r="D219" s="140">
        <f>COUNTIF(Table_246[Produto],Table_1[[#This Row],[Produtos]])</f>
        <v>0</v>
      </c>
      <c r="E219" s="142">
        <v>30</v>
      </c>
      <c r="F219" s="121"/>
    </row>
    <row r="220" spans="1:6" ht="18.75" customHeight="1">
      <c r="A220" s="128" t="s">
        <v>1277</v>
      </c>
      <c r="B220" s="135">
        <v>1</v>
      </c>
      <c r="C220" s="137">
        <f t="shared" si="0"/>
        <v>1</v>
      </c>
      <c r="D220" s="139">
        <f>COUNTIF(Table_246[Produto],Table_1[[#This Row],[Produtos]])</f>
        <v>0</v>
      </c>
      <c r="E220" s="143">
        <v>5</v>
      </c>
      <c r="F220" s="121"/>
    </row>
    <row r="221" spans="1:6" ht="18.75" customHeight="1">
      <c r="A221" s="129" t="s">
        <v>1278</v>
      </c>
      <c r="B221" s="136">
        <v>1</v>
      </c>
      <c r="C221" s="138">
        <f t="shared" si="0"/>
        <v>1</v>
      </c>
      <c r="D221" s="140">
        <f>COUNTIF(Table_246[Produto],Table_1[[#This Row],[Produtos]])</f>
        <v>0</v>
      </c>
      <c r="E221" s="142">
        <v>20</v>
      </c>
      <c r="F221" s="121"/>
    </row>
    <row r="222" spans="1:6" ht="18.75" customHeight="1">
      <c r="A222" s="130" t="s">
        <v>1019</v>
      </c>
      <c r="B222" s="135">
        <v>99</v>
      </c>
      <c r="C222" s="137">
        <f t="shared" si="0"/>
        <v>98</v>
      </c>
      <c r="D222" s="139">
        <f>COUNTIF(Table_246[Produto],Table_1[[#This Row],[Produtos]])</f>
        <v>1</v>
      </c>
      <c r="E222" s="141"/>
      <c r="F222" s="121"/>
    </row>
    <row r="223" spans="1:6" ht="18.75" customHeight="1">
      <c r="A223" s="129" t="s">
        <v>1279</v>
      </c>
      <c r="B223" s="136">
        <v>1</v>
      </c>
      <c r="C223" s="138">
        <f t="shared" si="0"/>
        <v>1</v>
      </c>
      <c r="D223" s="140">
        <f>COUNTIF(Table_246[Produto],Table_1[[#This Row],[Produtos]])</f>
        <v>0</v>
      </c>
      <c r="E223" s="142">
        <v>60</v>
      </c>
      <c r="F223" s="121"/>
    </row>
    <row r="224" spans="1:6" ht="18.75" customHeight="1">
      <c r="A224" s="128" t="s">
        <v>448</v>
      </c>
      <c r="B224" s="135">
        <v>1</v>
      </c>
      <c r="C224" s="137">
        <f t="shared" si="0"/>
        <v>1</v>
      </c>
      <c r="D224" s="139">
        <f>COUNTIF(Table_246[Produto],Table_1[[#This Row],[Produtos]])</f>
        <v>0</v>
      </c>
      <c r="E224" s="141">
        <v>8.99</v>
      </c>
      <c r="F224" s="121"/>
    </row>
    <row r="225" spans="1:6" ht="18.75" customHeight="1">
      <c r="A225" s="129" t="s">
        <v>1280</v>
      </c>
      <c r="B225" s="136">
        <v>1</v>
      </c>
      <c r="C225" s="138">
        <f t="shared" si="0"/>
        <v>1</v>
      </c>
      <c r="D225" s="140">
        <f>COUNTIF(Table_246[Produto],Table_1[[#This Row],[Produtos]])</f>
        <v>0</v>
      </c>
      <c r="E225" s="142"/>
      <c r="F225" s="121"/>
    </row>
    <row r="226" spans="1:6" ht="18.75" customHeight="1">
      <c r="A226" s="128" t="s">
        <v>1281</v>
      </c>
      <c r="B226" s="135">
        <v>1</v>
      </c>
      <c r="C226" s="137">
        <f t="shared" si="0"/>
        <v>1</v>
      </c>
      <c r="D226" s="139">
        <f>COUNTIF(Table_246[Produto],Table_1[[#This Row],[Produtos]])</f>
        <v>0</v>
      </c>
      <c r="E226" s="141">
        <v>7</v>
      </c>
      <c r="F226" s="121"/>
    </row>
    <row r="227" spans="1:6" ht="18.75" customHeight="1">
      <c r="A227" s="129" t="s">
        <v>1282</v>
      </c>
      <c r="B227" s="136">
        <v>1</v>
      </c>
      <c r="C227" s="138">
        <f t="shared" si="0"/>
        <v>1</v>
      </c>
      <c r="D227" s="140">
        <f>COUNTIF(Table_246[Produto],Table_1[[#This Row],[Produtos]])</f>
        <v>0</v>
      </c>
      <c r="E227" s="142">
        <v>38</v>
      </c>
      <c r="F227" s="121"/>
    </row>
    <row r="228" spans="1:6" ht="18.75" customHeight="1">
      <c r="A228" s="128" t="s">
        <v>1283</v>
      </c>
      <c r="B228" s="135">
        <v>1</v>
      </c>
      <c r="C228" s="137">
        <f t="shared" si="0"/>
        <v>1</v>
      </c>
      <c r="D228" s="139">
        <f>COUNTIF(Table_246[Produto],Table_1[[#This Row],[Produtos]])</f>
        <v>0</v>
      </c>
      <c r="E228" s="141">
        <v>55</v>
      </c>
      <c r="F228" s="121"/>
    </row>
    <row r="229" spans="1:6" ht="18.75" customHeight="1">
      <c r="A229" s="129" t="s">
        <v>1284</v>
      </c>
      <c r="B229" s="136">
        <v>1</v>
      </c>
      <c r="C229" s="138">
        <f t="shared" si="0"/>
        <v>1</v>
      </c>
      <c r="D229" s="140">
        <f>COUNTIF(Table_246[Produto],Table_1[[#This Row],[Produtos]])</f>
        <v>0</v>
      </c>
      <c r="E229" s="142">
        <v>4</v>
      </c>
      <c r="F229" s="121"/>
    </row>
    <row r="230" spans="1:6" ht="18.75" customHeight="1">
      <c r="A230" s="130" t="s">
        <v>1066</v>
      </c>
      <c r="B230" s="135">
        <v>99</v>
      </c>
      <c r="C230" s="137">
        <f t="shared" si="0"/>
        <v>96</v>
      </c>
      <c r="D230" s="139">
        <f>COUNTIF(Table_246[Produto],Table_1[[#This Row],[Produtos]])</f>
        <v>3</v>
      </c>
      <c r="E230" s="141"/>
      <c r="F230" s="121"/>
    </row>
    <row r="231" spans="1:6" ht="18.75" customHeight="1">
      <c r="A231" s="129" t="s">
        <v>1285</v>
      </c>
      <c r="B231" s="136">
        <v>1</v>
      </c>
      <c r="C231" s="138">
        <f t="shared" si="0"/>
        <v>1</v>
      </c>
      <c r="D231" s="140">
        <f>COUNTIF(Table_246[Produto],Table_1[[#This Row],[Produtos]])</f>
        <v>0</v>
      </c>
      <c r="E231" s="142">
        <v>25</v>
      </c>
      <c r="F231" s="121"/>
    </row>
    <row r="232" spans="1:6" ht="18.75" customHeight="1">
      <c r="A232" s="128" t="s">
        <v>1286</v>
      </c>
      <c r="B232" s="135">
        <v>1</v>
      </c>
      <c r="C232" s="137">
        <f t="shared" si="0"/>
        <v>1</v>
      </c>
      <c r="D232" s="139">
        <f>COUNTIF(Table_246[Produto],Table_1[[#This Row],[Produtos]])</f>
        <v>0</v>
      </c>
      <c r="E232" s="141">
        <v>34.19</v>
      </c>
      <c r="F232" s="121"/>
    </row>
    <row r="233" spans="1:6" ht="18.75" customHeight="1">
      <c r="A233" s="129" t="s">
        <v>1287</v>
      </c>
      <c r="B233" s="136">
        <v>1</v>
      </c>
      <c r="C233" s="138">
        <f t="shared" si="0"/>
        <v>1</v>
      </c>
      <c r="D233" s="140">
        <f>COUNTIF(Table_246[Produto],Table_1[[#This Row],[Produtos]])</f>
        <v>0</v>
      </c>
      <c r="E233" s="142">
        <f>150/60</f>
        <v>2.5</v>
      </c>
      <c r="F233" s="121"/>
    </row>
    <row r="234" spans="1:6" ht="18.75" customHeight="1">
      <c r="A234" s="128" t="s">
        <v>1288</v>
      </c>
      <c r="B234" s="135">
        <v>1</v>
      </c>
      <c r="C234" s="137">
        <f t="shared" si="0"/>
        <v>1</v>
      </c>
      <c r="D234" s="139">
        <f>COUNTIF(Table_246[Produto],Table_1[[#This Row],[Produtos]])</f>
        <v>0</v>
      </c>
      <c r="E234" s="141">
        <v>5</v>
      </c>
      <c r="F234" s="121"/>
    </row>
    <row r="235" spans="1:6" ht="18.75" customHeight="1">
      <c r="A235" s="129" t="s">
        <v>1289</v>
      </c>
      <c r="B235" s="136">
        <v>1</v>
      </c>
      <c r="C235" s="138">
        <f t="shared" si="0"/>
        <v>1</v>
      </c>
      <c r="D235" s="140">
        <f>COUNTIF(Table_246[Produto],Table_1[[#This Row],[Produtos]])</f>
        <v>0</v>
      </c>
      <c r="E235" s="142">
        <v>2</v>
      </c>
      <c r="F235" s="121"/>
    </row>
    <row r="236" spans="1:6" ht="18.75" customHeight="1">
      <c r="A236" s="128" t="s">
        <v>1290</v>
      </c>
      <c r="B236" s="135">
        <v>1</v>
      </c>
      <c r="C236" s="137">
        <f t="shared" si="0"/>
        <v>1</v>
      </c>
      <c r="D236" s="139">
        <f>COUNTIF(Table_246[Produto],Table_1[[#This Row],[Produtos]])</f>
        <v>0</v>
      </c>
      <c r="E236" s="141">
        <v>2</v>
      </c>
      <c r="F236" s="121"/>
    </row>
    <row r="237" spans="1:6" ht="18.75" customHeight="1">
      <c r="A237" s="129" t="s">
        <v>1291</v>
      </c>
      <c r="B237" s="136">
        <v>1</v>
      </c>
      <c r="C237" s="138">
        <f t="shared" si="0"/>
        <v>1</v>
      </c>
      <c r="D237" s="140">
        <f>COUNTIF(Table_246[Produto],Table_1[[#This Row],[Produtos]])</f>
        <v>0</v>
      </c>
      <c r="E237" s="142">
        <v>2</v>
      </c>
      <c r="F237" s="121"/>
    </row>
    <row r="238" spans="1:6" ht="18.75" customHeight="1">
      <c r="A238" s="130" t="s">
        <v>1021</v>
      </c>
      <c r="B238" s="135">
        <v>99</v>
      </c>
      <c r="C238" s="137">
        <f t="shared" si="0"/>
        <v>98</v>
      </c>
      <c r="D238" s="139">
        <f>COUNTIF(Table_246[Produto],Table_1[[#This Row],[Produtos]])</f>
        <v>1</v>
      </c>
      <c r="E238" s="141"/>
      <c r="F238" s="121"/>
    </row>
    <row r="239" spans="1:6" ht="18.75" customHeight="1">
      <c r="A239" s="129" t="s">
        <v>205</v>
      </c>
      <c r="B239" s="136">
        <v>1</v>
      </c>
      <c r="C239" s="138">
        <f t="shared" si="0"/>
        <v>1</v>
      </c>
      <c r="D239" s="140">
        <f>COUNTIF(Table_246[Produto],Table_1[[#This Row],[Produtos]])</f>
        <v>0</v>
      </c>
      <c r="E239" s="142">
        <v>15</v>
      </c>
      <c r="F239" s="121"/>
    </row>
    <row r="240" spans="1:6" ht="18.75" customHeight="1">
      <c r="A240" s="128" t="s">
        <v>1292</v>
      </c>
      <c r="B240" s="135">
        <v>1</v>
      </c>
      <c r="C240" s="137">
        <f t="shared" si="0"/>
        <v>1</v>
      </c>
      <c r="D240" s="139">
        <f>COUNTIF(Table_246[Produto],Table_1[[#This Row],[Produtos]])</f>
        <v>0</v>
      </c>
      <c r="E240" s="141">
        <v>20</v>
      </c>
      <c r="F240" s="121"/>
    </row>
    <row r="241" spans="1:6" ht="18.75" customHeight="1">
      <c r="A241" s="129" t="s">
        <v>1293</v>
      </c>
      <c r="B241" s="136">
        <v>1</v>
      </c>
      <c r="C241" s="138">
        <f t="shared" si="0"/>
        <v>1</v>
      </c>
      <c r="D241" s="140">
        <f>COUNTIF(Table_246[Produto],Table_1[[#This Row],[Produtos]])</f>
        <v>0</v>
      </c>
      <c r="E241" s="142">
        <v>13</v>
      </c>
      <c r="F241" s="121"/>
    </row>
    <row r="242" spans="1:6" ht="18.75" customHeight="1">
      <c r="A242" s="128" t="s">
        <v>1294</v>
      </c>
      <c r="B242" s="135">
        <v>1</v>
      </c>
      <c r="C242" s="137">
        <f t="shared" si="0"/>
        <v>1</v>
      </c>
      <c r="D242" s="139">
        <f>COUNTIF(Table_246[Produto],Table_1[[#This Row],[Produtos]])</f>
        <v>0</v>
      </c>
      <c r="E242" s="141">
        <v>28</v>
      </c>
      <c r="F242" s="121"/>
    </row>
    <row r="243" spans="1:6" ht="18.75" customHeight="1">
      <c r="A243" s="129" t="s">
        <v>1295</v>
      </c>
      <c r="B243" s="136">
        <v>1</v>
      </c>
      <c r="C243" s="138">
        <f t="shared" si="0"/>
        <v>1</v>
      </c>
      <c r="D243" s="140">
        <f>COUNTIF(Table_246[Produto],Table_1[[#This Row],[Produtos]])</f>
        <v>0</v>
      </c>
      <c r="E243" s="142">
        <v>10</v>
      </c>
      <c r="F243" s="121"/>
    </row>
    <row r="244" spans="1:6" ht="18.75" customHeight="1">
      <c r="A244" s="128" t="s">
        <v>1296</v>
      </c>
      <c r="B244" s="135">
        <v>1</v>
      </c>
      <c r="C244" s="137">
        <f t="shared" si="0"/>
        <v>1</v>
      </c>
      <c r="D244" s="139">
        <f>COUNTIF(Table_246[Produto],Table_1[[#This Row],[Produtos]])</f>
        <v>0</v>
      </c>
      <c r="E244" s="141">
        <v>75</v>
      </c>
      <c r="F244" s="121"/>
    </row>
    <row r="245" spans="1:6" ht="18.75" customHeight="1">
      <c r="A245" s="129" t="s">
        <v>1297</v>
      </c>
      <c r="B245" s="136">
        <v>1</v>
      </c>
      <c r="C245" s="138">
        <f t="shared" si="0"/>
        <v>1</v>
      </c>
      <c r="D245" s="140">
        <f>COUNTIF(Table_246[Produto],Table_1[[#This Row],[Produtos]])</f>
        <v>0</v>
      </c>
      <c r="E245" s="142">
        <v>30</v>
      </c>
      <c r="F245" s="121"/>
    </row>
    <row r="246" spans="1:6" ht="18.75" customHeight="1">
      <c r="A246" s="128" t="s">
        <v>1298</v>
      </c>
      <c r="B246" s="135">
        <v>1</v>
      </c>
      <c r="C246" s="137">
        <f t="shared" si="0"/>
        <v>1</v>
      </c>
      <c r="D246" s="139">
        <f>COUNTIF(Table_246[Produto],Table_1[[#This Row],[Produtos]])</f>
        <v>0</v>
      </c>
      <c r="E246" s="141">
        <v>1</v>
      </c>
      <c r="F246" s="121"/>
    </row>
    <row r="247" spans="1:6" ht="18.75" customHeight="1">
      <c r="A247" s="129" t="s">
        <v>1299</v>
      </c>
      <c r="B247" s="136">
        <v>1</v>
      </c>
      <c r="C247" s="138">
        <f t="shared" si="0"/>
        <v>1</v>
      </c>
      <c r="D247" s="140">
        <f>COUNTIF(Table_246[Produto],Table_1[[#This Row],[Produtos]])</f>
        <v>0</v>
      </c>
      <c r="E247" s="142">
        <f>23.54/80</f>
        <v>0.29425000000000001</v>
      </c>
      <c r="F247" s="121"/>
    </row>
    <row r="248" spans="1:6" ht="18.75" customHeight="1">
      <c r="A248" s="128" t="s">
        <v>1300</v>
      </c>
      <c r="B248" s="135">
        <v>1</v>
      </c>
      <c r="C248" s="137">
        <f t="shared" si="0"/>
        <v>1</v>
      </c>
      <c r="D248" s="139">
        <f>COUNTIF(Table_246[Produto],Table_1[[#This Row],[Produtos]])</f>
        <v>0</v>
      </c>
      <c r="E248" s="141">
        <v>16</v>
      </c>
      <c r="F248" s="121"/>
    </row>
    <row r="249" spans="1:6" ht="18.75" customHeight="1">
      <c r="A249" s="129" t="s">
        <v>1301</v>
      </c>
      <c r="B249" s="136">
        <v>1</v>
      </c>
      <c r="C249" s="138">
        <f t="shared" si="0"/>
        <v>1</v>
      </c>
      <c r="D249" s="140">
        <f>COUNTIF(Table_246[Produto],Table_1[[#This Row],[Produtos]])</f>
        <v>0</v>
      </c>
      <c r="E249" s="142">
        <v>15</v>
      </c>
      <c r="F249" s="121"/>
    </row>
    <row r="250" spans="1:6" ht="18.75" customHeight="1">
      <c r="A250" s="128" t="s">
        <v>1302</v>
      </c>
      <c r="B250" s="135">
        <v>1</v>
      </c>
      <c r="C250" s="137">
        <f t="shared" si="0"/>
        <v>1</v>
      </c>
      <c r="D250" s="139">
        <f>COUNTIF(Table_246[Produto],Table_1[[#This Row],[Produtos]])</f>
        <v>0</v>
      </c>
      <c r="E250" s="141">
        <v>32.33</v>
      </c>
      <c r="F250" s="121"/>
    </row>
    <row r="251" spans="1:6" ht="18.75" customHeight="1">
      <c r="A251" s="129" t="s">
        <v>1303</v>
      </c>
      <c r="B251" s="136">
        <v>1</v>
      </c>
      <c r="C251" s="138">
        <f t="shared" si="0"/>
        <v>1</v>
      </c>
      <c r="D251" s="140">
        <f>COUNTIF(Table_246[Produto],Table_1[[#This Row],[Produtos]])</f>
        <v>0</v>
      </c>
      <c r="E251" s="142">
        <v>55</v>
      </c>
      <c r="F251" s="121"/>
    </row>
    <row r="252" spans="1:6" ht="18.75" customHeight="1">
      <c r="A252" s="128" t="s">
        <v>1304</v>
      </c>
      <c r="B252" s="135">
        <v>1</v>
      </c>
      <c r="C252" s="137">
        <f t="shared" si="0"/>
        <v>1</v>
      </c>
      <c r="D252" s="139">
        <f>COUNTIF(Table_246[Produto],Table_1[[#This Row],[Produtos]])</f>
        <v>0</v>
      </c>
      <c r="E252" s="141">
        <v>28</v>
      </c>
      <c r="F252" s="121"/>
    </row>
    <row r="253" spans="1:6" ht="18.75" customHeight="1">
      <c r="A253" s="129" t="s">
        <v>589</v>
      </c>
      <c r="B253" s="136">
        <v>1</v>
      </c>
      <c r="C253" s="138">
        <f t="shared" si="0"/>
        <v>1</v>
      </c>
      <c r="D253" s="140">
        <f>COUNTIF(Table_246[Produto],Table_1[[#This Row],[Produtos]])</f>
        <v>0</v>
      </c>
      <c r="E253" s="142"/>
      <c r="F253" s="121"/>
    </row>
    <row r="254" spans="1:6" ht="18.75" customHeight="1">
      <c r="A254" s="128" t="s">
        <v>1305</v>
      </c>
      <c r="B254" s="135">
        <v>1</v>
      </c>
      <c r="C254" s="137">
        <f t="shared" si="0"/>
        <v>1</v>
      </c>
      <c r="D254" s="139">
        <f>COUNTIF(Table_246[Produto],Table_1[[#This Row],[Produtos]])</f>
        <v>0</v>
      </c>
      <c r="E254" s="141">
        <v>15</v>
      </c>
      <c r="F254" s="121"/>
    </row>
    <row r="255" spans="1:6" ht="18.75" customHeight="1">
      <c r="A255" s="129" t="s">
        <v>1306</v>
      </c>
      <c r="B255" s="136">
        <v>1</v>
      </c>
      <c r="C255" s="138">
        <f t="shared" si="0"/>
        <v>1</v>
      </c>
      <c r="D255" s="140">
        <f>COUNTIF(Table_246[Produto],Table_1[[#This Row],[Produtos]])</f>
        <v>0</v>
      </c>
      <c r="E255" s="142">
        <v>18</v>
      </c>
      <c r="F255" s="121"/>
    </row>
    <row r="256" spans="1:6" ht="18.75" customHeight="1">
      <c r="A256" s="128" t="s">
        <v>1307</v>
      </c>
      <c r="B256" s="135">
        <v>1</v>
      </c>
      <c r="C256" s="137">
        <f t="shared" si="0"/>
        <v>1</v>
      </c>
      <c r="D256" s="139">
        <f>COUNTIF(Table_246[Produto],Table_1[[#This Row],[Produtos]])</f>
        <v>0</v>
      </c>
      <c r="E256" s="141">
        <v>15</v>
      </c>
      <c r="F256" s="121"/>
    </row>
    <row r="257" spans="1:6" ht="18.75" customHeight="1">
      <c r="A257" s="129" t="s">
        <v>1308</v>
      </c>
      <c r="B257" s="136">
        <v>1</v>
      </c>
      <c r="C257" s="138">
        <f t="shared" ref="C257:C346" si="1">B257-D257</f>
        <v>1</v>
      </c>
      <c r="D257" s="140">
        <f>COUNTIF(Table_246[Produto],Table_1[[#This Row],[Produtos]])</f>
        <v>0</v>
      </c>
      <c r="E257" s="142">
        <v>75</v>
      </c>
      <c r="F257" s="121"/>
    </row>
    <row r="258" spans="1:6" ht="18.75" customHeight="1">
      <c r="A258" s="128" t="s">
        <v>1309</v>
      </c>
      <c r="B258" s="135">
        <v>1</v>
      </c>
      <c r="C258" s="137">
        <f t="shared" si="1"/>
        <v>1</v>
      </c>
      <c r="D258" s="139">
        <f>COUNTIF(Table_246[Produto],Table_1[[#This Row],[Produtos]])</f>
        <v>0</v>
      </c>
      <c r="E258" s="141">
        <v>13</v>
      </c>
      <c r="F258" s="121"/>
    </row>
    <row r="259" spans="1:6" ht="18.75" customHeight="1">
      <c r="A259" s="129" t="s">
        <v>651</v>
      </c>
      <c r="B259" s="136">
        <v>1</v>
      </c>
      <c r="C259" s="138">
        <f t="shared" si="1"/>
        <v>1</v>
      </c>
      <c r="D259" s="140">
        <f>COUNTIF(Table_246[Produto],Table_1[[#This Row],[Produtos]])</f>
        <v>0</v>
      </c>
      <c r="E259" s="142">
        <v>23</v>
      </c>
      <c r="F259" s="121"/>
    </row>
    <row r="260" spans="1:6" ht="18.75" customHeight="1">
      <c r="A260" s="128" t="s">
        <v>174</v>
      </c>
      <c r="B260" s="135">
        <v>1</v>
      </c>
      <c r="C260" s="137">
        <f t="shared" si="1"/>
        <v>1</v>
      </c>
      <c r="D260" s="139">
        <f>COUNTIF(Table_246[Produto],Table_1[[#This Row],[Produtos]])</f>
        <v>0</v>
      </c>
      <c r="E260" s="141">
        <v>1.7</v>
      </c>
      <c r="F260" s="121"/>
    </row>
    <row r="261" spans="1:6" ht="18.75" customHeight="1">
      <c r="A261" s="129" t="s">
        <v>1310</v>
      </c>
      <c r="B261" s="136">
        <v>1</v>
      </c>
      <c r="C261" s="138">
        <f t="shared" si="1"/>
        <v>1</v>
      </c>
      <c r="D261" s="140">
        <f>COUNTIF(Table_246[Produto],Table_1[[#This Row],[Produtos]])</f>
        <v>0</v>
      </c>
      <c r="E261" s="142">
        <v>37</v>
      </c>
      <c r="F261" s="121"/>
    </row>
    <row r="262" spans="1:6" ht="18.75" customHeight="1">
      <c r="A262" s="128" t="s">
        <v>191</v>
      </c>
      <c r="B262" s="135">
        <v>1</v>
      </c>
      <c r="C262" s="137">
        <f t="shared" si="1"/>
        <v>1</v>
      </c>
      <c r="D262" s="139">
        <f>COUNTIF(Table_246[Produto],Table_1[[#This Row],[Produtos]])</f>
        <v>0</v>
      </c>
      <c r="E262" s="141">
        <v>20</v>
      </c>
      <c r="F262" s="121"/>
    </row>
    <row r="263" spans="1:6" ht="18.75" customHeight="1">
      <c r="A263" s="129" t="s">
        <v>1311</v>
      </c>
      <c r="B263" s="136">
        <v>1</v>
      </c>
      <c r="C263" s="138">
        <f t="shared" si="1"/>
        <v>1</v>
      </c>
      <c r="D263" s="140">
        <f>COUNTIF(Table_246[Produto],Table_1[[#This Row],[Produtos]])</f>
        <v>0</v>
      </c>
      <c r="E263" s="142">
        <v>25</v>
      </c>
      <c r="F263" s="125"/>
    </row>
    <row r="264" spans="1:6" ht="18.75" customHeight="1">
      <c r="A264" s="128" t="s">
        <v>1312</v>
      </c>
      <c r="B264" s="135">
        <v>1</v>
      </c>
      <c r="C264" s="137">
        <f t="shared" si="1"/>
        <v>1</v>
      </c>
      <c r="D264" s="139">
        <f>COUNTIF(Table_246[Produto],Table_1[[#This Row],[Produtos]])</f>
        <v>0</v>
      </c>
      <c r="E264" s="141">
        <v>77</v>
      </c>
      <c r="F264" s="125"/>
    </row>
    <row r="265" spans="1:6" ht="18.75" customHeight="1">
      <c r="A265" s="129" t="s">
        <v>296</v>
      </c>
      <c r="B265" s="136">
        <v>1</v>
      </c>
      <c r="C265" s="138">
        <f t="shared" si="1"/>
        <v>-1</v>
      </c>
      <c r="D265" s="140">
        <f>COUNTIF(Table_246[Produto],Table_1[[#This Row],[Produtos]])</f>
        <v>2</v>
      </c>
      <c r="E265" s="142">
        <v>7.5</v>
      </c>
      <c r="F265" s="125"/>
    </row>
    <row r="266" spans="1:6" ht="18.75" customHeight="1">
      <c r="A266" s="128" t="s">
        <v>309</v>
      </c>
      <c r="B266" s="135">
        <v>1</v>
      </c>
      <c r="C266" s="137">
        <f t="shared" si="1"/>
        <v>1</v>
      </c>
      <c r="D266" s="139">
        <f>COUNTIF(Table_246[Produto],Table_1[[#This Row],[Produtos]])</f>
        <v>0</v>
      </c>
      <c r="E266" s="141">
        <v>8</v>
      </c>
      <c r="F266" s="125"/>
    </row>
    <row r="267" spans="1:6" ht="18.75" customHeight="1">
      <c r="A267" s="129" t="s">
        <v>1313</v>
      </c>
      <c r="B267" s="136">
        <v>1</v>
      </c>
      <c r="C267" s="138">
        <f t="shared" si="1"/>
        <v>1</v>
      </c>
      <c r="D267" s="140">
        <f>COUNTIF(Table_246[Produto],Table_1[[#This Row],[Produtos]])</f>
        <v>0</v>
      </c>
      <c r="E267" s="142">
        <v>5.5</v>
      </c>
      <c r="F267" s="125"/>
    </row>
    <row r="268" spans="1:6" ht="18.75" customHeight="1">
      <c r="A268" s="128" t="s">
        <v>1314</v>
      </c>
      <c r="B268" s="135">
        <v>1</v>
      </c>
      <c r="C268" s="137">
        <f t="shared" si="1"/>
        <v>1</v>
      </c>
      <c r="D268" s="139">
        <f>COUNTIF(Table_246[Produto],Table_1[[#This Row],[Produtos]])</f>
        <v>0</v>
      </c>
      <c r="E268" s="141">
        <v>99</v>
      </c>
      <c r="F268" s="125"/>
    </row>
    <row r="269" spans="1:6" ht="18.75" customHeight="1">
      <c r="A269" s="129" t="s">
        <v>550</v>
      </c>
      <c r="B269" s="136">
        <v>1</v>
      </c>
      <c r="C269" s="138">
        <f t="shared" si="1"/>
        <v>1</v>
      </c>
      <c r="D269" s="140">
        <f>COUNTIF(Table_246[Produto],Table_1[[#This Row],[Produtos]])</f>
        <v>0</v>
      </c>
      <c r="E269" s="142">
        <v>19</v>
      </c>
      <c r="F269" s="125"/>
    </row>
    <row r="270" spans="1:6" ht="18.75" customHeight="1">
      <c r="A270" s="128" t="s">
        <v>292</v>
      </c>
      <c r="B270" s="135">
        <v>1</v>
      </c>
      <c r="C270" s="137">
        <f t="shared" si="1"/>
        <v>1</v>
      </c>
      <c r="D270" s="139">
        <f>COUNTIF(Table_246[Produto],Table_1[[#This Row],[Produtos]])</f>
        <v>0</v>
      </c>
      <c r="E270" s="141">
        <v>30</v>
      </c>
      <c r="F270" s="125"/>
    </row>
    <row r="271" spans="1:6" ht="18.75" customHeight="1">
      <c r="A271" s="129" t="s">
        <v>1315</v>
      </c>
      <c r="B271" s="136">
        <v>1</v>
      </c>
      <c r="C271" s="138">
        <f t="shared" si="1"/>
        <v>1</v>
      </c>
      <c r="D271" s="140">
        <f>COUNTIF(Table_246[Produto],Table_1[[#This Row],[Produtos]])</f>
        <v>0</v>
      </c>
      <c r="E271" s="142">
        <v>16.899999999999999</v>
      </c>
      <c r="F271" s="125"/>
    </row>
    <row r="272" spans="1:6" ht="18.75" customHeight="1">
      <c r="A272" s="128" t="s">
        <v>314</v>
      </c>
      <c r="B272" s="135">
        <v>1</v>
      </c>
      <c r="C272" s="137">
        <f t="shared" si="1"/>
        <v>1</v>
      </c>
      <c r="D272" s="139">
        <f>COUNTIF(Table_246[Produto],Table_1[[#This Row],[Produtos]])</f>
        <v>0</v>
      </c>
      <c r="E272" s="141">
        <v>31.99</v>
      </c>
      <c r="F272" s="125"/>
    </row>
    <row r="273" spans="1:6" ht="18.75" customHeight="1">
      <c r="A273" s="129" t="s">
        <v>1316</v>
      </c>
      <c r="B273" s="136">
        <v>1</v>
      </c>
      <c r="C273" s="138">
        <f t="shared" si="1"/>
        <v>1</v>
      </c>
      <c r="D273" s="140">
        <f>COUNTIF(Table_246[Produto],Table_1[[#This Row],[Produtos]])</f>
        <v>0</v>
      </c>
      <c r="E273" s="142">
        <v>45</v>
      </c>
      <c r="F273" s="125"/>
    </row>
    <row r="274" spans="1:6" ht="18.75" customHeight="1">
      <c r="A274" s="128" t="s">
        <v>195</v>
      </c>
      <c r="B274" s="135">
        <v>1</v>
      </c>
      <c r="C274" s="137">
        <f t="shared" si="1"/>
        <v>1</v>
      </c>
      <c r="D274" s="139">
        <f>COUNTIF(Table_246[Produto],Table_1[[#This Row],[Produtos]])</f>
        <v>0</v>
      </c>
      <c r="E274" s="141">
        <v>31.99</v>
      </c>
      <c r="F274" s="125"/>
    </row>
    <row r="275" spans="1:6" ht="18.75" customHeight="1">
      <c r="A275" s="130" t="s">
        <v>1011</v>
      </c>
      <c r="B275" s="136">
        <v>99</v>
      </c>
      <c r="C275" s="138">
        <f t="shared" si="1"/>
        <v>97</v>
      </c>
      <c r="D275" s="140">
        <f>COUNTIF(Table_246[Produto],Table_1[[#This Row],[Produtos]])</f>
        <v>2</v>
      </c>
      <c r="E275" s="142"/>
      <c r="F275" s="125"/>
    </row>
    <row r="276" spans="1:6" ht="18.75" customHeight="1">
      <c r="A276" s="128" t="s">
        <v>1317</v>
      </c>
      <c r="B276" s="135">
        <v>1</v>
      </c>
      <c r="C276" s="137">
        <f t="shared" si="1"/>
        <v>1</v>
      </c>
      <c r="D276" s="139">
        <f>COUNTIF(Table_246[Produto],Table_1[[#This Row],[Produtos]])</f>
        <v>0</v>
      </c>
      <c r="E276" s="141"/>
      <c r="F276" s="125"/>
    </row>
    <row r="277" spans="1:6" ht="18.75" customHeight="1">
      <c r="A277" s="129" t="s">
        <v>1318</v>
      </c>
      <c r="B277" s="136">
        <v>1</v>
      </c>
      <c r="C277" s="138">
        <f t="shared" si="1"/>
        <v>1</v>
      </c>
      <c r="D277" s="140">
        <f>COUNTIF(Table_246[Produto],Table_1[[#This Row],[Produtos]])</f>
        <v>0</v>
      </c>
      <c r="E277" s="142">
        <v>5.5</v>
      </c>
      <c r="F277" s="125"/>
    </row>
    <row r="278" spans="1:6" ht="18.75" customHeight="1">
      <c r="A278" s="128" t="s">
        <v>1319</v>
      </c>
      <c r="B278" s="135">
        <v>1</v>
      </c>
      <c r="C278" s="137">
        <f t="shared" si="1"/>
        <v>1</v>
      </c>
      <c r="D278" s="139">
        <f>COUNTIF(Table_246[Produto],Table_1[[#This Row],[Produtos]])</f>
        <v>0</v>
      </c>
      <c r="E278" s="141">
        <v>5.5</v>
      </c>
      <c r="F278" s="125"/>
    </row>
    <row r="279" spans="1:6" ht="18.75" customHeight="1">
      <c r="A279" s="129" t="s">
        <v>1320</v>
      </c>
      <c r="B279" s="136">
        <v>1</v>
      </c>
      <c r="C279" s="138">
        <f t="shared" si="1"/>
        <v>1</v>
      </c>
      <c r="D279" s="140">
        <f>COUNTIF(Table_246[Produto],Table_1[[#This Row],[Produtos]])</f>
        <v>0</v>
      </c>
      <c r="E279" s="142">
        <v>7</v>
      </c>
      <c r="F279" s="125"/>
    </row>
    <row r="280" spans="1:6" ht="18.75" customHeight="1">
      <c r="A280" s="128" t="s">
        <v>1321</v>
      </c>
      <c r="B280" s="135">
        <v>1</v>
      </c>
      <c r="C280" s="137">
        <f t="shared" si="1"/>
        <v>1</v>
      </c>
      <c r="D280" s="139">
        <f>COUNTIF(Table_246[Produto],Table_1[[#This Row],[Produtos]])</f>
        <v>0</v>
      </c>
      <c r="E280" s="141">
        <v>15</v>
      </c>
      <c r="F280" s="125"/>
    </row>
    <row r="281" spans="1:6" ht="18.75" customHeight="1">
      <c r="A281" s="129" t="s">
        <v>1322</v>
      </c>
      <c r="B281" s="136">
        <v>1</v>
      </c>
      <c r="C281" s="138">
        <f t="shared" si="1"/>
        <v>1</v>
      </c>
      <c r="D281" s="140">
        <f>COUNTIF(Table_246[Produto],Table_1[[#This Row],[Produtos]])</f>
        <v>0</v>
      </c>
      <c r="E281" s="142">
        <v>5</v>
      </c>
      <c r="F281" s="125"/>
    </row>
    <row r="282" spans="1:6" ht="18.75" customHeight="1">
      <c r="A282" s="128" t="s">
        <v>1323</v>
      </c>
      <c r="B282" s="135">
        <v>1</v>
      </c>
      <c r="C282" s="137">
        <f t="shared" si="1"/>
        <v>1</v>
      </c>
      <c r="D282" s="139">
        <f>COUNTIF(Table_246[Produto],Table_1[[#This Row],[Produtos]])</f>
        <v>0</v>
      </c>
      <c r="E282" s="141">
        <v>5</v>
      </c>
      <c r="F282" s="125"/>
    </row>
    <row r="283" spans="1:6" ht="18.75" customHeight="1">
      <c r="A283" s="130" t="s">
        <v>1038</v>
      </c>
      <c r="B283" s="136">
        <v>99</v>
      </c>
      <c r="C283" s="138">
        <f t="shared" si="1"/>
        <v>96</v>
      </c>
      <c r="D283" s="140">
        <f>COUNTIF(Table_246[Produto],Table_1[[#This Row],[Produtos]])</f>
        <v>3</v>
      </c>
      <c r="E283" s="142"/>
      <c r="F283" s="125"/>
    </row>
    <row r="284" spans="1:6" ht="18.75" customHeight="1">
      <c r="A284" s="130" t="s">
        <v>1034</v>
      </c>
      <c r="B284" s="135">
        <v>99</v>
      </c>
      <c r="C284" s="137">
        <f t="shared" si="1"/>
        <v>98</v>
      </c>
      <c r="D284" s="139">
        <f>COUNTIF(Table_246[Produto],Table_1[[#This Row],[Produtos]])</f>
        <v>1</v>
      </c>
      <c r="E284" s="141"/>
      <c r="F284" s="125"/>
    </row>
    <row r="285" spans="1:6" ht="18.75" customHeight="1">
      <c r="A285" s="129" t="s">
        <v>1324</v>
      </c>
      <c r="B285" s="136">
        <v>1</v>
      </c>
      <c r="C285" s="138">
        <f t="shared" si="1"/>
        <v>1</v>
      </c>
      <c r="D285" s="140">
        <f>COUNTIF(Table_246[Produto],Table_1[[#This Row],[Produtos]])</f>
        <v>0</v>
      </c>
      <c r="E285" s="142">
        <v>350</v>
      </c>
      <c r="F285" s="125"/>
    </row>
    <row r="286" spans="1:6" ht="18.75" customHeight="1">
      <c r="A286" s="128" t="s">
        <v>1325</v>
      </c>
      <c r="B286" s="135">
        <v>1</v>
      </c>
      <c r="C286" s="137">
        <f t="shared" si="1"/>
        <v>1</v>
      </c>
      <c r="D286" s="139">
        <f>COUNTIF(Table_246[Produto],Table_1[[#This Row],[Produtos]])</f>
        <v>0</v>
      </c>
      <c r="E286" s="141">
        <v>20.5</v>
      </c>
      <c r="F286" s="125"/>
    </row>
    <row r="287" spans="1:6" ht="18.75" customHeight="1">
      <c r="A287" s="129" t="s">
        <v>97</v>
      </c>
      <c r="B287" s="136">
        <v>1</v>
      </c>
      <c r="C287" s="138">
        <f t="shared" si="1"/>
        <v>-12</v>
      </c>
      <c r="D287" s="140">
        <f>COUNTIF(Table_246[Produto],Table_1[[#This Row],[Produtos]])</f>
        <v>13</v>
      </c>
      <c r="E287" s="142">
        <v>3</v>
      </c>
      <c r="F287" s="125"/>
    </row>
    <row r="288" spans="1:6" ht="18.75" customHeight="1">
      <c r="A288" s="128" t="s">
        <v>259</v>
      </c>
      <c r="B288" s="135">
        <v>1</v>
      </c>
      <c r="C288" s="137">
        <f t="shared" si="1"/>
        <v>1</v>
      </c>
      <c r="D288" s="139">
        <f>COUNTIF(Table_246[Produto],Table_1[[#This Row],[Produtos]])</f>
        <v>0</v>
      </c>
      <c r="E288" s="141">
        <v>6</v>
      </c>
      <c r="F288" s="125"/>
    </row>
    <row r="289" spans="1:6" ht="18.75" customHeight="1">
      <c r="A289" s="129" t="s">
        <v>1326</v>
      </c>
      <c r="B289" s="136">
        <v>1</v>
      </c>
      <c r="C289" s="138">
        <f t="shared" si="1"/>
        <v>1</v>
      </c>
      <c r="D289" s="140">
        <f>COUNTIF(Table_246[Produto],Table_1[[#This Row],[Produtos]])</f>
        <v>0</v>
      </c>
      <c r="E289" s="142">
        <v>6</v>
      </c>
      <c r="F289" s="125"/>
    </row>
    <row r="290" spans="1:6" ht="18.75" customHeight="1">
      <c r="A290" s="130" t="s">
        <v>1014</v>
      </c>
      <c r="B290" s="135">
        <v>99</v>
      </c>
      <c r="C290" s="137">
        <f t="shared" si="1"/>
        <v>98</v>
      </c>
      <c r="D290" s="139">
        <f>COUNTIF(Table_246[Produto],Table_1[[#This Row],[Produtos]])</f>
        <v>1</v>
      </c>
      <c r="E290" s="141"/>
      <c r="F290" s="125"/>
    </row>
    <row r="291" spans="1:6" ht="18.75" customHeight="1">
      <c r="A291" s="129" t="s">
        <v>1327</v>
      </c>
      <c r="B291" s="136">
        <v>1</v>
      </c>
      <c r="C291" s="138">
        <f t="shared" si="1"/>
        <v>1</v>
      </c>
      <c r="D291" s="140">
        <f>COUNTIF(Table_246[Produto],Table_1[[#This Row],[Produtos]])</f>
        <v>0</v>
      </c>
      <c r="E291" s="142">
        <v>2.5</v>
      </c>
      <c r="F291" s="125"/>
    </row>
    <row r="292" spans="1:6" ht="18.75" customHeight="1">
      <c r="A292" s="128" t="s">
        <v>1328</v>
      </c>
      <c r="B292" s="135">
        <v>1</v>
      </c>
      <c r="C292" s="137">
        <f t="shared" si="1"/>
        <v>1</v>
      </c>
      <c r="D292" s="139">
        <f>COUNTIF(Table_246[Produto],Table_1[[#This Row],[Produtos]])</f>
        <v>0</v>
      </c>
      <c r="E292" s="141">
        <v>9</v>
      </c>
      <c r="F292" s="125"/>
    </row>
    <row r="293" spans="1:6" ht="18.75" customHeight="1">
      <c r="A293" s="129" t="s">
        <v>1329</v>
      </c>
      <c r="B293" s="136">
        <v>1</v>
      </c>
      <c r="C293" s="138">
        <f t="shared" si="1"/>
        <v>1</v>
      </c>
      <c r="D293" s="140">
        <f>COUNTIF(Table_246[Produto],Table_1[[#This Row],[Produtos]])</f>
        <v>0</v>
      </c>
      <c r="E293" s="142">
        <v>4</v>
      </c>
      <c r="F293" s="125"/>
    </row>
    <row r="294" spans="1:6" ht="18.75" customHeight="1">
      <c r="A294" s="128" t="s">
        <v>267</v>
      </c>
      <c r="B294" s="135">
        <v>1</v>
      </c>
      <c r="C294" s="137">
        <f t="shared" si="1"/>
        <v>1</v>
      </c>
      <c r="D294" s="139">
        <f>COUNTIF(Table_246[Produto],Table_1[[#This Row],[Produtos]])</f>
        <v>0</v>
      </c>
      <c r="E294" s="141">
        <v>1</v>
      </c>
      <c r="F294" s="125"/>
    </row>
    <row r="295" spans="1:6" ht="18.75" customHeight="1">
      <c r="A295" s="129" t="s">
        <v>1330</v>
      </c>
      <c r="B295" s="136">
        <v>1</v>
      </c>
      <c r="C295" s="138">
        <f t="shared" si="1"/>
        <v>1</v>
      </c>
      <c r="D295" s="140">
        <f>COUNTIF(Table_246[Produto],Table_1[[#This Row],[Produtos]])</f>
        <v>0</v>
      </c>
      <c r="E295" s="142">
        <v>12</v>
      </c>
      <c r="F295" s="125"/>
    </row>
    <row r="296" spans="1:6" ht="18.75" customHeight="1">
      <c r="A296" s="128" t="s">
        <v>193</v>
      </c>
      <c r="B296" s="135">
        <v>1</v>
      </c>
      <c r="C296" s="137">
        <f t="shared" si="1"/>
        <v>1</v>
      </c>
      <c r="D296" s="139">
        <f>COUNTIF(Table_246[Produto],Table_1[[#This Row],[Produtos]])</f>
        <v>0</v>
      </c>
      <c r="E296" s="141">
        <v>11</v>
      </c>
      <c r="F296" s="125"/>
    </row>
    <row r="297" spans="1:6" ht="18.75" customHeight="1">
      <c r="A297" s="129" t="s">
        <v>1331</v>
      </c>
      <c r="B297" s="136">
        <v>1</v>
      </c>
      <c r="C297" s="138">
        <f t="shared" si="1"/>
        <v>1</v>
      </c>
      <c r="D297" s="140">
        <f>COUNTIF(Table_246[Produto],Table_1[[#This Row],[Produtos]])</f>
        <v>0</v>
      </c>
      <c r="E297" s="142">
        <v>12</v>
      </c>
      <c r="F297" s="125"/>
    </row>
    <row r="298" spans="1:6" ht="18.75" customHeight="1">
      <c r="A298" s="130" t="s">
        <v>1017</v>
      </c>
      <c r="B298" s="135">
        <v>99</v>
      </c>
      <c r="C298" s="137">
        <f t="shared" si="1"/>
        <v>98</v>
      </c>
      <c r="D298" s="139">
        <f>COUNTIF(Table_246[Produto],Table_1[[#This Row],[Produtos]])</f>
        <v>1</v>
      </c>
      <c r="E298" s="141"/>
      <c r="F298" s="125"/>
    </row>
    <row r="299" spans="1:6" ht="18.75" customHeight="1">
      <c r="A299" s="129" t="s">
        <v>282</v>
      </c>
      <c r="B299" s="136">
        <v>1</v>
      </c>
      <c r="C299" s="138">
        <f t="shared" si="1"/>
        <v>1</v>
      </c>
      <c r="D299" s="140">
        <f>COUNTIF(Table_246[Produto],Table_1[[#This Row],[Produtos]])</f>
        <v>0</v>
      </c>
      <c r="E299" s="142">
        <v>9</v>
      </c>
      <c r="F299" s="125"/>
    </row>
    <row r="300" spans="1:6" ht="18.75" customHeight="1">
      <c r="A300" s="128" t="s">
        <v>709</v>
      </c>
      <c r="B300" s="135">
        <v>1</v>
      </c>
      <c r="C300" s="137">
        <f t="shared" si="1"/>
        <v>1</v>
      </c>
      <c r="D300" s="139">
        <f>COUNTIF(Table_246[Produto],Table_1[[#This Row],[Produtos]])</f>
        <v>0</v>
      </c>
      <c r="E300" s="141">
        <v>37</v>
      </c>
      <c r="F300" s="125"/>
    </row>
    <row r="301" spans="1:6" ht="18.75" customHeight="1">
      <c r="A301" s="129" t="s">
        <v>1332</v>
      </c>
      <c r="B301" s="136">
        <v>1</v>
      </c>
      <c r="C301" s="138">
        <f t="shared" si="1"/>
        <v>1</v>
      </c>
      <c r="D301" s="140">
        <f>COUNTIF(Table_246[Produto],Table_1[[#This Row],[Produtos]])</f>
        <v>0</v>
      </c>
      <c r="E301" s="142">
        <v>43</v>
      </c>
      <c r="F301" s="125"/>
    </row>
    <row r="302" spans="1:6" ht="18.75" customHeight="1">
      <c r="A302" s="128" t="s">
        <v>708</v>
      </c>
      <c r="B302" s="135">
        <v>1</v>
      </c>
      <c r="C302" s="137">
        <f t="shared" si="1"/>
        <v>1</v>
      </c>
      <c r="D302" s="139">
        <f>COUNTIF(Table_246[Produto],Table_1[[#This Row],[Produtos]])</f>
        <v>0</v>
      </c>
      <c r="E302" s="141">
        <v>25</v>
      </c>
      <c r="F302" s="125"/>
    </row>
    <row r="303" spans="1:6" ht="18.75" customHeight="1">
      <c r="A303" s="129" t="s">
        <v>1333</v>
      </c>
      <c r="B303" s="136">
        <v>1</v>
      </c>
      <c r="C303" s="138">
        <f t="shared" si="1"/>
        <v>1</v>
      </c>
      <c r="D303" s="140">
        <f>COUNTIF(Table_246[Produto],Table_1[[#This Row],[Produtos]])</f>
        <v>0</v>
      </c>
      <c r="E303" s="142">
        <v>25.99</v>
      </c>
      <c r="F303" s="125"/>
    </row>
    <row r="304" spans="1:6" ht="18.75" customHeight="1">
      <c r="A304" s="130" t="s">
        <v>1005</v>
      </c>
      <c r="B304" s="135">
        <v>99</v>
      </c>
      <c r="C304" s="137">
        <f t="shared" si="1"/>
        <v>98</v>
      </c>
      <c r="D304" s="139">
        <f>COUNTIF(Table_246[Produto],Table_1[[#This Row],[Produtos]])</f>
        <v>1</v>
      </c>
      <c r="E304" s="141"/>
      <c r="F304" s="125"/>
    </row>
    <row r="305" spans="1:6" ht="18.75" customHeight="1">
      <c r="A305" s="130" t="s">
        <v>274</v>
      </c>
      <c r="B305" s="136">
        <v>99</v>
      </c>
      <c r="C305" s="138">
        <f t="shared" si="1"/>
        <v>96</v>
      </c>
      <c r="D305" s="140">
        <f>COUNTIF(Table_246[Produto],Table_1[[#This Row],[Produtos]])</f>
        <v>3</v>
      </c>
      <c r="E305" s="142"/>
      <c r="F305" s="125"/>
    </row>
    <row r="306" spans="1:6" ht="18.75" customHeight="1">
      <c r="A306" s="128" t="s">
        <v>458</v>
      </c>
      <c r="B306" s="135">
        <v>1</v>
      </c>
      <c r="C306" s="137">
        <f t="shared" si="1"/>
        <v>1</v>
      </c>
      <c r="D306" s="139">
        <f>COUNTIF(Table_246[Produto],Table_1[[#This Row],[Produtos]])</f>
        <v>0</v>
      </c>
      <c r="E306" s="141">
        <v>0.5</v>
      </c>
      <c r="F306" s="125"/>
    </row>
    <row r="307" spans="1:6" ht="18.75" customHeight="1">
      <c r="A307" s="129" t="s">
        <v>1334</v>
      </c>
      <c r="B307" s="136">
        <v>1</v>
      </c>
      <c r="C307" s="138">
        <f t="shared" si="1"/>
        <v>1</v>
      </c>
      <c r="D307" s="140">
        <f>COUNTIF(Table_246[Produto],Table_1[[#This Row],[Produtos]])</f>
        <v>0</v>
      </c>
      <c r="E307" s="142">
        <v>8</v>
      </c>
      <c r="F307" s="125"/>
    </row>
    <row r="308" spans="1:6" ht="18.75" customHeight="1">
      <c r="A308" s="128" t="s">
        <v>1335</v>
      </c>
      <c r="B308" s="135">
        <v>1</v>
      </c>
      <c r="C308" s="137">
        <f t="shared" si="1"/>
        <v>1</v>
      </c>
      <c r="D308" s="139">
        <f>COUNTIF(Table_246[Produto],Table_1[[#This Row],[Produtos]])</f>
        <v>0</v>
      </c>
      <c r="E308" s="141">
        <v>5</v>
      </c>
      <c r="F308" s="125"/>
    </row>
    <row r="309" spans="1:6" ht="18.75" customHeight="1">
      <c r="A309" s="129" t="s">
        <v>186</v>
      </c>
      <c r="B309" s="136">
        <v>1</v>
      </c>
      <c r="C309" s="138">
        <f t="shared" si="1"/>
        <v>1</v>
      </c>
      <c r="D309" s="140">
        <f>COUNTIF(Table_246[Produto],Table_1[[#This Row],[Produtos]])</f>
        <v>0</v>
      </c>
      <c r="E309" s="142">
        <v>10</v>
      </c>
      <c r="F309" s="125"/>
    </row>
    <row r="310" spans="1:6" ht="18.75" customHeight="1">
      <c r="A310" s="128" t="s">
        <v>1336</v>
      </c>
      <c r="B310" s="135">
        <v>1</v>
      </c>
      <c r="C310" s="137">
        <f t="shared" si="1"/>
        <v>1</v>
      </c>
      <c r="D310" s="139">
        <f>COUNTIF(Table_246[Produto],Table_1[[#This Row],[Produtos]])</f>
        <v>0</v>
      </c>
      <c r="E310" s="141">
        <v>12</v>
      </c>
      <c r="F310" s="125"/>
    </row>
    <row r="311" spans="1:6" ht="18.75" customHeight="1">
      <c r="A311" s="129" t="s">
        <v>1337</v>
      </c>
      <c r="B311" s="136">
        <v>1</v>
      </c>
      <c r="C311" s="138">
        <f t="shared" si="1"/>
        <v>1</v>
      </c>
      <c r="D311" s="140">
        <f>COUNTIF(Table_246[Produto],Table_1[[#This Row],[Produtos]])</f>
        <v>0</v>
      </c>
      <c r="E311" s="142">
        <v>6</v>
      </c>
      <c r="F311" s="125"/>
    </row>
    <row r="312" spans="1:6" ht="18.75" customHeight="1">
      <c r="A312" s="128" t="s">
        <v>1338</v>
      </c>
      <c r="B312" s="135">
        <v>1</v>
      </c>
      <c r="C312" s="137">
        <f t="shared" si="1"/>
        <v>1</v>
      </c>
      <c r="D312" s="139">
        <f>COUNTIF(Table_246[Produto],Table_1[[#This Row],[Produtos]])</f>
        <v>0</v>
      </c>
      <c r="E312" s="141">
        <v>11</v>
      </c>
      <c r="F312" s="125"/>
    </row>
    <row r="313" spans="1:6" ht="18.75" customHeight="1">
      <c r="A313" s="129" t="s">
        <v>1339</v>
      </c>
      <c r="B313" s="136">
        <v>1</v>
      </c>
      <c r="C313" s="138">
        <f t="shared" si="1"/>
        <v>1</v>
      </c>
      <c r="D313" s="140">
        <f>COUNTIF(Table_246[Produto],Table_1[[#This Row],[Produtos]])</f>
        <v>0</v>
      </c>
      <c r="E313" s="142">
        <v>12</v>
      </c>
      <c r="F313" s="125"/>
    </row>
    <row r="314" spans="1:6" ht="18.75" customHeight="1">
      <c r="A314" s="128" t="s">
        <v>1340</v>
      </c>
      <c r="B314" s="135">
        <v>1</v>
      </c>
      <c r="C314" s="137">
        <f t="shared" si="1"/>
        <v>1</v>
      </c>
      <c r="D314" s="139">
        <f>COUNTIF(Table_246[Produto],Table_1[[#This Row],[Produtos]])</f>
        <v>0</v>
      </c>
      <c r="E314" s="143">
        <v>1</v>
      </c>
      <c r="F314" s="125"/>
    </row>
    <row r="315" spans="1:6" ht="18.75" customHeight="1">
      <c r="A315" s="129" t="s">
        <v>1341</v>
      </c>
      <c r="B315" s="136">
        <v>1</v>
      </c>
      <c r="C315" s="138">
        <f t="shared" si="1"/>
        <v>1</v>
      </c>
      <c r="D315" s="140">
        <f>COUNTIF(Table_246[Produto],Table_1[[#This Row],[Produtos]])</f>
        <v>0</v>
      </c>
      <c r="E315" s="142">
        <v>4.5999999999999996</v>
      </c>
      <c r="F315" s="125"/>
    </row>
    <row r="316" spans="1:6" ht="18.75" customHeight="1">
      <c r="A316" s="128" t="s">
        <v>1342</v>
      </c>
      <c r="B316" s="135">
        <v>1</v>
      </c>
      <c r="C316" s="137">
        <f t="shared" si="1"/>
        <v>1</v>
      </c>
      <c r="D316" s="139">
        <f>COUNTIF(Table_246[Produto],Table_1[[#This Row],[Produtos]])</f>
        <v>0</v>
      </c>
      <c r="E316" s="141">
        <v>15</v>
      </c>
      <c r="F316" s="125"/>
    </row>
    <row r="317" spans="1:6" ht="18.75" customHeight="1">
      <c r="A317" s="129" t="s">
        <v>204</v>
      </c>
      <c r="B317" s="136">
        <v>1</v>
      </c>
      <c r="C317" s="138">
        <f t="shared" si="1"/>
        <v>1</v>
      </c>
      <c r="D317" s="140">
        <f>COUNTIF(Table_246[Produto],Table_1[[#This Row],[Produtos]])</f>
        <v>0</v>
      </c>
      <c r="E317" s="142">
        <v>6</v>
      </c>
      <c r="F317" s="125"/>
    </row>
    <row r="318" spans="1:6" ht="18.75" customHeight="1">
      <c r="A318" s="128" t="s">
        <v>574</v>
      </c>
      <c r="B318" s="135">
        <v>1</v>
      </c>
      <c r="C318" s="137">
        <f t="shared" si="1"/>
        <v>1</v>
      </c>
      <c r="D318" s="139">
        <f>COUNTIF(Table_246[Produto],Table_1[[#This Row],[Produtos]])</f>
        <v>0</v>
      </c>
      <c r="E318" s="141">
        <v>16</v>
      </c>
      <c r="F318" s="125"/>
    </row>
    <row r="319" spans="1:6" ht="18.75" customHeight="1">
      <c r="A319" s="129" t="s">
        <v>1343</v>
      </c>
      <c r="B319" s="136">
        <v>1</v>
      </c>
      <c r="C319" s="138">
        <f t="shared" si="1"/>
        <v>1</v>
      </c>
      <c r="D319" s="140">
        <f>COUNTIF(Table_246[Produto],Table_1[[#This Row],[Produtos]])</f>
        <v>0</v>
      </c>
      <c r="E319" s="142">
        <v>13</v>
      </c>
      <c r="F319" s="125"/>
    </row>
    <row r="320" spans="1:6" ht="18.75" customHeight="1">
      <c r="A320" s="130" t="s">
        <v>1065</v>
      </c>
      <c r="B320" s="135">
        <v>99</v>
      </c>
      <c r="C320" s="137">
        <f t="shared" si="1"/>
        <v>97</v>
      </c>
      <c r="D320" s="139">
        <f>COUNTIF(Table_246[Produto],Table_1[[#This Row],[Produtos]])</f>
        <v>2</v>
      </c>
      <c r="E320" s="141"/>
      <c r="F320" s="125"/>
    </row>
    <row r="321" spans="1:6" ht="18.75" customHeight="1">
      <c r="A321" s="129" t="s">
        <v>1344</v>
      </c>
      <c r="B321" s="136">
        <v>1</v>
      </c>
      <c r="C321" s="138">
        <f t="shared" si="1"/>
        <v>1</v>
      </c>
      <c r="D321" s="140">
        <f>COUNTIF(Table_246[Produto],Table_1[[#This Row],[Produtos]])</f>
        <v>0</v>
      </c>
      <c r="E321" s="142">
        <v>12</v>
      </c>
      <c r="F321" s="125"/>
    </row>
    <row r="322" spans="1:6" ht="18.75" customHeight="1">
      <c r="A322" s="128" t="s">
        <v>1345</v>
      </c>
      <c r="B322" s="135">
        <v>1</v>
      </c>
      <c r="C322" s="137">
        <f t="shared" si="1"/>
        <v>1</v>
      </c>
      <c r="D322" s="139">
        <f>COUNTIF(Table_246[Produto],Table_1[[#This Row],[Produtos]])</f>
        <v>0</v>
      </c>
      <c r="E322" s="141">
        <v>10</v>
      </c>
      <c r="F322" s="125"/>
    </row>
    <row r="323" spans="1:6" ht="18.75" customHeight="1">
      <c r="A323" s="129" t="s">
        <v>333</v>
      </c>
      <c r="B323" s="136">
        <v>1</v>
      </c>
      <c r="C323" s="138">
        <f t="shared" si="1"/>
        <v>1</v>
      </c>
      <c r="D323" s="140">
        <f>COUNTIF(Table_246[Produto],Table_1[[#This Row],[Produtos]])</f>
        <v>0</v>
      </c>
      <c r="E323" s="142">
        <v>6</v>
      </c>
      <c r="F323" s="125"/>
    </row>
    <row r="324" spans="1:6" ht="18.75" customHeight="1">
      <c r="A324" s="128" t="s">
        <v>230</v>
      </c>
      <c r="B324" s="135">
        <v>1</v>
      </c>
      <c r="C324" s="137">
        <f t="shared" si="1"/>
        <v>1</v>
      </c>
      <c r="D324" s="139">
        <f>COUNTIF(Table_246[Produto],Table_1[[#This Row],[Produtos]])</f>
        <v>0</v>
      </c>
      <c r="E324" s="141">
        <v>11</v>
      </c>
      <c r="F324" s="125"/>
    </row>
    <row r="325" spans="1:6" ht="18.75" customHeight="1">
      <c r="A325" s="129" t="s">
        <v>1346</v>
      </c>
      <c r="B325" s="136">
        <v>1</v>
      </c>
      <c r="C325" s="138">
        <f t="shared" si="1"/>
        <v>1</v>
      </c>
      <c r="D325" s="140">
        <f>COUNTIF(Table_246[Produto],Table_1[[#This Row],[Produtos]])</f>
        <v>0</v>
      </c>
      <c r="E325" s="142">
        <v>11</v>
      </c>
      <c r="F325" s="125"/>
    </row>
    <row r="326" spans="1:6" ht="18.75" customHeight="1">
      <c r="A326" s="128" t="s">
        <v>532</v>
      </c>
      <c r="B326" s="135">
        <v>1</v>
      </c>
      <c r="C326" s="137">
        <f t="shared" si="1"/>
        <v>1</v>
      </c>
      <c r="D326" s="139">
        <f>COUNTIF(Table_246[Produto],Table_1[[#This Row],[Produtos]])</f>
        <v>0</v>
      </c>
      <c r="E326" s="141">
        <v>1.5</v>
      </c>
      <c r="F326" s="125"/>
    </row>
    <row r="327" spans="1:6" ht="18.75" customHeight="1">
      <c r="A327" s="129" t="s">
        <v>1347</v>
      </c>
      <c r="B327" s="136">
        <v>1</v>
      </c>
      <c r="C327" s="138">
        <f t="shared" si="1"/>
        <v>1</v>
      </c>
      <c r="D327" s="140">
        <f>COUNTIF(Table_246[Produto],Table_1[[#This Row],[Produtos]])</f>
        <v>0</v>
      </c>
      <c r="E327" s="142">
        <v>17</v>
      </c>
      <c r="F327" s="125"/>
    </row>
    <row r="328" spans="1:6" ht="18.75" customHeight="1">
      <c r="A328" s="128" t="s">
        <v>1348</v>
      </c>
      <c r="B328" s="135">
        <v>1</v>
      </c>
      <c r="C328" s="137">
        <f t="shared" si="1"/>
        <v>1</v>
      </c>
      <c r="D328" s="139">
        <f>COUNTIF(Table_246[Produto],Table_1[[#This Row],[Produtos]])</f>
        <v>0</v>
      </c>
      <c r="E328" s="141">
        <v>14</v>
      </c>
      <c r="F328" s="125"/>
    </row>
    <row r="329" spans="1:6" ht="18.75" customHeight="1">
      <c r="A329" s="129" t="s">
        <v>1349</v>
      </c>
      <c r="B329" s="136">
        <v>1</v>
      </c>
      <c r="C329" s="138">
        <f t="shared" si="1"/>
        <v>1</v>
      </c>
      <c r="D329" s="140">
        <f>COUNTIF(Table_246[Produto],Table_1[[#This Row],[Produtos]])</f>
        <v>0</v>
      </c>
      <c r="E329" s="142">
        <v>15.5</v>
      </c>
      <c r="F329" s="125"/>
    </row>
    <row r="330" spans="1:6" ht="18.75" customHeight="1">
      <c r="A330" s="128" t="s">
        <v>324</v>
      </c>
      <c r="B330" s="135">
        <v>1</v>
      </c>
      <c r="C330" s="137">
        <f t="shared" si="1"/>
        <v>1</v>
      </c>
      <c r="D330" s="139">
        <f>COUNTIF(Table_246[Produto],Table_1[[#This Row],[Produtos]])</f>
        <v>0</v>
      </c>
      <c r="E330" s="141">
        <v>25</v>
      </c>
      <c r="F330" s="125"/>
    </row>
    <row r="331" spans="1:6" ht="18.75" customHeight="1">
      <c r="A331" s="129" t="s">
        <v>1350</v>
      </c>
      <c r="B331" s="136">
        <v>1</v>
      </c>
      <c r="C331" s="138">
        <f t="shared" si="1"/>
        <v>1</v>
      </c>
      <c r="D331" s="140">
        <f>COUNTIF(Table_246[Produto],Table_1[[#This Row],[Produtos]])</f>
        <v>0</v>
      </c>
      <c r="E331" s="142">
        <v>4.99</v>
      </c>
      <c r="F331" s="125"/>
    </row>
    <row r="332" spans="1:6" ht="18.75" customHeight="1">
      <c r="A332" s="128" t="s">
        <v>1351</v>
      </c>
      <c r="B332" s="135">
        <v>1</v>
      </c>
      <c r="C332" s="137">
        <f t="shared" si="1"/>
        <v>1</v>
      </c>
      <c r="D332" s="139">
        <f>COUNTIF(Table_246[Produto],Table_1[[#This Row],[Produtos]])</f>
        <v>0</v>
      </c>
      <c r="E332" s="141">
        <v>11</v>
      </c>
      <c r="F332" s="125"/>
    </row>
    <row r="333" spans="1:6" ht="18.75" customHeight="1">
      <c r="A333" s="130" t="s">
        <v>1040</v>
      </c>
      <c r="B333" s="136">
        <v>99</v>
      </c>
      <c r="C333" s="138">
        <f t="shared" si="1"/>
        <v>98</v>
      </c>
      <c r="D333" s="140">
        <f>COUNTIF(Table_246[Produto],Table_1[[#This Row],[Produtos]])</f>
        <v>1</v>
      </c>
      <c r="E333" s="142"/>
      <c r="F333" s="125"/>
    </row>
    <row r="334" spans="1:6" ht="18.75" customHeight="1">
      <c r="A334" s="128" t="s">
        <v>1055</v>
      </c>
      <c r="B334" s="135">
        <v>1</v>
      </c>
      <c r="C334" s="137">
        <f t="shared" si="1"/>
        <v>-1</v>
      </c>
      <c r="D334" s="139">
        <f>COUNTIF(Table_246[Produto],Table_1[[#This Row],[Produtos]])</f>
        <v>2</v>
      </c>
      <c r="E334" s="141">
        <v>305</v>
      </c>
      <c r="F334" s="125"/>
    </row>
    <row r="335" spans="1:6" ht="18.75" customHeight="1">
      <c r="A335" s="129" t="s">
        <v>1046</v>
      </c>
      <c r="B335" s="136">
        <v>1</v>
      </c>
      <c r="C335" s="138">
        <f t="shared" si="1"/>
        <v>0</v>
      </c>
      <c r="D335" s="140">
        <f>COUNTIF(Table_246[Produto],Table_1[[#This Row],[Produtos]])</f>
        <v>1</v>
      </c>
      <c r="E335" s="142">
        <v>6</v>
      </c>
      <c r="F335" s="125"/>
    </row>
    <row r="336" spans="1:6" ht="18.75" customHeight="1">
      <c r="A336" s="128" t="s">
        <v>130</v>
      </c>
      <c r="B336" s="135">
        <v>1</v>
      </c>
      <c r="C336" s="137">
        <f t="shared" si="1"/>
        <v>1</v>
      </c>
      <c r="D336" s="139">
        <f>COUNTIF(Table_246[Produto],Table_1[[#This Row],[Produtos]])</f>
        <v>0</v>
      </c>
      <c r="E336" s="141"/>
      <c r="F336" s="125"/>
    </row>
    <row r="337" spans="1:6" ht="18.75" customHeight="1">
      <c r="A337" s="129" t="s">
        <v>2073</v>
      </c>
      <c r="B337" s="136">
        <v>99</v>
      </c>
      <c r="C337" s="138">
        <f t="shared" si="1"/>
        <v>97</v>
      </c>
      <c r="D337" s="140">
        <f>COUNTIF(Table_246[Produto],Table_1[[#This Row],[Produtos]])</f>
        <v>2</v>
      </c>
      <c r="E337" s="142">
        <f>18+16</f>
        <v>34</v>
      </c>
      <c r="F337" s="125"/>
    </row>
    <row r="338" spans="1:6" ht="18.75" customHeight="1">
      <c r="A338" s="128" t="s">
        <v>1073</v>
      </c>
      <c r="B338" s="135">
        <v>99</v>
      </c>
      <c r="C338" s="137">
        <f t="shared" si="1"/>
        <v>96</v>
      </c>
      <c r="D338" s="139">
        <f>COUNTIF(Table_246[Produto],Table_1[[#This Row],[Produtos]])</f>
        <v>3</v>
      </c>
      <c r="E338" s="141">
        <v>12.5</v>
      </c>
      <c r="F338" s="125"/>
    </row>
    <row r="339" spans="1:6" ht="18.75" customHeight="1">
      <c r="A339" s="129" t="s">
        <v>1201</v>
      </c>
      <c r="B339" s="136">
        <v>99</v>
      </c>
      <c r="C339" s="138">
        <f t="shared" si="1"/>
        <v>64</v>
      </c>
      <c r="D339" s="140">
        <f>COUNTIF(Table_246[Produto],Table_1[[#This Row],[Produtos]])</f>
        <v>35</v>
      </c>
      <c r="E339" s="142">
        <v>0.7</v>
      </c>
      <c r="F339" s="125"/>
    </row>
    <row r="340" spans="1:6" ht="18.75" customHeight="1">
      <c r="A340" s="128" t="s">
        <v>2258</v>
      </c>
      <c r="B340" s="135">
        <v>12</v>
      </c>
      <c r="C340" s="137">
        <f t="shared" si="1"/>
        <v>7</v>
      </c>
      <c r="D340" s="139">
        <f>COUNTIF(Table_246[Produto],Table_1[[#This Row],[Produtos]])</f>
        <v>5</v>
      </c>
      <c r="E340" s="141">
        <f>54/12</f>
        <v>4.5</v>
      </c>
      <c r="F340" s="125"/>
    </row>
    <row r="341" spans="1:6" ht="18.75" customHeight="1">
      <c r="A341" s="129" t="s">
        <v>2261</v>
      </c>
      <c r="B341" s="136">
        <v>60</v>
      </c>
      <c r="C341" s="138">
        <f t="shared" si="1"/>
        <v>58</v>
      </c>
      <c r="D341" s="140">
        <f>COUNTIF(Table_246[Produto],Table_1[[#This Row],[Produtos]])</f>
        <v>2</v>
      </c>
      <c r="E341" s="142">
        <f>64/12/7</f>
        <v>0.76190476190476186</v>
      </c>
      <c r="F341" s="125"/>
    </row>
    <row r="342" spans="1:6" ht="18.75" customHeight="1">
      <c r="A342" s="128" t="s">
        <v>2263</v>
      </c>
      <c r="B342" s="135">
        <v>7</v>
      </c>
      <c r="C342" s="137">
        <f t="shared" si="1"/>
        <v>5</v>
      </c>
      <c r="D342" s="139">
        <f>COUNTIF(Table_246[Produto],Table_1[[#This Row],[Produtos]])</f>
        <v>2</v>
      </c>
      <c r="E342" s="141">
        <v>6</v>
      </c>
      <c r="F342" s="125"/>
    </row>
    <row r="343" spans="1:6" ht="18.75" customHeight="1">
      <c r="A343" s="129" t="s">
        <v>2268</v>
      </c>
      <c r="B343" s="136">
        <v>70</v>
      </c>
      <c r="C343" s="138">
        <f t="shared" si="1"/>
        <v>68</v>
      </c>
      <c r="D343" s="140">
        <f>COUNTIF(Table_246[Produto],Table_1[[#This Row],[Produtos]])</f>
        <v>2</v>
      </c>
      <c r="E343" s="142">
        <v>0.71</v>
      </c>
      <c r="F343" s="125"/>
    </row>
    <row r="344" spans="1:6" ht="18.75" customHeight="1">
      <c r="A344" s="130" t="s">
        <v>2286</v>
      </c>
      <c r="B344" s="135">
        <v>1</v>
      </c>
      <c r="C344" s="137">
        <f t="shared" si="1"/>
        <v>-22</v>
      </c>
      <c r="D344" s="139">
        <f>COUNTIF(Table_246[Produto],Table_1[[#This Row],[Produtos]])</f>
        <v>23</v>
      </c>
      <c r="E344" s="141">
        <v>1</v>
      </c>
      <c r="F344" s="125"/>
    </row>
    <row r="345" spans="1:6" ht="18.75" customHeight="1">
      <c r="A345" s="130" t="s">
        <v>2305</v>
      </c>
      <c r="B345" s="136">
        <v>99</v>
      </c>
      <c r="C345" s="138">
        <f t="shared" si="1"/>
        <v>95</v>
      </c>
      <c r="D345" s="140">
        <f>COUNTIF(Table_246[Produto],Table_1[[#This Row],[Produtos]])</f>
        <v>4</v>
      </c>
      <c r="E345" s="142">
        <v>350</v>
      </c>
      <c r="F345" s="125"/>
    </row>
    <row r="346" spans="1:6" ht="18.75" customHeight="1">
      <c r="A346" s="130" t="s">
        <v>2331</v>
      </c>
      <c r="B346" s="135">
        <v>999</v>
      </c>
      <c r="C346" s="137">
        <f t="shared" si="1"/>
        <v>997</v>
      </c>
      <c r="D346" s="139">
        <f>COUNTIF(Table_246[Produto],Table_1[[#This Row],[Produtos]])</f>
        <v>2</v>
      </c>
      <c r="E346" s="141">
        <f>1.5/8</f>
        <v>0.1875</v>
      </c>
      <c r="F346" s="125"/>
    </row>
    <row r="347" spans="1:6" ht="18.75" customHeight="1">
      <c r="A347" s="130"/>
      <c r="B347" s="136"/>
      <c r="C347" s="138"/>
      <c r="D347" s="140"/>
      <c r="E347" s="142"/>
      <c r="F347" s="125"/>
    </row>
    <row r="348" spans="1:6" ht="18.75" customHeight="1">
      <c r="A348" s="130"/>
      <c r="B348" s="135"/>
      <c r="C348" s="137"/>
      <c r="D348" s="139"/>
      <c r="E348" s="141"/>
      <c r="F348" s="125"/>
    </row>
    <row r="349" spans="1:6" ht="18.75" customHeight="1">
      <c r="A349" s="130"/>
      <c r="B349" s="136"/>
      <c r="C349" s="138"/>
      <c r="D349" s="140"/>
      <c r="E349" s="142"/>
      <c r="F349" s="125"/>
    </row>
    <row r="350" spans="1:6" ht="18.75" customHeight="1">
      <c r="A350" s="130"/>
      <c r="B350" s="135"/>
      <c r="C350" s="137"/>
      <c r="D350" s="139"/>
      <c r="E350" s="141"/>
      <c r="F350" s="125"/>
    </row>
    <row r="351" spans="1:6" ht="18.75" customHeight="1">
      <c r="A351" s="129"/>
      <c r="B351" s="136"/>
      <c r="C351" s="138"/>
      <c r="D351" s="140"/>
      <c r="E351" s="142"/>
      <c r="F351" s="125"/>
    </row>
    <row r="352" spans="1:6" ht="18.75" customHeight="1">
      <c r="A352" s="128"/>
      <c r="B352" s="135"/>
      <c r="C352" s="137"/>
      <c r="D352" s="139"/>
      <c r="E352" s="141"/>
      <c r="F352" s="125"/>
    </row>
    <row r="353" spans="1:6" ht="18.75" customHeight="1">
      <c r="A353" s="130"/>
      <c r="B353" s="136"/>
      <c r="C353" s="138"/>
      <c r="D353" s="140"/>
      <c r="E353" s="142"/>
      <c r="F353" s="125"/>
    </row>
    <row r="354" spans="1:6" ht="18.75" customHeight="1">
      <c r="A354" s="130"/>
      <c r="B354" s="135"/>
      <c r="C354" s="137"/>
      <c r="D354" s="139"/>
      <c r="E354" s="141"/>
      <c r="F354" s="125"/>
    </row>
    <row r="355" spans="1:6" ht="18.75" customHeight="1">
      <c r="A355" s="129"/>
      <c r="B355" s="136"/>
      <c r="C355" s="138"/>
      <c r="D355" s="140"/>
      <c r="E355" s="142"/>
      <c r="F355" s="125"/>
    </row>
    <row r="356" spans="1:6" ht="18.75" customHeight="1">
      <c r="A356" s="128"/>
      <c r="B356" s="135"/>
      <c r="C356" s="137"/>
      <c r="D356" s="139"/>
      <c r="E356" s="141"/>
      <c r="F356" s="125"/>
    </row>
    <row r="357" spans="1:6" ht="18.75" customHeight="1">
      <c r="A357" s="129"/>
      <c r="B357" s="136"/>
      <c r="C357" s="138"/>
      <c r="D357" s="140"/>
      <c r="E357" s="142"/>
      <c r="F357" s="125"/>
    </row>
    <row r="358" spans="1:6" ht="18.75" customHeight="1">
      <c r="A358" s="128"/>
      <c r="B358" s="135"/>
      <c r="C358" s="137"/>
      <c r="D358" s="139"/>
      <c r="E358" s="141"/>
      <c r="F358" s="125"/>
    </row>
    <row r="359" spans="1:6" ht="18.75" customHeight="1">
      <c r="A359" s="129"/>
      <c r="B359" s="136"/>
      <c r="C359" s="138"/>
      <c r="D359" s="140"/>
      <c r="E359" s="142"/>
      <c r="F359" s="125"/>
    </row>
    <row r="360" spans="1:6" ht="18.75" customHeight="1">
      <c r="A360" s="128"/>
      <c r="B360" s="135"/>
      <c r="C360" s="137"/>
      <c r="D360" s="139"/>
      <c r="E360" s="141"/>
      <c r="F360" s="125"/>
    </row>
    <row r="361" spans="1:6" ht="18.75" customHeight="1">
      <c r="A361" s="129"/>
      <c r="B361" s="136"/>
      <c r="C361" s="138"/>
      <c r="D361" s="140"/>
      <c r="E361" s="142"/>
      <c r="F361" s="125"/>
    </row>
    <row r="362" spans="1:6" ht="18.75" customHeight="1">
      <c r="A362" s="128"/>
      <c r="B362" s="135"/>
      <c r="C362" s="137"/>
      <c r="D362" s="139"/>
      <c r="E362" s="141"/>
      <c r="F362" s="125"/>
    </row>
    <row r="363" spans="1:6" ht="18.75" customHeight="1">
      <c r="A363" s="129"/>
      <c r="B363" s="136"/>
      <c r="C363" s="138"/>
      <c r="D363" s="140"/>
      <c r="E363" s="142"/>
      <c r="F363" s="125"/>
    </row>
    <row r="364" spans="1:6" ht="18.75" customHeight="1">
      <c r="A364" s="128"/>
      <c r="B364" s="135"/>
      <c r="C364" s="137"/>
      <c r="D364" s="139"/>
      <c r="E364" s="141"/>
      <c r="F364" s="125"/>
    </row>
    <row r="365" spans="1:6" ht="18.75" customHeight="1">
      <c r="A365" s="129"/>
      <c r="B365" s="136"/>
      <c r="C365" s="138"/>
      <c r="D365" s="140"/>
      <c r="E365" s="142"/>
      <c r="F365" s="125"/>
    </row>
    <row r="366" spans="1:6" ht="18.75" customHeight="1">
      <c r="A366" s="128"/>
      <c r="B366" s="135"/>
      <c r="C366" s="137"/>
      <c r="D366" s="139"/>
      <c r="E366" s="141"/>
      <c r="F366" s="125"/>
    </row>
    <row r="367" spans="1:6" ht="18.75" customHeight="1">
      <c r="A367" s="129"/>
      <c r="B367" s="136"/>
      <c r="C367" s="138"/>
      <c r="D367" s="140"/>
      <c r="E367" s="142"/>
      <c r="F367" s="125"/>
    </row>
    <row r="368" spans="1:6" ht="18.75" customHeight="1">
      <c r="A368" s="128"/>
      <c r="B368" s="135"/>
      <c r="C368" s="137"/>
      <c r="D368" s="139"/>
      <c r="E368" s="141"/>
      <c r="F368" s="125"/>
    </row>
    <row r="369" spans="1:6" ht="18.75" customHeight="1">
      <c r="A369" s="129"/>
      <c r="B369" s="136"/>
      <c r="C369" s="138"/>
      <c r="D369" s="140"/>
      <c r="E369" s="142"/>
      <c r="F369" s="125"/>
    </row>
    <row r="370" spans="1:6" ht="18.75" customHeight="1">
      <c r="A370" s="130"/>
      <c r="B370" s="135"/>
      <c r="C370" s="137"/>
      <c r="D370" s="139"/>
      <c r="E370" s="141"/>
      <c r="F370" s="125"/>
    </row>
    <row r="371" spans="1:6" ht="18.75" customHeight="1">
      <c r="A371" s="129"/>
      <c r="B371" s="136"/>
      <c r="C371" s="138"/>
      <c r="D371" s="140"/>
      <c r="E371" s="142"/>
      <c r="F371" s="125"/>
    </row>
    <row r="372" spans="1:6" ht="18.75" customHeight="1">
      <c r="A372" s="130"/>
      <c r="B372" s="135"/>
      <c r="C372" s="137"/>
      <c r="D372" s="139"/>
      <c r="E372" s="141"/>
      <c r="F372" s="125"/>
    </row>
    <row r="373" spans="1:6" ht="18.75" customHeight="1">
      <c r="A373" s="129"/>
      <c r="B373" s="136"/>
      <c r="C373" s="138"/>
      <c r="D373" s="140"/>
      <c r="E373" s="142"/>
      <c r="F373" s="125"/>
    </row>
    <row r="374" spans="1:6" ht="18.75" customHeight="1">
      <c r="A374" s="128"/>
      <c r="B374" s="135"/>
      <c r="C374" s="137"/>
      <c r="D374" s="139"/>
      <c r="E374" s="141"/>
      <c r="F374" s="125"/>
    </row>
    <row r="375" spans="1:6" ht="18.75" customHeight="1">
      <c r="A375" s="130"/>
      <c r="B375" s="136"/>
      <c r="C375" s="138"/>
      <c r="D375" s="140"/>
      <c r="E375" s="142"/>
      <c r="F375" s="125"/>
    </row>
    <row r="376" spans="1:6" ht="18.75" customHeight="1">
      <c r="A376" s="128"/>
      <c r="B376" s="135"/>
      <c r="C376" s="137"/>
      <c r="D376" s="139"/>
      <c r="E376" s="141"/>
      <c r="F376" s="125"/>
    </row>
    <row r="377" spans="1:6" ht="18.75" customHeight="1">
      <c r="A377" s="129"/>
      <c r="B377" s="136"/>
      <c r="C377" s="138"/>
      <c r="D377" s="140"/>
      <c r="E377" s="142"/>
      <c r="F377" s="125"/>
    </row>
    <row r="378" spans="1:6" ht="18.75" customHeight="1">
      <c r="A378" s="128"/>
      <c r="B378" s="135"/>
      <c r="C378" s="137"/>
      <c r="D378" s="139"/>
      <c r="E378" s="141"/>
      <c r="F378" s="125"/>
    </row>
    <row r="379" spans="1:6" ht="18.75" customHeight="1">
      <c r="A379" s="129"/>
      <c r="B379" s="136"/>
      <c r="C379" s="138"/>
      <c r="D379" s="140"/>
      <c r="E379" s="142"/>
      <c r="F379" s="125"/>
    </row>
    <row r="380" spans="1:6" ht="18.75" customHeight="1">
      <c r="A380" s="128"/>
      <c r="B380" s="135"/>
      <c r="C380" s="137"/>
      <c r="D380" s="139"/>
      <c r="E380" s="141"/>
      <c r="F380" s="125"/>
    </row>
    <row r="381" spans="1:6" ht="18.75" customHeight="1">
      <c r="A381" s="129"/>
      <c r="B381" s="136"/>
      <c r="C381" s="138"/>
      <c r="D381" s="140"/>
      <c r="E381" s="142"/>
      <c r="F381" s="125"/>
    </row>
    <row r="382" spans="1:6" ht="18.75" customHeight="1">
      <c r="A382" s="128"/>
      <c r="B382" s="135"/>
      <c r="C382" s="137"/>
      <c r="D382" s="139"/>
      <c r="E382" s="141"/>
      <c r="F382" s="125"/>
    </row>
    <row r="383" spans="1:6" ht="18.75" customHeight="1">
      <c r="A383" s="129"/>
      <c r="B383" s="136"/>
      <c r="C383" s="138"/>
      <c r="D383" s="140"/>
      <c r="E383" s="142"/>
      <c r="F383" s="125"/>
    </row>
    <row r="384" spans="1:6" ht="18.75" customHeight="1">
      <c r="A384" s="128"/>
      <c r="B384" s="135"/>
      <c r="C384" s="137"/>
      <c r="D384" s="139"/>
      <c r="E384" s="141"/>
      <c r="F384" s="125"/>
    </row>
    <row r="385" spans="1:6" ht="18.75" customHeight="1">
      <c r="A385" s="129"/>
      <c r="B385" s="136"/>
      <c r="C385" s="138"/>
      <c r="D385" s="140"/>
      <c r="E385" s="142"/>
      <c r="F385" s="125"/>
    </row>
    <row r="386" spans="1:6" ht="18.75" customHeight="1">
      <c r="A386" s="128"/>
      <c r="B386" s="135"/>
      <c r="C386" s="137"/>
      <c r="D386" s="139"/>
      <c r="E386" s="141"/>
      <c r="F386" s="125"/>
    </row>
    <row r="387" spans="1:6" ht="18.75" customHeight="1">
      <c r="A387" s="129"/>
      <c r="B387" s="136"/>
      <c r="C387" s="138"/>
      <c r="D387" s="140"/>
      <c r="E387" s="142"/>
      <c r="F387" s="125"/>
    </row>
    <row r="388" spans="1:6" ht="18.75" customHeight="1">
      <c r="A388" s="128"/>
      <c r="B388" s="135"/>
      <c r="C388" s="137"/>
      <c r="D388" s="139"/>
      <c r="E388" s="141"/>
      <c r="F388" s="125"/>
    </row>
    <row r="389" spans="1:6" ht="18.75" customHeight="1">
      <c r="A389" s="129"/>
      <c r="B389" s="136"/>
      <c r="C389" s="138"/>
      <c r="D389" s="140"/>
      <c r="E389" s="142"/>
      <c r="F389" s="125"/>
    </row>
    <row r="390" spans="1:6" ht="18.75" customHeight="1">
      <c r="A390" s="128"/>
      <c r="B390" s="135"/>
      <c r="C390" s="137"/>
      <c r="D390" s="139"/>
      <c r="E390" s="141"/>
      <c r="F390" s="125"/>
    </row>
    <row r="391" spans="1:6" ht="18.75" customHeight="1">
      <c r="A391" s="129"/>
      <c r="B391" s="136"/>
      <c r="C391" s="138"/>
      <c r="D391" s="140"/>
      <c r="E391" s="142"/>
      <c r="F391" s="125"/>
    </row>
    <row r="392" spans="1:6" ht="18.75" customHeight="1">
      <c r="A392" s="128"/>
      <c r="B392" s="135"/>
      <c r="C392" s="137"/>
      <c r="D392" s="139"/>
      <c r="E392" s="141"/>
      <c r="F392" s="125"/>
    </row>
    <row r="393" spans="1:6" ht="18.75" customHeight="1">
      <c r="A393" s="129"/>
      <c r="B393" s="136"/>
      <c r="C393" s="138"/>
      <c r="D393" s="140"/>
      <c r="E393" s="142"/>
      <c r="F393" s="125"/>
    </row>
    <row r="394" spans="1:6" ht="18.75" customHeight="1">
      <c r="A394" s="128"/>
      <c r="B394" s="135"/>
      <c r="C394" s="137"/>
      <c r="D394" s="139"/>
      <c r="E394" s="141"/>
      <c r="F394" s="125"/>
    </row>
    <row r="395" spans="1:6" ht="18.75" customHeight="1">
      <c r="A395" s="129"/>
      <c r="B395" s="136"/>
      <c r="C395" s="138"/>
      <c r="D395" s="140"/>
      <c r="E395" s="142"/>
      <c r="F395" s="125"/>
    </row>
    <row r="396" spans="1:6" ht="18.75" customHeight="1">
      <c r="A396" s="128"/>
      <c r="B396" s="135"/>
      <c r="C396" s="137"/>
      <c r="D396" s="139"/>
      <c r="E396" s="141"/>
      <c r="F396" s="125"/>
    </row>
    <row r="397" spans="1:6" ht="18.75" customHeight="1">
      <c r="A397" s="129"/>
      <c r="B397" s="136"/>
      <c r="C397" s="138"/>
      <c r="D397" s="140"/>
      <c r="E397" s="142"/>
      <c r="F397" s="125"/>
    </row>
    <row r="398" spans="1:6" ht="18.75" customHeight="1">
      <c r="A398" s="128"/>
      <c r="B398" s="135"/>
      <c r="C398" s="137"/>
      <c r="D398" s="139"/>
      <c r="E398" s="141"/>
      <c r="F398" s="125"/>
    </row>
    <row r="399" spans="1:6" ht="18.75" customHeight="1">
      <c r="A399" s="129"/>
      <c r="B399" s="136"/>
      <c r="C399" s="138"/>
      <c r="D399" s="140"/>
      <c r="E399" s="142"/>
      <c r="F399" s="125"/>
    </row>
    <row r="400" spans="1:6" ht="18.75" customHeight="1">
      <c r="A400" s="128"/>
      <c r="B400" s="135"/>
      <c r="C400" s="137"/>
      <c r="D400" s="139"/>
      <c r="E400" s="141"/>
      <c r="F400" s="125"/>
    </row>
    <row r="401" spans="1:6" ht="18.75" customHeight="1">
      <c r="A401" s="129"/>
      <c r="B401" s="136"/>
      <c r="C401" s="138"/>
      <c r="D401" s="140"/>
      <c r="E401" s="142"/>
      <c r="F401" s="125"/>
    </row>
    <row r="402" spans="1:6" ht="18.75" customHeight="1">
      <c r="A402" s="128"/>
      <c r="B402" s="135"/>
      <c r="C402" s="137"/>
      <c r="D402" s="139"/>
      <c r="E402" s="141"/>
      <c r="F402" s="125"/>
    </row>
    <row r="403" spans="1:6" ht="18.75" customHeight="1">
      <c r="A403" s="129"/>
      <c r="B403" s="136"/>
      <c r="C403" s="138"/>
      <c r="D403" s="140"/>
      <c r="E403" s="142"/>
      <c r="F403" s="125"/>
    </row>
    <row r="404" spans="1:6" ht="18.75" customHeight="1">
      <c r="A404" s="128"/>
      <c r="B404" s="135"/>
      <c r="C404" s="137"/>
      <c r="D404" s="139"/>
      <c r="E404" s="141"/>
      <c r="F404" s="125"/>
    </row>
    <row r="405" spans="1:6" ht="18.75" customHeight="1">
      <c r="A405" s="129"/>
      <c r="B405" s="136"/>
      <c r="C405" s="138"/>
      <c r="D405" s="140"/>
      <c r="E405" s="142"/>
      <c r="F405" s="125"/>
    </row>
    <row r="406" spans="1:6" ht="18.75" customHeight="1">
      <c r="A406" s="128"/>
      <c r="B406" s="135"/>
      <c r="C406" s="137"/>
      <c r="D406" s="139"/>
      <c r="E406" s="141"/>
      <c r="F406" s="125"/>
    </row>
    <row r="407" spans="1:6" ht="18.75" customHeight="1">
      <c r="A407" s="129"/>
      <c r="B407" s="136"/>
      <c r="C407" s="138"/>
      <c r="D407" s="140"/>
      <c r="E407" s="142"/>
      <c r="F407" s="125"/>
    </row>
    <row r="408" spans="1:6" ht="18.75" customHeight="1">
      <c r="A408" s="128"/>
      <c r="B408" s="135"/>
      <c r="C408" s="137"/>
      <c r="D408" s="139"/>
      <c r="E408" s="141"/>
      <c r="F408" s="125"/>
    </row>
    <row r="409" spans="1:6" ht="18.75" customHeight="1">
      <c r="A409" s="129"/>
      <c r="B409" s="136"/>
      <c r="C409" s="138"/>
      <c r="D409" s="140"/>
      <c r="E409" s="142"/>
      <c r="F409" s="125"/>
    </row>
    <row r="410" spans="1:6" ht="18.75" customHeight="1">
      <c r="A410" s="128"/>
      <c r="B410" s="135"/>
      <c r="C410" s="137"/>
      <c r="D410" s="139"/>
      <c r="E410" s="141"/>
      <c r="F410" s="125"/>
    </row>
    <row r="411" spans="1:6" ht="18.75" customHeight="1">
      <c r="A411" s="129"/>
      <c r="B411" s="136"/>
      <c r="C411" s="138"/>
      <c r="D411" s="140"/>
      <c r="E411" s="142"/>
      <c r="F411" s="125"/>
    </row>
    <row r="412" spans="1:6" ht="18.75" customHeight="1">
      <c r="A412" s="128"/>
      <c r="B412" s="135"/>
      <c r="C412" s="137"/>
      <c r="D412" s="139"/>
      <c r="E412" s="141"/>
      <c r="F412" s="125"/>
    </row>
    <row r="413" spans="1:6" ht="18.75" customHeight="1">
      <c r="A413" s="129"/>
      <c r="B413" s="136"/>
      <c r="C413" s="138"/>
      <c r="D413" s="140"/>
      <c r="E413" s="142"/>
      <c r="F413" s="125"/>
    </row>
    <row r="414" spans="1:6" ht="18.75" customHeight="1">
      <c r="A414" s="128"/>
      <c r="B414" s="135"/>
      <c r="C414" s="137"/>
      <c r="D414" s="139"/>
      <c r="E414" s="141"/>
      <c r="F414" s="125"/>
    </row>
    <row r="415" spans="1:6" ht="18.75" customHeight="1">
      <c r="A415" s="129"/>
      <c r="B415" s="136"/>
      <c r="C415" s="138"/>
      <c r="D415" s="140"/>
      <c r="E415" s="142"/>
      <c r="F415" s="125"/>
    </row>
    <row r="416" spans="1:6" ht="18.75" customHeight="1">
      <c r="A416" s="128"/>
      <c r="B416" s="135"/>
      <c r="C416" s="137"/>
      <c r="D416" s="139"/>
      <c r="E416" s="141"/>
      <c r="F416" s="125"/>
    </row>
    <row r="417" spans="1:6" ht="18.75" customHeight="1">
      <c r="A417" s="129"/>
      <c r="B417" s="136"/>
      <c r="C417" s="138"/>
      <c r="D417" s="140"/>
      <c r="E417" s="142"/>
      <c r="F417" s="125"/>
    </row>
    <row r="418" spans="1:6" ht="18.75" customHeight="1">
      <c r="A418" s="128"/>
      <c r="B418" s="135"/>
      <c r="C418" s="137"/>
      <c r="D418" s="139"/>
      <c r="E418" s="141"/>
      <c r="F418" s="125"/>
    </row>
    <row r="419" spans="1:6" ht="18.75" customHeight="1">
      <c r="A419" s="129"/>
      <c r="B419" s="136"/>
      <c r="C419" s="138"/>
      <c r="D419" s="140"/>
      <c r="E419" s="142"/>
      <c r="F419" s="125"/>
    </row>
    <row r="420" spans="1:6" ht="18.75" customHeight="1">
      <c r="A420" s="128"/>
      <c r="B420" s="135"/>
      <c r="C420" s="137"/>
      <c r="D420" s="139"/>
      <c r="E420" s="141"/>
      <c r="F420" s="125"/>
    </row>
    <row r="421" spans="1:6" ht="18.75" customHeight="1">
      <c r="A421" s="129"/>
      <c r="B421" s="136"/>
      <c r="C421" s="138"/>
      <c r="D421" s="140"/>
      <c r="E421" s="142"/>
      <c r="F421" s="125"/>
    </row>
    <row r="422" spans="1:6" ht="18.75" customHeight="1">
      <c r="A422" s="128"/>
      <c r="B422" s="135"/>
      <c r="C422" s="137"/>
      <c r="D422" s="139"/>
      <c r="E422" s="141"/>
      <c r="F422" s="125"/>
    </row>
    <row r="423" spans="1:6" ht="18.75" customHeight="1">
      <c r="A423" s="129"/>
      <c r="B423" s="136"/>
      <c r="C423" s="138"/>
      <c r="D423" s="140"/>
      <c r="E423" s="142"/>
      <c r="F423" s="125"/>
    </row>
    <row r="424" spans="1:6" ht="18.75" customHeight="1">
      <c r="A424" s="128"/>
      <c r="B424" s="135"/>
      <c r="C424" s="137"/>
      <c r="D424" s="139"/>
      <c r="E424" s="141"/>
      <c r="F424" s="125"/>
    </row>
    <row r="425" spans="1:6" ht="18.75" customHeight="1">
      <c r="A425" s="129"/>
      <c r="B425" s="136"/>
      <c r="C425" s="138"/>
      <c r="D425" s="140"/>
      <c r="E425" s="142"/>
      <c r="F425" s="125"/>
    </row>
    <row r="426" spans="1:6" ht="18.75" customHeight="1">
      <c r="A426" s="128"/>
      <c r="B426" s="135"/>
      <c r="C426" s="137"/>
      <c r="D426" s="139"/>
      <c r="E426" s="141"/>
      <c r="F426" s="125"/>
    </row>
    <row r="427" spans="1:6" ht="18.75" customHeight="1">
      <c r="A427" s="129"/>
      <c r="B427" s="136"/>
      <c r="C427" s="138"/>
      <c r="D427" s="140"/>
      <c r="E427" s="142"/>
      <c r="F427" s="125"/>
    </row>
    <row r="428" spans="1:6" ht="18.75" customHeight="1">
      <c r="A428" s="128"/>
      <c r="B428" s="135"/>
      <c r="C428" s="137"/>
      <c r="D428" s="139"/>
      <c r="E428" s="141"/>
      <c r="F428" s="125"/>
    </row>
    <row r="429" spans="1:6" ht="18.75" customHeight="1">
      <c r="A429" s="129"/>
      <c r="B429" s="136"/>
      <c r="C429" s="138"/>
      <c r="D429" s="140"/>
      <c r="E429" s="142"/>
      <c r="F429" s="125"/>
    </row>
    <row r="430" spans="1:6" ht="18.75" customHeight="1">
      <c r="A430" s="128"/>
      <c r="B430" s="135"/>
      <c r="C430" s="137"/>
      <c r="D430" s="139"/>
      <c r="E430" s="141"/>
      <c r="F430" s="125"/>
    </row>
    <row r="431" spans="1:6" ht="18.75" customHeight="1">
      <c r="A431" s="129"/>
      <c r="B431" s="136"/>
      <c r="C431" s="138"/>
      <c r="D431" s="140"/>
      <c r="E431" s="142"/>
      <c r="F431" s="125"/>
    </row>
    <row r="432" spans="1:6" ht="18.75" customHeight="1">
      <c r="A432" s="128"/>
      <c r="B432" s="135"/>
      <c r="C432" s="137"/>
      <c r="D432" s="139"/>
      <c r="E432" s="141"/>
      <c r="F432" s="125"/>
    </row>
    <row r="433" spans="1:6" ht="18.75" customHeight="1">
      <c r="A433" s="129"/>
      <c r="B433" s="136"/>
      <c r="C433" s="138"/>
      <c r="D433" s="140"/>
      <c r="E433" s="142"/>
      <c r="F433" s="125"/>
    </row>
    <row r="434" spans="1:6" ht="18.75" customHeight="1">
      <c r="A434" s="128"/>
      <c r="B434" s="135"/>
      <c r="C434" s="137"/>
      <c r="D434" s="139"/>
      <c r="E434" s="141"/>
      <c r="F434" s="125"/>
    </row>
    <row r="435" spans="1:6" ht="18.75" customHeight="1">
      <c r="A435" s="129"/>
      <c r="B435" s="136"/>
      <c r="C435" s="138"/>
      <c r="D435" s="140"/>
      <c r="E435" s="142"/>
      <c r="F435" s="125"/>
    </row>
    <row r="436" spans="1:6" ht="18.75" customHeight="1">
      <c r="A436" s="128"/>
      <c r="B436" s="135"/>
      <c r="C436" s="137"/>
      <c r="D436" s="139"/>
      <c r="E436" s="141"/>
      <c r="F436" s="125"/>
    </row>
    <row r="437" spans="1:6" ht="18.75" customHeight="1">
      <c r="A437" s="129"/>
      <c r="B437" s="136"/>
      <c r="C437" s="138"/>
      <c r="D437" s="140"/>
      <c r="E437" s="142"/>
      <c r="F437" s="125"/>
    </row>
    <row r="438" spans="1:6" ht="18.75" customHeight="1">
      <c r="A438" s="128"/>
      <c r="B438" s="135"/>
      <c r="C438" s="137"/>
      <c r="D438" s="139"/>
      <c r="E438" s="141"/>
      <c r="F438" s="125"/>
    </row>
    <row r="439" spans="1:6" ht="18.75" customHeight="1">
      <c r="A439" s="129"/>
      <c r="B439" s="136"/>
      <c r="C439" s="138"/>
      <c r="D439" s="140"/>
      <c r="E439" s="142"/>
      <c r="F439" s="125"/>
    </row>
    <row r="440" spans="1:6" ht="18.75" customHeight="1">
      <c r="A440" s="128"/>
      <c r="B440" s="135"/>
      <c r="C440" s="137"/>
      <c r="D440" s="139"/>
      <c r="E440" s="141"/>
      <c r="F440" s="125"/>
    </row>
    <row r="441" spans="1:6" ht="18.75" customHeight="1">
      <c r="A441" s="129"/>
      <c r="B441" s="136"/>
      <c r="C441" s="138"/>
      <c r="D441" s="140"/>
      <c r="E441" s="142"/>
      <c r="F441" s="125"/>
    </row>
    <row r="442" spans="1:6" ht="18.75" customHeight="1">
      <c r="A442" s="128"/>
      <c r="B442" s="135"/>
      <c r="C442" s="137"/>
      <c r="D442" s="139"/>
      <c r="E442" s="141"/>
      <c r="F442" s="125"/>
    </row>
    <row r="443" spans="1:6" ht="18.75" customHeight="1">
      <c r="A443" s="129"/>
      <c r="B443" s="136"/>
      <c r="C443" s="138"/>
      <c r="D443" s="140"/>
      <c r="E443" s="142"/>
      <c r="F443" s="125"/>
    </row>
    <row r="444" spans="1:6" ht="18.75" customHeight="1">
      <c r="A444" s="128"/>
      <c r="B444" s="135"/>
      <c r="C444" s="137"/>
      <c r="D444" s="139"/>
      <c r="E444" s="141"/>
      <c r="F444" s="125"/>
    </row>
    <row r="445" spans="1:6" ht="18.75" customHeight="1">
      <c r="A445" s="129"/>
      <c r="B445" s="136"/>
      <c r="C445" s="138"/>
      <c r="D445" s="140"/>
      <c r="E445" s="142"/>
      <c r="F445" s="125"/>
    </row>
    <row r="446" spans="1:6" ht="18.75" customHeight="1">
      <c r="A446" s="128"/>
      <c r="B446" s="135"/>
      <c r="C446" s="137"/>
      <c r="D446" s="139"/>
      <c r="E446" s="141"/>
      <c r="F446" s="125"/>
    </row>
    <row r="447" spans="1:6" ht="18.75" customHeight="1">
      <c r="A447" s="129"/>
      <c r="B447" s="136"/>
      <c r="C447" s="138"/>
      <c r="D447" s="140"/>
      <c r="E447" s="142"/>
      <c r="F447" s="125"/>
    </row>
    <row r="448" spans="1:6" ht="18.75" customHeight="1">
      <c r="A448" s="128"/>
      <c r="B448" s="135"/>
      <c r="C448" s="137"/>
      <c r="D448" s="139"/>
      <c r="E448" s="141"/>
      <c r="F448" s="125"/>
    </row>
    <row r="449" spans="1:6" ht="18.75" customHeight="1">
      <c r="A449" s="129"/>
      <c r="B449" s="136"/>
      <c r="C449" s="138"/>
      <c r="D449" s="140"/>
      <c r="E449" s="142"/>
      <c r="F449" s="125"/>
    </row>
    <row r="450" spans="1:6" ht="18.75" customHeight="1">
      <c r="A450" s="128"/>
      <c r="B450" s="135"/>
      <c r="C450" s="137"/>
      <c r="D450" s="139"/>
      <c r="E450" s="141"/>
      <c r="F450" s="125"/>
    </row>
    <row r="451" spans="1:6" ht="18.75" customHeight="1">
      <c r="A451" s="129"/>
      <c r="B451" s="136"/>
      <c r="C451" s="138"/>
      <c r="D451" s="140"/>
      <c r="E451" s="142"/>
      <c r="F451" s="125"/>
    </row>
    <row r="452" spans="1:6" ht="18.75" customHeight="1">
      <c r="A452" s="128"/>
      <c r="B452" s="135"/>
      <c r="C452" s="137"/>
      <c r="D452" s="139"/>
      <c r="E452" s="141"/>
      <c r="F452" s="125"/>
    </row>
    <row r="453" spans="1:6" ht="18.75" customHeight="1">
      <c r="A453" s="129"/>
      <c r="B453" s="136"/>
      <c r="C453" s="138"/>
      <c r="D453" s="140"/>
      <c r="E453" s="142"/>
      <c r="F453" s="125"/>
    </row>
    <row r="454" spans="1:6" ht="18.75" customHeight="1">
      <c r="A454" s="128"/>
      <c r="B454" s="135"/>
      <c r="C454" s="137"/>
      <c r="D454" s="139"/>
      <c r="E454" s="141"/>
      <c r="F454" s="125"/>
    </row>
    <row r="455" spans="1:6" ht="18.75" customHeight="1">
      <c r="A455" s="129"/>
      <c r="B455" s="136"/>
      <c r="C455" s="138"/>
      <c r="D455" s="140"/>
      <c r="E455" s="142"/>
      <c r="F455" s="125"/>
    </row>
    <row r="456" spans="1:6" ht="18.75" customHeight="1">
      <c r="A456" s="130"/>
      <c r="B456" s="135"/>
      <c r="C456" s="137"/>
      <c r="D456" s="139"/>
      <c r="E456" s="141"/>
      <c r="F456" s="125"/>
    </row>
    <row r="457" spans="1:6" ht="18.75" customHeight="1">
      <c r="A457" s="129"/>
      <c r="B457" s="136"/>
      <c r="C457" s="138"/>
      <c r="D457" s="140"/>
      <c r="E457" s="142"/>
      <c r="F457" s="125"/>
    </row>
    <row r="458" spans="1:6" ht="18.75" customHeight="1">
      <c r="A458" s="130"/>
      <c r="B458" s="135"/>
      <c r="C458" s="137"/>
      <c r="D458" s="139"/>
      <c r="E458" s="141"/>
      <c r="F458" s="125"/>
    </row>
    <row r="459" spans="1:6" ht="18.75" customHeight="1">
      <c r="A459" s="129"/>
      <c r="B459" s="136"/>
      <c r="C459" s="138"/>
      <c r="D459" s="140"/>
      <c r="E459" s="142"/>
      <c r="F459" s="125"/>
    </row>
    <row r="460" spans="1:6" ht="18.75" customHeight="1">
      <c r="A460" s="128"/>
      <c r="B460" s="135"/>
      <c r="C460" s="137"/>
      <c r="D460" s="139"/>
      <c r="E460" s="141"/>
      <c r="F460" s="125"/>
    </row>
    <row r="461" spans="1:6" ht="18.75" customHeight="1">
      <c r="A461" s="129"/>
      <c r="B461" s="136"/>
      <c r="C461" s="138"/>
      <c r="D461" s="140"/>
      <c r="E461" s="142"/>
      <c r="F461" s="125"/>
    </row>
    <row r="462" spans="1:6" ht="18.75" customHeight="1">
      <c r="A462" s="128"/>
      <c r="B462" s="135"/>
      <c r="C462" s="137"/>
      <c r="D462" s="139"/>
      <c r="E462" s="141"/>
      <c r="F462" s="125"/>
    </row>
    <row r="463" spans="1:6" ht="18.75" customHeight="1">
      <c r="A463" s="129"/>
      <c r="B463" s="136"/>
      <c r="C463" s="138"/>
      <c r="D463" s="140"/>
      <c r="E463" s="142"/>
      <c r="F463" s="125"/>
    </row>
    <row r="464" spans="1:6" ht="18.75" customHeight="1">
      <c r="A464" s="128"/>
      <c r="B464" s="135"/>
      <c r="C464" s="137"/>
      <c r="D464" s="139"/>
      <c r="E464" s="141"/>
      <c r="F464" s="125"/>
    </row>
    <row r="465" spans="1:6" ht="18.75" customHeight="1">
      <c r="A465" s="129"/>
      <c r="B465" s="136"/>
      <c r="C465" s="138"/>
      <c r="D465" s="140"/>
      <c r="E465" s="52"/>
      <c r="F465" s="125"/>
    </row>
    <row r="466" spans="1:6" ht="18.75" customHeight="1">
      <c r="A466" s="128"/>
      <c r="B466" s="135"/>
      <c r="C466" s="137"/>
      <c r="D466" s="139"/>
      <c r="E466" s="141"/>
      <c r="F466" s="125"/>
    </row>
    <row r="467" spans="1:6" ht="18.75" customHeight="1">
      <c r="A467" s="129"/>
      <c r="B467" s="136"/>
      <c r="C467" s="138"/>
      <c r="D467" s="140"/>
      <c r="E467" s="142"/>
      <c r="F467" s="125"/>
    </row>
    <row r="468" spans="1:6" ht="18.75" customHeight="1">
      <c r="A468" s="128"/>
      <c r="B468" s="135"/>
      <c r="C468" s="137"/>
      <c r="D468" s="139"/>
      <c r="E468" s="141"/>
      <c r="F468" s="125"/>
    </row>
    <row r="469" spans="1:6" ht="18.75" customHeight="1">
      <c r="A469" s="129"/>
      <c r="B469" s="136"/>
      <c r="C469" s="138"/>
      <c r="D469" s="140"/>
      <c r="E469" s="142"/>
      <c r="F469" s="125"/>
    </row>
    <row r="470" spans="1:6" ht="18.75" customHeight="1">
      <c r="A470" s="128"/>
      <c r="B470" s="135"/>
      <c r="C470" s="137"/>
      <c r="D470" s="139"/>
      <c r="E470" s="141"/>
      <c r="F470" s="125"/>
    </row>
    <row r="471" spans="1:6" ht="18.75" customHeight="1">
      <c r="A471" s="129"/>
      <c r="B471" s="136"/>
      <c r="C471" s="138"/>
      <c r="D471" s="140"/>
      <c r="E471" s="142"/>
      <c r="F471" s="125"/>
    </row>
    <row r="472" spans="1:6" ht="18.75" customHeight="1">
      <c r="A472" s="128"/>
      <c r="B472" s="135"/>
      <c r="C472" s="137"/>
      <c r="D472" s="139"/>
      <c r="E472" s="141"/>
      <c r="F472" s="125"/>
    </row>
    <row r="473" spans="1:6" ht="18.75" customHeight="1">
      <c r="A473" s="129"/>
      <c r="B473" s="136"/>
      <c r="C473" s="138"/>
      <c r="D473" s="140"/>
      <c r="E473" s="142"/>
      <c r="F473" s="125"/>
    </row>
    <row r="474" spans="1:6" ht="18.75" customHeight="1">
      <c r="A474" s="128"/>
      <c r="B474" s="135"/>
      <c r="C474" s="137"/>
      <c r="D474" s="139"/>
      <c r="E474" s="141"/>
      <c r="F474" s="125"/>
    </row>
    <row r="475" spans="1:6" ht="18.75" customHeight="1">
      <c r="A475" s="129"/>
      <c r="B475" s="136"/>
      <c r="C475" s="138"/>
      <c r="D475" s="140"/>
      <c r="E475" s="142"/>
      <c r="F475" s="125"/>
    </row>
    <row r="476" spans="1:6" ht="18.75" customHeight="1">
      <c r="A476" s="128"/>
      <c r="B476" s="135"/>
      <c r="C476" s="137"/>
      <c r="D476" s="139"/>
      <c r="E476" s="141"/>
      <c r="F476" s="125"/>
    </row>
    <row r="477" spans="1:6" ht="18.75" customHeight="1">
      <c r="A477" s="129"/>
      <c r="B477" s="136"/>
      <c r="C477" s="138"/>
      <c r="D477" s="140"/>
      <c r="E477" s="142"/>
      <c r="F477" s="125"/>
    </row>
    <row r="478" spans="1:6" ht="18.75" customHeight="1">
      <c r="A478" s="128"/>
      <c r="B478" s="135"/>
      <c r="C478" s="137"/>
      <c r="D478" s="139"/>
      <c r="E478" s="141"/>
      <c r="F478" s="125"/>
    </row>
    <row r="479" spans="1:6" ht="18.75" customHeight="1">
      <c r="A479" s="129"/>
      <c r="B479" s="136"/>
      <c r="C479" s="138"/>
      <c r="D479" s="140"/>
      <c r="E479" s="142"/>
      <c r="F479" s="125"/>
    </row>
    <row r="480" spans="1:6" ht="18.75" customHeight="1">
      <c r="A480" s="128"/>
      <c r="B480" s="135"/>
      <c r="C480" s="137"/>
      <c r="D480" s="139"/>
      <c r="E480" s="141"/>
      <c r="F480" s="125"/>
    </row>
    <row r="481" spans="1:6" ht="18.75" customHeight="1">
      <c r="A481" s="129"/>
      <c r="B481" s="136"/>
      <c r="C481" s="138"/>
      <c r="D481" s="140"/>
      <c r="E481" s="142"/>
      <c r="F481" s="125"/>
    </row>
    <row r="482" spans="1:6" ht="18.75" customHeight="1">
      <c r="A482" s="128"/>
      <c r="B482" s="135"/>
      <c r="C482" s="137"/>
      <c r="D482" s="139"/>
      <c r="E482" s="141"/>
      <c r="F482" s="125"/>
    </row>
    <row r="483" spans="1:6" ht="18.75" customHeight="1">
      <c r="A483" s="129"/>
      <c r="B483" s="136"/>
      <c r="C483" s="138"/>
      <c r="D483" s="140"/>
      <c r="E483" s="142"/>
      <c r="F483" s="125"/>
    </row>
    <row r="484" spans="1:6" ht="18.75" customHeight="1">
      <c r="A484" s="128"/>
      <c r="B484" s="135"/>
      <c r="C484" s="137"/>
      <c r="D484" s="139"/>
      <c r="E484" s="141"/>
      <c r="F484" s="125"/>
    </row>
    <row r="485" spans="1:6" ht="18.75" customHeight="1">
      <c r="A485" s="129"/>
      <c r="B485" s="136"/>
      <c r="C485" s="138"/>
      <c r="D485" s="140"/>
      <c r="E485" s="142"/>
      <c r="F485" s="125"/>
    </row>
    <row r="486" spans="1:6" ht="18.75" customHeight="1">
      <c r="A486" s="128"/>
      <c r="B486" s="135"/>
      <c r="C486" s="137"/>
      <c r="D486" s="139"/>
      <c r="E486" s="141"/>
      <c r="F486" s="125"/>
    </row>
    <row r="487" spans="1:6" ht="18.75" customHeight="1">
      <c r="A487" s="129"/>
      <c r="B487" s="136"/>
      <c r="C487" s="138"/>
      <c r="D487" s="140"/>
      <c r="E487" s="142"/>
      <c r="F487" s="125"/>
    </row>
    <row r="488" spans="1:6" ht="18.75" customHeight="1">
      <c r="A488" s="128"/>
      <c r="B488" s="135"/>
      <c r="C488" s="137"/>
      <c r="D488" s="139"/>
      <c r="E488" s="141"/>
      <c r="F488" s="125"/>
    </row>
    <row r="489" spans="1:6" ht="18.75" customHeight="1">
      <c r="A489" s="129"/>
      <c r="B489" s="136"/>
      <c r="C489" s="138"/>
      <c r="D489" s="140"/>
      <c r="E489" s="142"/>
      <c r="F489" s="125"/>
    </row>
    <row r="490" spans="1:6" ht="18.75" customHeight="1">
      <c r="A490" s="128"/>
      <c r="B490" s="135"/>
      <c r="C490" s="137"/>
      <c r="D490" s="139"/>
      <c r="E490" s="141"/>
      <c r="F490" s="125"/>
    </row>
    <row r="491" spans="1:6" ht="18.75" customHeight="1">
      <c r="A491" s="129"/>
      <c r="B491" s="136"/>
      <c r="C491" s="138"/>
      <c r="D491" s="140"/>
      <c r="E491" s="142"/>
      <c r="F491" s="125"/>
    </row>
    <row r="492" spans="1:6" ht="18.75" customHeight="1">
      <c r="A492" s="128"/>
      <c r="B492" s="135"/>
      <c r="C492" s="137"/>
      <c r="D492" s="139"/>
      <c r="E492" s="141"/>
      <c r="F492" s="125"/>
    </row>
    <row r="493" spans="1:6" ht="18.75" customHeight="1">
      <c r="A493" s="129"/>
      <c r="B493" s="136"/>
      <c r="C493" s="138"/>
      <c r="D493" s="140"/>
      <c r="E493" s="142"/>
      <c r="F493" s="125"/>
    </row>
    <row r="494" spans="1:6" ht="18.75" customHeight="1">
      <c r="A494" s="128"/>
      <c r="B494" s="135"/>
      <c r="C494" s="137"/>
      <c r="D494" s="139"/>
      <c r="E494" s="141"/>
      <c r="F494" s="125"/>
    </row>
    <row r="495" spans="1:6" ht="18.75" customHeight="1">
      <c r="A495" s="129"/>
      <c r="B495" s="136"/>
      <c r="C495" s="138"/>
      <c r="D495" s="140"/>
      <c r="E495" s="142"/>
      <c r="F495" s="125"/>
    </row>
    <row r="496" spans="1:6" ht="18.75" customHeight="1">
      <c r="A496" s="128"/>
      <c r="B496" s="135"/>
      <c r="C496" s="137"/>
      <c r="D496" s="139"/>
      <c r="E496" s="141"/>
      <c r="F496" s="125"/>
    </row>
    <row r="497" spans="1:6" ht="18.75" customHeight="1">
      <c r="A497" s="129"/>
      <c r="B497" s="136"/>
      <c r="C497" s="138"/>
      <c r="D497" s="140"/>
      <c r="E497" s="142"/>
      <c r="F497" s="125"/>
    </row>
    <row r="498" spans="1:6" ht="18.75" customHeight="1">
      <c r="A498" s="128"/>
      <c r="B498" s="135"/>
      <c r="C498" s="137"/>
      <c r="D498" s="139"/>
      <c r="E498" s="141"/>
      <c r="F498" s="125"/>
    </row>
    <row r="499" spans="1:6" ht="18.75" customHeight="1">
      <c r="A499" s="129"/>
      <c r="B499" s="136"/>
      <c r="C499" s="138"/>
      <c r="D499" s="140"/>
      <c r="E499" s="142"/>
      <c r="F499" s="125"/>
    </row>
    <row r="500" spans="1:6" ht="18.75" customHeight="1">
      <c r="A500" s="128"/>
      <c r="B500" s="135"/>
      <c r="C500" s="137"/>
      <c r="D500" s="139"/>
      <c r="E500" s="141"/>
      <c r="F500" s="125"/>
    </row>
    <row r="501" spans="1:6" ht="18.75" customHeight="1">
      <c r="A501" s="131"/>
      <c r="B501" s="136"/>
      <c r="C501" s="138"/>
      <c r="D501" s="140"/>
      <c r="E501" s="142"/>
      <c r="F501" s="125"/>
    </row>
    <row r="502" spans="1:6" ht="18.75" customHeight="1">
      <c r="A502" s="132"/>
      <c r="B502" s="135"/>
      <c r="C502" s="137"/>
      <c r="D502" s="139"/>
      <c r="E502" s="141"/>
      <c r="F502" s="125"/>
    </row>
    <row r="503" spans="1:6" ht="18.75" customHeight="1">
      <c r="A503" s="133"/>
      <c r="B503" s="136"/>
      <c r="C503" s="138"/>
      <c r="D503" s="140"/>
      <c r="E503" s="142"/>
      <c r="F503" s="125"/>
    </row>
    <row r="504" spans="1:6" ht="18.75" customHeight="1">
      <c r="A504" s="132"/>
      <c r="B504" s="135"/>
      <c r="C504" s="137"/>
      <c r="D504" s="139"/>
      <c r="E504" s="141"/>
      <c r="F504" s="125"/>
    </row>
    <row r="505" spans="1:6" ht="18.75" customHeight="1">
      <c r="A505" s="133"/>
      <c r="B505" s="136"/>
      <c r="C505" s="138"/>
      <c r="D505" s="140"/>
      <c r="E505" s="142"/>
      <c r="F505" s="125"/>
    </row>
    <row r="506" spans="1:6" ht="18.75" customHeight="1">
      <c r="A506" s="132"/>
      <c r="B506" s="135"/>
      <c r="C506" s="137"/>
      <c r="D506" s="139"/>
      <c r="E506" s="141"/>
      <c r="F506" s="125"/>
    </row>
    <row r="507" spans="1:6" ht="18.75" customHeight="1">
      <c r="A507" s="133"/>
      <c r="B507" s="136"/>
      <c r="C507" s="138"/>
      <c r="D507" s="140"/>
      <c r="E507" s="142"/>
      <c r="F507" s="125"/>
    </row>
    <row r="508" spans="1:6" ht="18.75" customHeight="1">
      <c r="A508" s="132"/>
      <c r="B508" s="135"/>
      <c r="C508" s="137"/>
      <c r="D508" s="139"/>
      <c r="E508" s="141"/>
      <c r="F508" s="125"/>
    </row>
    <row r="509" spans="1:6" ht="18.75" customHeight="1">
      <c r="A509" s="133"/>
      <c r="B509" s="136"/>
      <c r="C509" s="138"/>
      <c r="D509" s="140"/>
      <c r="E509" s="142"/>
      <c r="F509" s="125"/>
    </row>
    <row r="510" spans="1:6" ht="18.75" customHeight="1">
      <c r="A510" s="132"/>
      <c r="B510" s="135"/>
      <c r="C510" s="137"/>
      <c r="D510" s="139"/>
      <c r="E510" s="141"/>
      <c r="F510" s="125"/>
    </row>
    <row r="511" spans="1:6" ht="18.75" customHeight="1">
      <c r="A511" s="133"/>
      <c r="B511" s="136"/>
      <c r="C511" s="138"/>
      <c r="D511" s="140"/>
      <c r="E511" s="142"/>
      <c r="F511" s="125"/>
    </row>
    <row r="512" spans="1:6" ht="18.75" customHeight="1">
      <c r="A512" s="132"/>
      <c r="B512" s="135"/>
      <c r="C512" s="137"/>
      <c r="D512" s="139"/>
      <c r="E512" s="141"/>
      <c r="F512" s="125"/>
    </row>
    <row r="513" spans="1:6" ht="18.75" customHeight="1">
      <c r="A513" s="133"/>
      <c r="B513" s="136"/>
      <c r="C513" s="138"/>
      <c r="D513" s="140"/>
      <c r="E513" s="142"/>
      <c r="F513" s="125"/>
    </row>
    <row r="514" spans="1:6" ht="18.75" customHeight="1">
      <c r="A514" s="132"/>
      <c r="B514" s="135"/>
      <c r="C514" s="137"/>
      <c r="D514" s="139"/>
      <c r="E514" s="141"/>
      <c r="F514" s="125"/>
    </row>
    <row r="515" spans="1:6" ht="18.75" customHeight="1">
      <c r="A515" s="134"/>
      <c r="B515" s="136"/>
      <c r="C515" s="138"/>
      <c r="D515" s="140"/>
      <c r="E515" s="142"/>
      <c r="F515" s="125"/>
    </row>
    <row r="516" spans="1:6" ht="18.75" customHeight="1">
      <c r="A516" s="132"/>
      <c r="B516" s="135"/>
      <c r="C516" s="137"/>
      <c r="D516" s="139"/>
      <c r="E516" s="141"/>
      <c r="F516" s="125"/>
    </row>
    <row r="517" spans="1:6" ht="18.75" customHeight="1">
      <c r="A517" s="133"/>
      <c r="B517" s="136"/>
      <c r="C517" s="138"/>
      <c r="D517" s="140"/>
      <c r="E517" s="142"/>
      <c r="F517" s="125"/>
    </row>
    <row r="518" spans="1:6" ht="18.75" customHeight="1">
      <c r="A518" s="132"/>
      <c r="B518" s="135"/>
      <c r="C518" s="137"/>
      <c r="D518" s="139"/>
      <c r="E518" s="141"/>
      <c r="F518" s="125"/>
    </row>
    <row r="519" spans="1:6" ht="18.75" customHeight="1">
      <c r="A519" s="133"/>
      <c r="B519" s="136"/>
      <c r="C519" s="138"/>
      <c r="D519" s="140"/>
      <c r="E519" s="142"/>
      <c r="F519" s="125"/>
    </row>
    <row r="520" spans="1:6" ht="18.75" customHeight="1">
      <c r="A520" s="132"/>
      <c r="B520" s="135"/>
      <c r="C520" s="137"/>
      <c r="D520" s="139"/>
      <c r="E520" s="141"/>
      <c r="F520" s="125"/>
    </row>
    <row r="521" spans="1:6" ht="18.75" customHeight="1">
      <c r="A521" s="133"/>
      <c r="B521" s="136"/>
      <c r="C521" s="138"/>
      <c r="D521" s="140"/>
      <c r="E521" s="142"/>
      <c r="F521" s="125"/>
    </row>
    <row r="522" spans="1:6" ht="18.75" customHeight="1">
      <c r="A522" s="132"/>
      <c r="B522" s="135"/>
      <c r="C522" s="137"/>
      <c r="D522" s="139"/>
      <c r="E522" s="141"/>
      <c r="F522" s="125"/>
    </row>
    <row r="523" spans="1:6" ht="18.75" customHeight="1">
      <c r="A523" s="133"/>
      <c r="B523" s="136"/>
      <c r="C523" s="138"/>
      <c r="D523" s="140"/>
      <c r="E523" s="142"/>
      <c r="F523" s="125"/>
    </row>
    <row r="524" spans="1:6" ht="18.75" customHeight="1">
      <c r="A524" s="132"/>
      <c r="B524" s="135"/>
      <c r="C524" s="137"/>
      <c r="D524" s="139"/>
      <c r="E524" s="141"/>
      <c r="F524" s="125"/>
    </row>
    <row r="525" spans="1:6" ht="18.75" customHeight="1">
      <c r="A525" s="133"/>
      <c r="B525" s="136"/>
      <c r="C525" s="138"/>
      <c r="D525" s="140"/>
      <c r="E525" s="142"/>
      <c r="F525" s="125"/>
    </row>
    <row r="526" spans="1:6" ht="18.75" customHeight="1">
      <c r="A526" s="132"/>
      <c r="B526" s="135"/>
      <c r="C526" s="137"/>
      <c r="D526" s="139"/>
      <c r="E526" s="141"/>
      <c r="F526" s="125"/>
    </row>
    <row r="527" spans="1:6" ht="18.75" customHeight="1">
      <c r="A527" s="133"/>
      <c r="B527" s="136"/>
      <c r="C527" s="138"/>
      <c r="D527" s="140"/>
      <c r="E527" s="142"/>
      <c r="F527" s="125"/>
    </row>
    <row r="528" spans="1:6" ht="18.75" customHeight="1">
      <c r="A528" s="132"/>
      <c r="B528" s="135"/>
      <c r="C528" s="137"/>
      <c r="D528" s="139"/>
      <c r="E528" s="141"/>
      <c r="F528" s="125"/>
    </row>
    <row r="529" spans="1:6" ht="18.75" customHeight="1">
      <c r="A529" s="133"/>
      <c r="B529" s="136"/>
      <c r="C529" s="138"/>
      <c r="D529" s="140"/>
      <c r="E529" s="142"/>
      <c r="F529" s="125"/>
    </row>
    <row r="530" spans="1:6" ht="18.75" customHeight="1">
      <c r="A530" s="132"/>
      <c r="B530" s="135"/>
      <c r="C530" s="137"/>
      <c r="D530" s="139"/>
      <c r="E530" s="141"/>
      <c r="F530" s="125"/>
    </row>
    <row r="531" spans="1:6" ht="18.75" customHeight="1">
      <c r="A531" s="133"/>
      <c r="B531" s="136"/>
      <c r="C531" s="138"/>
      <c r="D531" s="140"/>
      <c r="E531" s="142"/>
      <c r="F531" s="125"/>
    </row>
    <row r="532" spans="1:6" ht="18.75" customHeight="1">
      <c r="A532" s="132"/>
      <c r="B532" s="135"/>
      <c r="C532" s="137"/>
      <c r="D532" s="139"/>
      <c r="E532" s="141"/>
      <c r="F532" s="125"/>
    </row>
    <row r="533" spans="1:6" ht="18.75" customHeight="1">
      <c r="A533" s="133"/>
      <c r="B533" s="136"/>
      <c r="C533" s="138"/>
      <c r="D533" s="140"/>
      <c r="E533" s="142"/>
      <c r="F533" s="125"/>
    </row>
    <row r="534" spans="1:6" ht="18.75" customHeight="1">
      <c r="A534" s="132"/>
      <c r="B534" s="135"/>
      <c r="C534" s="137"/>
      <c r="D534" s="139"/>
      <c r="E534" s="141"/>
      <c r="F534" s="125"/>
    </row>
    <row r="535" spans="1:6" ht="18.75" customHeight="1">
      <c r="A535" s="133"/>
      <c r="B535" s="136"/>
      <c r="C535" s="138"/>
      <c r="D535" s="140"/>
      <c r="E535" s="142"/>
      <c r="F535" s="125"/>
    </row>
    <row r="536" spans="1:6" ht="18.75" customHeight="1">
      <c r="A536" s="132"/>
      <c r="B536" s="135"/>
      <c r="C536" s="137"/>
      <c r="D536" s="139"/>
      <c r="E536" s="141"/>
      <c r="F536" s="125"/>
    </row>
    <row r="537" spans="1:6" ht="18.75" customHeight="1">
      <c r="A537" s="133"/>
      <c r="B537" s="136"/>
      <c r="C537" s="138"/>
      <c r="D537" s="140"/>
      <c r="E537" s="142"/>
      <c r="F537" s="125"/>
    </row>
    <row r="538" spans="1:6" ht="18.75" customHeight="1">
      <c r="A538" s="132"/>
      <c r="B538" s="135"/>
      <c r="C538" s="137"/>
      <c r="D538" s="139"/>
      <c r="E538" s="141"/>
      <c r="F538" s="125"/>
    </row>
    <row r="539" spans="1:6" ht="18.75" customHeight="1">
      <c r="A539" s="133"/>
      <c r="B539" s="136"/>
      <c r="C539" s="138"/>
      <c r="D539" s="140"/>
      <c r="E539" s="142"/>
      <c r="F539" s="125"/>
    </row>
    <row r="540" spans="1:6" ht="18.75" customHeight="1">
      <c r="A540" s="132"/>
      <c r="B540" s="135"/>
      <c r="C540" s="137"/>
      <c r="D540" s="139"/>
      <c r="E540" s="141"/>
      <c r="F540" s="125"/>
    </row>
    <row r="541" spans="1:6" ht="18.75" customHeight="1">
      <c r="A541" s="133"/>
      <c r="B541" s="136"/>
      <c r="C541" s="138"/>
      <c r="D541" s="140"/>
      <c r="E541" s="142"/>
      <c r="F541" s="125"/>
    </row>
    <row r="542" spans="1:6" ht="18.75" customHeight="1">
      <c r="A542" s="132"/>
      <c r="B542" s="135"/>
      <c r="C542" s="137"/>
      <c r="D542" s="139"/>
      <c r="E542" s="141"/>
      <c r="F542" s="125"/>
    </row>
    <row r="543" spans="1:6" ht="18.75" customHeight="1">
      <c r="A543" s="133"/>
      <c r="B543" s="136"/>
      <c r="C543" s="138"/>
      <c r="D543" s="140"/>
      <c r="E543" s="142"/>
      <c r="F543" s="125"/>
    </row>
    <row r="544" spans="1:6" ht="15.75" customHeight="1">
      <c r="A544" s="126"/>
      <c r="B544" s="125"/>
      <c r="C544" s="126"/>
      <c r="D544" s="126"/>
      <c r="E544" s="125"/>
      <c r="F544" s="125"/>
    </row>
    <row r="545" spans="1:6" ht="15.75" customHeight="1">
      <c r="A545" s="126"/>
      <c r="B545" s="125"/>
      <c r="C545" s="126"/>
      <c r="D545" s="126"/>
      <c r="E545" s="125"/>
      <c r="F545" s="125"/>
    </row>
    <row r="546" spans="1:6" ht="15.75" customHeight="1">
      <c r="A546" s="126"/>
      <c r="B546" s="125"/>
      <c r="C546" s="126"/>
      <c r="D546" s="126"/>
      <c r="E546" s="125"/>
      <c r="F546" s="125"/>
    </row>
    <row r="547" spans="1:6" ht="15.75" customHeight="1">
      <c r="A547" s="126"/>
      <c r="B547" s="125"/>
      <c r="C547" s="126"/>
      <c r="D547" s="126"/>
      <c r="E547" s="125"/>
      <c r="F547" s="125"/>
    </row>
    <row r="548" spans="1:6" ht="15.75" customHeight="1">
      <c r="A548" s="126"/>
      <c r="B548" s="125"/>
      <c r="C548" s="126"/>
      <c r="D548" s="126"/>
      <c r="E548" s="125"/>
      <c r="F548" s="125"/>
    </row>
    <row r="549" spans="1:6" ht="15.75" customHeight="1">
      <c r="A549" s="126"/>
      <c r="B549" s="125"/>
      <c r="C549" s="126"/>
      <c r="D549" s="126"/>
      <c r="E549" s="125"/>
      <c r="F549" s="125"/>
    </row>
    <row r="550" spans="1:6" ht="15.75" customHeight="1">
      <c r="A550" s="126"/>
      <c r="B550" s="125"/>
      <c r="C550" s="126"/>
      <c r="D550" s="126"/>
      <c r="E550" s="125"/>
      <c r="F550" s="125"/>
    </row>
    <row r="551" spans="1:6" ht="15.75" customHeight="1">
      <c r="A551" s="126"/>
      <c r="B551" s="125"/>
      <c r="C551" s="126"/>
      <c r="D551" s="126"/>
      <c r="E551" s="125"/>
      <c r="F551" s="125"/>
    </row>
    <row r="552" spans="1:6" ht="15.75" customHeight="1">
      <c r="A552" s="126"/>
      <c r="B552" s="125"/>
      <c r="C552" s="126"/>
      <c r="D552" s="126"/>
      <c r="E552" s="125"/>
      <c r="F552" s="125"/>
    </row>
    <row r="553" spans="1:6" ht="15.75" customHeight="1">
      <c r="A553" s="126"/>
      <c r="B553" s="125"/>
      <c r="C553" s="126"/>
      <c r="D553" s="126"/>
      <c r="E553" s="125"/>
      <c r="F553" s="125"/>
    </row>
    <row r="554" spans="1:6" ht="15.75" customHeight="1">
      <c r="A554" s="126"/>
      <c r="B554" s="125"/>
      <c r="C554" s="126"/>
      <c r="D554" s="126"/>
      <c r="E554" s="125"/>
      <c r="F554" s="125"/>
    </row>
    <row r="555" spans="1:6" ht="15.75" customHeight="1">
      <c r="A555" s="126"/>
      <c r="B555" s="125"/>
      <c r="C555" s="126"/>
      <c r="D555" s="126"/>
      <c r="E555" s="125"/>
      <c r="F555" s="125"/>
    </row>
    <row r="556" spans="1:6" ht="15.75" customHeight="1">
      <c r="A556" s="126"/>
      <c r="B556" s="125"/>
      <c r="C556" s="126"/>
      <c r="D556" s="126"/>
      <c r="E556" s="125"/>
      <c r="F556" s="125"/>
    </row>
    <row r="557" spans="1:6" ht="15.75" customHeight="1">
      <c r="A557" s="126"/>
      <c r="B557" s="125"/>
      <c r="C557" s="126"/>
      <c r="D557" s="126"/>
      <c r="E557" s="125"/>
      <c r="F557" s="125"/>
    </row>
    <row r="558" spans="1:6" ht="15.75" customHeight="1">
      <c r="A558" s="126"/>
      <c r="B558" s="125"/>
      <c r="C558" s="126"/>
      <c r="D558" s="126"/>
      <c r="E558" s="125"/>
      <c r="F558" s="125"/>
    </row>
    <row r="559" spans="1:6" ht="15.75" customHeight="1">
      <c r="A559" s="126"/>
      <c r="B559" s="125"/>
      <c r="C559" s="126"/>
      <c r="D559" s="126"/>
      <c r="E559" s="125"/>
      <c r="F559" s="125"/>
    </row>
    <row r="560" spans="1:6" ht="15.75" customHeight="1">
      <c r="A560" s="126"/>
      <c r="B560" s="125"/>
      <c r="C560" s="126"/>
      <c r="D560" s="126"/>
      <c r="E560" s="125"/>
      <c r="F560" s="125"/>
    </row>
    <row r="561" spans="1:6" ht="15.75" customHeight="1">
      <c r="A561" s="126"/>
      <c r="B561" s="125"/>
      <c r="C561" s="126"/>
      <c r="D561" s="126"/>
      <c r="E561" s="125"/>
      <c r="F561" s="125"/>
    </row>
    <row r="562" spans="1:6" ht="15.75" customHeight="1">
      <c r="A562" s="126"/>
      <c r="B562" s="125"/>
      <c r="C562" s="126"/>
      <c r="D562" s="126"/>
      <c r="E562" s="125"/>
      <c r="F562" s="125"/>
    </row>
    <row r="563" spans="1:6" ht="15.75" customHeight="1">
      <c r="A563" s="126"/>
      <c r="B563" s="125"/>
      <c r="C563" s="126"/>
      <c r="D563" s="126"/>
      <c r="E563" s="125"/>
      <c r="F563" s="125"/>
    </row>
    <row r="564" spans="1:6" ht="15.75" customHeight="1">
      <c r="A564" s="126"/>
      <c r="B564" s="125"/>
      <c r="C564" s="126"/>
      <c r="D564" s="126"/>
      <c r="E564" s="125"/>
      <c r="F564" s="125"/>
    </row>
    <row r="565" spans="1:6" ht="15.75" customHeight="1">
      <c r="A565" s="126"/>
      <c r="B565" s="125"/>
      <c r="C565" s="126"/>
      <c r="D565" s="126"/>
      <c r="E565" s="125"/>
      <c r="F565" s="125"/>
    </row>
    <row r="566" spans="1:6" ht="15.75" customHeight="1">
      <c r="A566" s="126"/>
      <c r="B566" s="125"/>
      <c r="C566" s="126"/>
      <c r="D566" s="126"/>
      <c r="E566" s="125"/>
      <c r="F566" s="125"/>
    </row>
    <row r="567" spans="1:6" ht="15.75" customHeight="1">
      <c r="A567" s="126"/>
      <c r="B567" s="125"/>
      <c r="C567" s="126"/>
      <c r="D567" s="126"/>
      <c r="E567" s="125"/>
      <c r="F567" s="125"/>
    </row>
    <row r="568" spans="1:6" ht="15.75" customHeight="1">
      <c r="A568" s="126"/>
      <c r="B568" s="125"/>
      <c r="C568" s="126"/>
      <c r="D568" s="126"/>
      <c r="E568" s="125"/>
      <c r="F568" s="125"/>
    </row>
    <row r="569" spans="1:6" ht="15.75" customHeight="1">
      <c r="A569" s="126"/>
      <c r="B569" s="125"/>
      <c r="C569" s="126"/>
      <c r="D569" s="126"/>
      <c r="E569" s="125"/>
      <c r="F569" s="125"/>
    </row>
    <row r="570" spans="1:6" ht="15.75" customHeight="1">
      <c r="A570" s="126"/>
      <c r="B570" s="125"/>
      <c r="C570" s="126"/>
      <c r="D570" s="126"/>
      <c r="E570" s="125"/>
      <c r="F570" s="125"/>
    </row>
    <row r="571" spans="1:6" ht="15.75" customHeight="1">
      <c r="A571" s="126"/>
      <c r="B571" s="125"/>
      <c r="C571" s="126"/>
      <c r="D571" s="126"/>
      <c r="E571" s="125"/>
      <c r="F571" s="125"/>
    </row>
    <row r="572" spans="1:6" ht="15.75" customHeight="1">
      <c r="A572" s="126"/>
      <c r="B572" s="125"/>
      <c r="C572" s="126"/>
      <c r="D572" s="126"/>
      <c r="E572" s="125"/>
      <c r="F572" s="125"/>
    </row>
    <row r="573" spans="1:6" ht="15.75" customHeight="1">
      <c r="A573" s="126"/>
      <c r="B573" s="125"/>
      <c r="C573" s="126"/>
      <c r="D573" s="126"/>
      <c r="E573" s="125"/>
      <c r="F573" s="125"/>
    </row>
    <row r="574" spans="1:6" ht="15.75" customHeight="1">
      <c r="A574" s="126"/>
      <c r="B574" s="125"/>
      <c r="C574" s="126"/>
      <c r="D574" s="126"/>
      <c r="E574" s="125"/>
      <c r="F574" s="125"/>
    </row>
    <row r="575" spans="1:6" ht="15.75" customHeight="1">
      <c r="A575" s="126"/>
      <c r="B575" s="125"/>
      <c r="C575" s="126"/>
      <c r="D575" s="126"/>
      <c r="E575" s="125"/>
      <c r="F575" s="125"/>
    </row>
    <row r="576" spans="1:6" ht="15.75" customHeight="1">
      <c r="A576" s="126"/>
      <c r="B576" s="125"/>
      <c r="C576" s="126"/>
      <c r="D576" s="126"/>
      <c r="E576" s="125"/>
      <c r="F576" s="125"/>
    </row>
    <row r="577" spans="1:6" ht="15.75" customHeight="1">
      <c r="A577" s="126"/>
      <c r="B577" s="125"/>
      <c r="C577" s="126"/>
      <c r="D577" s="126"/>
      <c r="E577" s="125"/>
      <c r="F577" s="125"/>
    </row>
    <row r="578" spans="1:6" ht="15.75" customHeight="1">
      <c r="A578" s="126"/>
      <c r="B578" s="125"/>
      <c r="C578" s="126"/>
      <c r="D578" s="126"/>
      <c r="E578" s="125"/>
      <c r="F578" s="125"/>
    </row>
    <row r="579" spans="1:6" ht="15.75" customHeight="1">
      <c r="A579" s="126"/>
      <c r="B579" s="125"/>
      <c r="C579" s="126"/>
      <c r="D579" s="126"/>
      <c r="E579" s="125"/>
      <c r="F579" s="125"/>
    </row>
    <row r="580" spans="1:6" ht="15.75" customHeight="1">
      <c r="A580" s="126"/>
      <c r="B580" s="125"/>
      <c r="C580" s="126"/>
      <c r="D580" s="126"/>
      <c r="E580" s="125"/>
      <c r="F580" s="125"/>
    </row>
    <row r="581" spans="1:6" ht="15.75" customHeight="1">
      <c r="A581" s="126"/>
      <c r="B581" s="125"/>
      <c r="C581" s="126"/>
      <c r="D581" s="126"/>
      <c r="E581" s="125"/>
      <c r="F581" s="125"/>
    </row>
    <row r="582" spans="1:6" ht="15.75" customHeight="1">
      <c r="A582" s="126"/>
      <c r="B582" s="125"/>
      <c r="C582" s="126"/>
      <c r="D582" s="126"/>
      <c r="E582" s="125"/>
      <c r="F582" s="125"/>
    </row>
    <row r="583" spans="1:6" ht="15.75" customHeight="1">
      <c r="A583" s="126"/>
      <c r="B583" s="125"/>
      <c r="C583" s="126"/>
      <c r="D583" s="126"/>
      <c r="E583" s="125"/>
      <c r="F583" s="125"/>
    </row>
    <row r="584" spans="1:6" ht="15.75" customHeight="1">
      <c r="A584" s="126"/>
      <c r="B584" s="125"/>
      <c r="C584" s="126"/>
      <c r="D584" s="126"/>
      <c r="E584" s="125"/>
      <c r="F584" s="125"/>
    </row>
    <row r="585" spans="1:6" ht="15.75" customHeight="1">
      <c r="A585" s="126"/>
      <c r="B585" s="125"/>
      <c r="C585" s="126"/>
      <c r="D585" s="126"/>
      <c r="E585" s="125"/>
      <c r="F585" s="125"/>
    </row>
    <row r="586" spans="1:6" ht="15.75" customHeight="1">
      <c r="A586" s="126"/>
      <c r="B586" s="125"/>
      <c r="C586" s="126"/>
      <c r="D586" s="126"/>
      <c r="E586" s="125"/>
      <c r="F586" s="125"/>
    </row>
    <row r="587" spans="1:6" ht="15.75" customHeight="1">
      <c r="A587" s="126"/>
      <c r="B587" s="125"/>
      <c r="C587" s="126"/>
      <c r="D587" s="126"/>
      <c r="E587" s="125"/>
      <c r="F587" s="125"/>
    </row>
    <row r="588" spans="1:6" ht="15.75" customHeight="1">
      <c r="A588" s="126"/>
      <c r="B588" s="125"/>
      <c r="C588" s="126"/>
      <c r="D588" s="126"/>
      <c r="E588" s="125"/>
      <c r="F588" s="125"/>
    </row>
    <row r="589" spans="1:6" ht="15.75" customHeight="1">
      <c r="A589" s="126"/>
      <c r="B589" s="125"/>
      <c r="C589" s="126"/>
      <c r="D589" s="126"/>
      <c r="E589" s="125"/>
      <c r="F589" s="125"/>
    </row>
    <row r="590" spans="1:6" ht="15.75" customHeight="1">
      <c r="A590" s="126"/>
      <c r="B590" s="125"/>
      <c r="C590" s="126"/>
      <c r="D590" s="126"/>
      <c r="E590" s="125"/>
      <c r="F590" s="125"/>
    </row>
    <row r="591" spans="1:6" ht="15.75" customHeight="1">
      <c r="A591" s="126"/>
      <c r="B591" s="125"/>
      <c r="C591" s="126"/>
      <c r="D591" s="126"/>
      <c r="E591" s="125"/>
      <c r="F591" s="125"/>
    </row>
    <row r="592" spans="1:6" ht="15.75" customHeight="1">
      <c r="A592" s="126"/>
      <c r="B592" s="125"/>
      <c r="C592" s="126"/>
      <c r="D592" s="126"/>
      <c r="E592" s="125"/>
      <c r="F592" s="125"/>
    </row>
    <row r="593" spans="1:6" ht="15.75" customHeight="1">
      <c r="A593" s="126"/>
      <c r="B593" s="125"/>
      <c r="C593" s="126"/>
      <c r="D593" s="126"/>
      <c r="E593" s="125"/>
      <c r="F593" s="125"/>
    </row>
    <row r="594" spans="1:6" ht="15.75" customHeight="1">
      <c r="A594" s="126"/>
      <c r="B594" s="125"/>
      <c r="C594" s="126"/>
      <c r="D594" s="126"/>
      <c r="E594" s="125"/>
      <c r="F594" s="125"/>
    </row>
    <row r="595" spans="1:6" ht="15.75" customHeight="1">
      <c r="A595" s="126"/>
      <c r="B595" s="125"/>
      <c r="C595" s="126"/>
      <c r="D595" s="126"/>
      <c r="E595" s="125"/>
      <c r="F595" s="125"/>
    </row>
    <row r="596" spans="1:6" ht="15.75" customHeight="1">
      <c r="A596" s="126"/>
      <c r="B596" s="125"/>
      <c r="C596" s="126"/>
      <c r="D596" s="126"/>
      <c r="E596" s="125"/>
      <c r="F596" s="125"/>
    </row>
    <row r="597" spans="1:6" ht="15.75" customHeight="1">
      <c r="A597" s="126"/>
      <c r="B597" s="125"/>
      <c r="C597" s="126"/>
      <c r="D597" s="126"/>
      <c r="E597" s="125"/>
      <c r="F597" s="125"/>
    </row>
    <row r="598" spans="1:6" ht="15.75" customHeight="1">
      <c r="A598" s="126"/>
      <c r="B598" s="125"/>
      <c r="C598" s="126"/>
      <c r="D598" s="126"/>
      <c r="E598" s="125"/>
      <c r="F598" s="125"/>
    </row>
    <row r="599" spans="1:6" ht="15.75" customHeight="1">
      <c r="A599" s="126"/>
      <c r="B599" s="125"/>
      <c r="C599" s="126"/>
      <c r="D599" s="126"/>
      <c r="E599" s="125"/>
      <c r="F599" s="125"/>
    </row>
    <row r="600" spans="1:6" ht="15.75" customHeight="1">
      <c r="A600" s="126"/>
      <c r="B600" s="125"/>
      <c r="C600" s="126"/>
      <c r="D600" s="126"/>
      <c r="E600" s="125"/>
      <c r="F600" s="125"/>
    </row>
    <row r="601" spans="1:6" ht="15.75" customHeight="1">
      <c r="A601" s="126"/>
      <c r="B601" s="125"/>
      <c r="C601" s="126"/>
      <c r="D601" s="126"/>
      <c r="E601" s="125"/>
      <c r="F601" s="125"/>
    </row>
    <row r="602" spans="1:6" ht="15.75" customHeight="1">
      <c r="A602" s="126"/>
      <c r="B602" s="125"/>
      <c r="C602" s="126"/>
      <c r="D602" s="126"/>
      <c r="E602" s="125"/>
      <c r="F602" s="125"/>
    </row>
    <row r="603" spans="1:6" ht="15.75" customHeight="1">
      <c r="A603" s="126"/>
      <c r="B603" s="125"/>
      <c r="C603" s="126"/>
      <c r="D603" s="126"/>
      <c r="E603" s="125"/>
      <c r="F603" s="125"/>
    </row>
    <row r="604" spans="1:6" ht="15.75" customHeight="1">
      <c r="A604" s="126"/>
      <c r="B604" s="125"/>
      <c r="C604" s="126"/>
      <c r="D604" s="126"/>
      <c r="E604" s="125"/>
      <c r="F604" s="125"/>
    </row>
    <row r="605" spans="1:6" ht="15.75" customHeight="1">
      <c r="A605" s="126"/>
      <c r="B605" s="125"/>
      <c r="C605" s="126"/>
      <c r="D605" s="126"/>
      <c r="E605" s="125"/>
      <c r="F605" s="125"/>
    </row>
    <row r="606" spans="1:6" ht="15.75" customHeight="1">
      <c r="A606" s="126"/>
      <c r="B606" s="125"/>
      <c r="C606" s="126"/>
      <c r="D606" s="126"/>
      <c r="E606" s="125"/>
      <c r="F606" s="125"/>
    </row>
    <row r="607" spans="1:6" ht="15.75" customHeight="1">
      <c r="A607" s="126"/>
      <c r="B607" s="125"/>
      <c r="C607" s="126"/>
      <c r="D607" s="126"/>
      <c r="E607" s="125"/>
      <c r="F607" s="125"/>
    </row>
    <row r="608" spans="1:6" ht="15.75" customHeight="1">
      <c r="A608" s="126"/>
      <c r="B608" s="125"/>
      <c r="C608" s="126"/>
      <c r="D608" s="126"/>
      <c r="E608" s="125"/>
      <c r="F608" s="125"/>
    </row>
    <row r="609" spans="1:6" ht="15.75" customHeight="1">
      <c r="A609" s="126"/>
      <c r="B609" s="125"/>
      <c r="C609" s="126"/>
      <c r="D609" s="126"/>
      <c r="E609" s="125"/>
      <c r="F609" s="125"/>
    </row>
    <row r="610" spans="1:6" ht="15.75" customHeight="1">
      <c r="A610" s="126"/>
      <c r="B610" s="125"/>
      <c r="C610" s="126"/>
      <c r="D610" s="126"/>
      <c r="E610" s="125"/>
      <c r="F610" s="125"/>
    </row>
    <row r="611" spans="1:6" ht="15.75" customHeight="1">
      <c r="A611" s="126"/>
      <c r="B611" s="125"/>
      <c r="C611" s="126"/>
      <c r="D611" s="126"/>
      <c r="E611" s="125"/>
      <c r="F611" s="125"/>
    </row>
    <row r="612" spans="1:6" ht="15.75" customHeight="1">
      <c r="A612" s="126"/>
      <c r="B612" s="125"/>
      <c r="C612" s="126"/>
      <c r="D612" s="126"/>
      <c r="E612" s="125"/>
      <c r="F612" s="125"/>
    </row>
    <row r="613" spans="1:6" ht="15.75" customHeight="1">
      <c r="A613" s="126"/>
      <c r="B613" s="125"/>
      <c r="C613" s="126"/>
      <c r="D613" s="126"/>
      <c r="E613" s="125"/>
      <c r="F613" s="125"/>
    </row>
    <row r="614" spans="1:6" ht="15.75" customHeight="1">
      <c r="A614" s="126"/>
      <c r="B614" s="125"/>
      <c r="C614" s="126"/>
      <c r="D614" s="126"/>
      <c r="E614" s="125"/>
      <c r="F614" s="125"/>
    </row>
    <row r="615" spans="1:6" ht="15.75" customHeight="1">
      <c r="A615" s="126"/>
      <c r="B615" s="125"/>
      <c r="C615" s="126"/>
      <c r="D615" s="126"/>
      <c r="E615" s="125"/>
      <c r="F615" s="125"/>
    </row>
    <row r="616" spans="1:6" ht="15.75" customHeight="1">
      <c r="A616" s="126"/>
      <c r="B616" s="125"/>
      <c r="C616" s="126"/>
      <c r="D616" s="126"/>
      <c r="E616" s="125"/>
      <c r="F616" s="125"/>
    </row>
    <row r="617" spans="1:6" ht="15.75" customHeight="1">
      <c r="A617" s="126"/>
      <c r="B617" s="125"/>
      <c r="C617" s="126"/>
      <c r="D617" s="126"/>
      <c r="E617" s="125"/>
      <c r="F617" s="125"/>
    </row>
    <row r="618" spans="1:6" ht="15.75" customHeight="1">
      <c r="A618" s="126"/>
      <c r="B618" s="125"/>
      <c r="C618" s="126"/>
      <c r="D618" s="126"/>
      <c r="E618" s="125"/>
      <c r="F618" s="125"/>
    </row>
    <row r="619" spans="1:6" ht="15.75" customHeight="1">
      <c r="A619" s="126"/>
      <c r="B619" s="125"/>
      <c r="C619" s="126"/>
      <c r="D619" s="126"/>
      <c r="E619" s="125"/>
      <c r="F619" s="125"/>
    </row>
    <row r="620" spans="1:6" ht="15.75" customHeight="1">
      <c r="A620" s="126"/>
      <c r="B620" s="125"/>
      <c r="C620" s="126"/>
      <c r="D620" s="126"/>
      <c r="E620" s="125"/>
      <c r="F620" s="125"/>
    </row>
    <row r="621" spans="1:6" ht="15.75" customHeight="1">
      <c r="A621" s="126"/>
      <c r="B621" s="125"/>
      <c r="C621" s="126"/>
      <c r="D621" s="126"/>
      <c r="E621" s="125"/>
      <c r="F621" s="125"/>
    </row>
    <row r="622" spans="1:6" ht="15.75" customHeight="1">
      <c r="A622" s="126"/>
      <c r="B622" s="125"/>
      <c r="C622" s="126"/>
      <c r="D622" s="126"/>
      <c r="E622" s="125"/>
      <c r="F622" s="125"/>
    </row>
    <row r="623" spans="1:6" ht="15.75" customHeight="1">
      <c r="A623" s="126"/>
      <c r="B623" s="125"/>
      <c r="C623" s="126"/>
      <c r="D623" s="126"/>
      <c r="E623" s="125"/>
      <c r="F623" s="125"/>
    </row>
    <row r="624" spans="1:6" ht="15.75" customHeight="1">
      <c r="A624" s="126"/>
      <c r="B624" s="125"/>
      <c r="C624" s="126"/>
      <c r="D624" s="126"/>
      <c r="E624" s="125"/>
      <c r="F624" s="125"/>
    </row>
    <row r="625" spans="1:6" ht="15.75" customHeight="1">
      <c r="A625" s="126"/>
      <c r="B625" s="125"/>
      <c r="C625" s="126"/>
      <c r="D625" s="126"/>
      <c r="E625" s="125"/>
      <c r="F625" s="125"/>
    </row>
    <row r="626" spans="1:6" ht="15.75" customHeight="1">
      <c r="A626" s="126"/>
      <c r="B626" s="125"/>
      <c r="C626" s="126"/>
      <c r="D626" s="126"/>
      <c r="E626" s="125"/>
      <c r="F626" s="125"/>
    </row>
    <row r="627" spans="1:6" ht="15.75" customHeight="1">
      <c r="A627" s="126"/>
      <c r="B627" s="125"/>
      <c r="C627" s="126"/>
      <c r="D627" s="126"/>
      <c r="E627" s="125"/>
      <c r="F627" s="125"/>
    </row>
    <row r="628" spans="1:6" ht="15.75" customHeight="1">
      <c r="A628" s="126"/>
      <c r="B628" s="125"/>
      <c r="C628" s="126"/>
      <c r="D628" s="126"/>
      <c r="E628" s="125"/>
      <c r="F628" s="125"/>
    </row>
    <row r="629" spans="1:6" ht="15.75" customHeight="1">
      <c r="A629" s="126"/>
      <c r="B629" s="125"/>
      <c r="C629" s="126"/>
      <c r="D629" s="126"/>
      <c r="E629" s="125"/>
      <c r="F629" s="125"/>
    </row>
    <row r="630" spans="1:6" ht="15.75" customHeight="1">
      <c r="A630" s="126"/>
      <c r="B630" s="125"/>
      <c r="C630" s="126"/>
      <c r="D630" s="126"/>
      <c r="E630" s="125"/>
      <c r="F630" s="125"/>
    </row>
    <row r="631" spans="1:6" ht="15.75" customHeight="1">
      <c r="A631" s="126"/>
      <c r="B631" s="125"/>
      <c r="C631" s="126"/>
      <c r="D631" s="126"/>
      <c r="E631" s="125"/>
      <c r="F631" s="125"/>
    </row>
    <row r="632" spans="1:6" ht="15.75" customHeight="1">
      <c r="A632" s="126"/>
      <c r="B632" s="125"/>
      <c r="C632" s="126"/>
      <c r="D632" s="126"/>
      <c r="E632" s="125"/>
      <c r="F632" s="125"/>
    </row>
    <row r="633" spans="1:6" ht="15.75" customHeight="1">
      <c r="A633" s="126"/>
      <c r="B633" s="125"/>
      <c r="C633" s="126"/>
      <c r="D633" s="126"/>
      <c r="E633" s="125"/>
      <c r="F633" s="125"/>
    </row>
    <row r="634" spans="1:6" ht="15.75" customHeight="1">
      <c r="A634" s="126"/>
      <c r="B634" s="125"/>
      <c r="C634" s="126"/>
      <c r="D634" s="126"/>
      <c r="E634" s="125"/>
      <c r="F634" s="125"/>
    </row>
    <row r="635" spans="1:6" ht="15.75" customHeight="1">
      <c r="A635" s="126"/>
      <c r="B635" s="125"/>
      <c r="C635" s="126"/>
      <c r="D635" s="126"/>
      <c r="E635" s="125"/>
      <c r="F635" s="125"/>
    </row>
    <row r="636" spans="1:6" ht="15.75" customHeight="1">
      <c r="A636" s="126"/>
      <c r="B636" s="125"/>
      <c r="C636" s="126"/>
      <c r="D636" s="126"/>
      <c r="E636" s="125"/>
      <c r="F636" s="125"/>
    </row>
    <row r="637" spans="1:6" ht="15.75" customHeight="1">
      <c r="A637" s="126"/>
      <c r="B637" s="125"/>
      <c r="C637" s="126"/>
      <c r="D637" s="126"/>
      <c r="E637" s="125"/>
      <c r="F637" s="125"/>
    </row>
    <row r="638" spans="1:6" ht="15.75" customHeight="1">
      <c r="A638" s="126"/>
      <c r="B638" s="125"/>
      <c r="C638" s="126"/>
      <c r="D638" s="126"/>
      <c r="E638" s="125"/>
      <c r="F638" s="125"/>
    </row>
    <row r="639" spans="1:6" ht="15.75" customHeight="1">
      <c r="A639" s="126"/>
      <c r="B639" s="125"/>
      <c r="C639" s="126"/>
      <c r="D639" s="126"/>
      <c r="E639" s="125"/>
      <c r="F639" s="125"/>
    </row>
    <row r="640" spans="1:6" ht="15.75" customHeight="1">
      <c r="A640" s="126"/>
      <c r="B640" s="125"/>
      <c r="C640" s="126"/>
      <c r="D640" s="126"/>
      <c r="E640" s="125"/>
      <c r="F640" s="125"/>
    </row>
    <row r="641" spans="1:6" ht="15.75" customHeight="1">
      <c r="A641" s="126"/>
      <c r="B641" s="125"/>
      <c r="C641" s="126"/>
      <c r="D641" s="126"/>
      <c r="E641" s="125"/>
      <c r="F641" s="125"/>
    </row>
    <row r="642" spans="1:6" ht="15.75" customHeight="1">
      <c r="A642" s="126"/>
      <c r="B642" s="125"/>
      <c r="C642" s="126"/>
      <c r="D642" s="126"/>
      <c r="E642" s="125"/>
      <c r="F642" s="125"/>
    </row>
    <row r="643" spans="1:6" ht="15.75" customHeight="1">
      <c r="A643" s="126"/>
      <c r="B643" s="125"/>
      <c r="C643" s="126"/>
      <c r="D643" s="126"/>
      <c r="E643" s="125"/>
      <c r="F643" s="125"/>
    </row>
    <row r="644" spans="1:6" ht="15.75" customHeight="1">
      <c r="A644" s="126"/>
      <c r="B644" s="125"/>
      <c r="C644" s="126"/>
      <c r="D644" s="126"/>
      <c r="E644" s="125"/>
      <c r="F644" s="125"/>
    </row>
    <row r="645" spans="1:6" ht="15.75" customHeight="1">
      <c r="A645" s="126"/>
      <c r="B645" s="125"/>
      <c r="C645" s="126"/>
      <c r="D645" s="126"/>
      <c r="E645" s="125"/>
      <c r="F645" s="125"/>
    </row>
    <row r="646" spans="1:6" ht="15.75" customHeight="1">
      <c r="A646" s="126"/>
      <c r="B646" s="125"/>
      <c r="C646" s="126"/>
      <c r="D646" s="126"/>
      <c r="E646" s="125"/>
      <c r="F646" s="125"/>
    </row>
    <row r="647" spans="1:6" ht="15.75" customHeight="1">
      <c r="A647" s="126"/>
      <c r="B647" s="125"/>
      <c r="C647" s="126"/>
      <c r="D647" s="126"/>
      <c r="E647" s="125"/>
      <c r="F647" s="125"/>
    </row>
    <row r="648" spans="1:6" ht="15.75" customHeight="1">
      <c r="A648" s="126"/>
      <c r="B648" s="125"/>
      <c r="C648" s="126"/>
      <c r="D648" s="126"/>
      <c r="E648" s="125"/>
      <c r="F648" s="125"/>
    </row>
    <row r="649" spans="1:6" ht="15.75" customHeight="1">
      <c r="A649" s="126"/>
      <c r="B649" s="125"/>
      <c r="C649" s="126"/>
      <c r="D649" s="126"/>
      <c r="E649" s="125"/>
      <c r="F649" s="125"/>
    </row>
    <row r="650" spans="1:6" ht="15.75" customHeight="1">
      <c r="A650" s="126"/>
      <c r="B650" s="125"/>
      <c r="C650" s="126"/>
      <c r="D650" s="126"/>
      <c r="E650" s="125"/>
      <c r="F650" s="125"/>
    </row>
    <row r="651" spans="1:6" ht="15.75" customHeight="1">
      <c r="A651" s="126"/>
      <c r="B651" s="125"/>
      <c r="C651" s="126"/>
      <c r="D651" s="126"/>
      <c r="E651" s="125"/>
      <c r="F651" s="125"/>
    </row>
    <row r="652" spans="1:6" ht="15.75" customHeight="1">
      <c r="A652" s="126"/>
      <c r="B652" s="125"/>
      <c r="C652" s="126"/>
      <c r="D652" s="126"/>
      <c r="E652" s="125"/>
      <c r="F652" s="125"/>
    </row>
    <row r="653" spans="1:6" ht="15.75" customHeight="1">
      <c r="A653" s="126"/>
      <c r="B653" s="125"/>
      <c r="C653" s="126"/>
      <c r="D653" s="126"/>
      <c r="E653" s="125"/>
      <c r="F653" s="125"/>
    </row>
    <row r="654" spans="1:6" ht="15.75" customHeight="1">
      <c r="A654" s="126"/>
      <c r="B654" s="125"/>
      <c r="C654" s="126"/>
      <c r="D654" s="126"/>
      <c r="E654" s="125"/>
      <c r="F654" s="125"/>
    </row>
    <row r="655" spans="1:6" ht="15.75" customHeight="1">
      <c r="A655" s="126"/>
      <c r="B655" s="125"/>
      <c r="C655" s="126"/>
      <c r="D655" s="126"/>
      <c r="E655" s="125"/>
      <c r="F655" s="125"/>
    </row>
    <row r="656" spans="1:6" ht="15.75" customHeight="1">
      <c r="A656" s="126"/>
      <c r="B656" s="125"/>
      <c r="C656" s="126"/>
      <c r="D656" s="126"/>
      <c r="E656" s="125"/>
      <c r="F656" s="125"/>
    </row>
    <row r="657" spans="1:6" ht="15.75" customHeight="1">
      <c r="A657" s="126"/>
      <c r="B657" s="125"/>
      <c r="C657" s="126"/>
      <c r="D657" s="126"/>
      <c r="E657" s="125"/>
      <c r="F657" s="125"/>
    </row>
    <row r="658" spans="1:6" ht="15.75" customHeight="1">
      <c r="A658" s="126"/>
      <c r="B658" s="125"/>
      <c r="C658" s="126"/>
      <c r="D658" s="126"/>
      <c r="E658" s="125"/>
      <c r="F658" s="125"/>
    </row>
    <row r="659" spans="1:6" ht="15.75" customHeight="1">
      <c r="A659" s="126"/>
      <c r="B659" s="125"/>
      <c r="C659" s="126"/>
      <c r="D659" s="126"/>
      <c r="E659" s="125"/>
      <c r="F659" s="125"/>
    </row>
    <row r="660" spans="1:6" ht="15.75" customHeight="1">
      <c r="A660" s="126"/>
      <c r="B660" s="125"/>
      <c r="C660" s="126"/>
      <c r="D660" s="126"/>
      <c r="E660" s="125"/>
      <c r="F660" s="125"/>
    </row>
    <row r="661" spans="1:6" ht="15.75" customHeight="1">
      <c r="A661" s="126"/>
      <c r="B661" s="125"/>
      <c r="C661" s="126"/>
      <c r="D661" s="126"/>
      <c r="E661" s="125"/>
      <c r="F661" s="125"/>
    </row>
    <row r="662" spans="1:6" ht="15.75" customHeight="1">
      <c r="A662" s="126"/>
      <c r="B662" s="125"/>
      <c r="C662" s="126"/>
      <c r="D662" s="126"/>
      <c r="E662" s="125"/>
      <c r="F662" s="125"/>
    </row>
    <row r="663" spans="1:6" ht="15.75" customHeight="1">
      <c r="A663" s="126"/>
      <c r="B663" s="125"/>
      <c r="C663" s="126"/>
      <c r="D663" s="126"/>
      <c r="E663" s="125"/>
      <c r="F663" s="125"/>
    </row>
    <row r="664" spans="1:6" ht="15.75" customHeight="1">
      <c r="A664" s="126"/>
      <c r="B664" s="125"/>
      <c r="C664" s="126"/>
      <c r="D664" s="126"/>
      <c r="E664" s="125"/>
      <c r="F664" s="125"/>
    </row>
    <row r="665" spans="1:6" ht="15.75" customHeight="1">
      <c r="A665" s="126"/>
      <c r="B665" s="125"/>
      <c r="C665" s="126"/>
      <c r="D665" s="126"/>
      <c r="E665" s="125"/>
      <c r="F665" s="125"/>
    </row>
    <row r="666" spans="1:6" ht="15.75" customHeight="1">
      <c r="A666" s="126"/>
      <c r="B666" s="125"/>
      <c r="C666" s="126"/>
      <c r="D666" s="126"/>
      <c r="E666" s="125"/>
      <c r="F666" s="125"/>
    </row>
    <row r="667" spans="1:6" ht="15.75" customHeight="1">
      <c r="A667" s="126"/>
      <c r="B667" s="125"/>
      <c r="C667" s="126"/>
      <c r="D667" s="126"/>
      <c r="E667" s="125"/>
      <c r="F667" s="125"/>
    </row>
    <row r="668" spans="1:6" ht="15.75" customHeight="1">
      <c r="A668" s="126"/>
      <c r="B668" s="125"/>
      <c r="C668" s="126"/>
      <c r="D668" s="126"/>
      <c r="E668" s="125"/>
      <c r="F668" s="125"/>
    </row>
    <row r="669" spans="1:6" ht="15.75" customHeight="1">
      <c r="A669" s="126"/>
      <c r="B669" s="125"/>
      <c r="C669" s="126"/>
      <c r="D669" s="126"/>
      <c r="E669" s="125"/>
      <c r="F669" s="125"/>
    </row>
    <row r="670" spans="1:6" ht="15.75" customHeight="1">
      <c r="A670" s="126"/>
      <c r="B670" s="125"/>
      <c r="C670" s="126"/>
      <c r="D670" s="126"/>
      <c r="E670" s="125"/>
      <c r="F670" s="125"/>
    </row>
    <row r="671" spans="1:6" ht="15.75" customHeight="1">
      <c r="A671" s="126"/>
      <c r="B671" s="125"/>
      <c r="C671" s="126"/>
      <c r="D671" s="126"/>
      <c r="E671" s="125"/>
      <c r="F671" s="125"/>
    </row>
    <row r="672" spans="1:6" ht="15.75" customHeight="1">
      <c r="A672" s="126"/>
      <c r="B672" s="125"/>
      <c r="C672" s="126"/>
      <c r="D672" s="126"/>
      <c r="E672" s="125"/>
      <c r="F672" s="125"/>
    </row>
    <row r="673" spans="1:6" ht="15.75" customHeight="1">
      <c r="A673" s="126"/>
      <c r="B673" s="125"/>
      <c r="C673" s="126"/>
      <c r="D673" s="126"/>
      <c r="E673" s="125"/>
      <c r="F673" s="125"/>
    </row>
    <row r="674" spans="1:6" ht="15.75" customHeight="1">
      <c r="A674" s="126"/>
      <c r="B674" s="125"/>
      <c r="C674" s="126"/>
      <c r="D674" s="126"/>
      <c r="E674" s="125"/>
      <c r="F674" s="125"/>
    </row>
    <row r="675" spans="1:6" ht="15.75" customHeight="1">
      <c r="A675" s="126"/>
      <c r="B675" s="125"/>
      <c r="C675" s="126"/>
      <c r="D675" s="126"/>
      <c r="E675" s="125"/>
      <c r="F675" s="125"/>
    </row>
    <row r="676" spans="1:6" ht="15.75" customHeight="1">
      <c r="A676" s="126"/>
      <c r="B676" s="125"/>
      <c r="C676" s="126"/>
      <c r="D676" s="126"/>
      <c r="E676" s="125"/>
      <c r="F676" s="125"/>
    </row>
    <row r="677" spans="1:6" ht="15.75" customHeight="1">
      <c r="A677" s="126"/>
      <c r="B677" s="125"/>
      <c r="C677" s="126"/>
      <c r="D677" s="126"/>
      <c r="E677" s="125"/>
      <c r="F677" s="125"/>
    </row>
    <row r="678" spans="1:6" ht="15.75" customHeight="1">
      <c r="A678" s="126"/>
      <c r="B678" s="125"/>
      <c r="C678" s="126"/>
      <c r="D678" s="126"/>
      <c r="E678" s="125"/>
      <c r="F678" s="125"/>
    </row>
    <row r="679" spans="1:6" ht="15.75" customHeight="1">
      <c r="A679" s="126"/>
      <c r="B679" s="125"/>
      <c r="C679" s="126"/>
      <c r="D679" s="126"/>
      <c r="E679" s="125"/>
      <c r="F679" s="125"/>
    </row>
    <row r="680" spans="1:6" ht="15.75" customHeight="1">
      <c r="A680" s="126"/>
      <c r="B680" s="125"/>
      <c r="C680" s="126"/>
      <c r="D680" s="126"/>
      <c r="E680" s="125"/>
      <c r="F680" s="125"/>
    </row>
    <row r="681" spans="1:6" ht="15.75" customHeight="1">
      <c r="A681" s="126"/>
      <c r="B681" s="125"/>
      <c r="C681" s="126"/>
      <c r="D681" s="126"/>
      <c r="E681" s="125"/>
      <c r="F681" s="125"/>
    </row>
    <row r="682" spans="1:6" ht="15.75" customHeight="1">
      <c r="A682" s="126"/>
      <c r="B682" s="125"/>
      <c r="C682" s="126"/>
      <c r="D682" s="126"/>
      <c r="E682" s="125"/>
      <c r="F682" s="125"/>
    </row>
    <row r="683" spans="1:6" ht="15.75" customHeight="1">
      <c r="A683" s="126"/>
      <c r="B683" s="125"/>
      <c r="C683" s="126"/>
      <c r="D683" s="126"/>
      <c r="E683" s="125"/>
      <c r="F683" s="125"/>
    </row>
    <row r="684" spans="1:6" ht="15.75" customHeight="1">
      <c r="A684" s="126"/>
      <c r="B684" s="125"/>
      <c r="C684" s="126"/>
      <c r="D684" s="126"/>
      <c r="E684" s="125"/>
      <c r="F684" s="125"/>
    </row>
    <row r="685" spans="1:6" ht="15.75" customHeight="1">
      <c r="A685" s="126"/>
      <c r="B685" s="125"/>
      <c r="C685" s="126"/>
      <c r="D685" s="126"/>
      <c r="E685" s="125"/>
      <c r="F685" s="125"/>
    </row>
    <row r="686" spans="1:6" ht="15.75" customHeight="1">
      <c r="A686" s="126"/>
      <c r="B686" s="125"/>
      <c r="C686" s="126"/>
      <c r="D686" s="126"/>
      <c r="E686" s="125"/>
      <c r="F686" s="125"/>
    </row>
    <row r="687" spans="1:6" ht="15.75" customHeight="1">
      <c r="A687" s="126"/>
      <c r="B687" s="125"/>
      <c r="C687" s="126"/>
      <c r="D687" s="126"/>
      <c r="E687" s="125"/>
      <c r="F687" s="125"/>
    </row>
    <row r="688" spans="1:6" ht="15.75" customHeight="1">
      <c r="A688" s="126"/>
      <c r="B688" s="125"/>
      <c r="C688" s="126"/>
      <c r="D688" s="126"/>
      <c r="E688" s="125"/>
      <c r="F688" s="125"/>
    </row>
    <row r="689" spans="1:6" ht="15.75" customHeight="1">
      <c r="A689" s="126"/>
      <c r="B689" s="125"/>
      <c r="C689" s="126"/>
      <c r="D689" s="126"/>
      <c r="E689" s="125"/>
      <c r="F689" s="125"/>
    </row>
    <row r="690" spans="1:6" ht="15.75" customHeight="1">
      <c r="A690" s="126"/>
      <c r="B690" s="125"/>
      <c r="C690" s="126"/>
      <c r="D690" s="126"/>
      <c r="E690" s="125"/>
      <c r="F690" s="125"/>
    </row>
    <row r="691" spans="1:6" ht="15.75" customHeight="1">
      <c r="A691" s="126"/>
      <c r="B691" s="125"/>
      <c r="C691" s="126"/>
      <c r="D691" s="126"/>
      <c r="E691" s="125"/>
      <c r="F691" s="125"/>
    </row>
    <row r="692" spans="1:6" ht="15.75" customHeight="1">
      <c r="A692" s="126"/>
      <c r="B692" s="125"/>
      <c r="C692" s="126"/>
      <c r="D692" s="126"/>
      <c r="E692" s="125"/>
      <c r="F692" s="125"/>
    </row>
    <row r="693" spans="1:6" ht="15.75" customHeight="1">
      <c r="A693" s="126"/>
      <c r="B693" s="125"/>
      <c r="C693" s="126"/>
      <c r="D693" s="126"/>
      <c r="E693" s="125"/>
      <c r="F693" s="125"/>
    </row>
    <row r="694" spans="1:6" ht="15.75" customHeight="1">
      <c r="A694" s="126"/>
      <c r="B694" s="125"/>
      <c r="C694" s="126"/>
      <c r="D694" s="126"/>
      <c r="E694" s="125"/>
      <c r="F694" s="125"/>
    </row>
    <row r="695" spans="1:6" ht="15.75" customHeight="1">
      <c r="A695" s="126"/>
      <c r="B695" s="125"/>
      <c r="C695" s="126"/>
      <c r="D695" s="126"/>
      <c r="E695" s="125"/>
      <c r="F695" s="125"/>
    </row>
    <row r="696" spans="1:6" ht="15.75" customHeight="1">
      <c r="A696" s="126"/>
      <c r="B696" s="125"/>
      <c r="C696" s="126"/>
      <c r="D696" s="126"/>
      <c r="E696" s="125"/>
      <c r="F696" s="125"/>
    </row>
    <row r="697" spans="1:6" ht="15.75" customHeight="1">
      <c r="A697" s="126"/>
      <c r="B697" s="125"/>
      <c r="C697" s="126"/>
      <c r="D697" s="126"/>
      <c r="E697" s="125"/>
      <c r="F697" s="125"/>
    </row>
    <row r="698" spans="1:6" ht="15.75" customHeight="1">
      <c r="A698" s="126"/>
      <c r="B698" s="125"/>
      <c r="C698" s="126"/>
      <c r="D698" s="126"/>
      <c r="E698" s="125"/>
      <c r="F698" s="125"/>
    </row>
    <row r="699" spans="1:6" ht="15.75" customHeight="1">
      <c r="A699" s="126"/>
      <c r="B699" s="125"/>
      <c r="C699" s="126"/>
      <c r="D699" s="126"/>
      <c r="E699" s="125"/>
      <c r="F699" s="125"/>
    </row>
    <row r="700" spans="1:6" ht="15.75" customHeight="1">
      <c r="A700" s="126"/>
      <c r="B700" s="125"/>
      <c r="C700" s="126"/>
      <c r="D700" s="126"/>
      <c r="E700" s="125"/>
      <c r="F700" s="125"/>
    </row>
    <row r="701" spans="1:6" ht="15.75" customHeight="1">
      <c r="A701" s="126"/>
      <c r="B701" s="125"/>
      <c r="C701" s="126"/>
      <c r="D701" s="126"/>
      <c r="E701" s="125"/>
      <c r="F701" s="125"/>
    </row>
    <row r="702" spans="1:6" ht="15.75" customHeight="1">
      <c r="A702" s="126"/>
      <c r="B702" s="125"/>
      <c r="C702" s="126"/>
      <c r="D702" s="126"/>
      <c r="E702" s="125"/>
      <c r="F702" s="125"/>
    </row>
    <row r="703" spans="1:6" ht="15.75" customHeight="1">
      <c r="A703" s="126"/>
      <c r="B703" s="125"/>
      <c r="C703" s="126"/>
      <c r="D703" s="126"/>
      <c r="E703" s="125"/>
      <c r="F703" s="125"/>
    </row>
    <row r="704" spans="1:6" ht="15.75" customHeight="1">
      <c r="A704" s="126"/>
      <c r="B704" s="125"/>
      <c r="C704" s="126"/>
      <c r="D704" s="126"/>
      <c r="E704" s="125"/>
      <c r="F704" s="125"/>
    </row>
    <row r="705" spans="1:6" ht="15.75" customHeight="1">
      <c r="A705" s="126"/>
      <c r="B705" s="125"/>
      <c r="C705" s="126"/>
      <c r="D705" s="126"/>
      <c r="E705" s="125"/>
      <c r="F705" s="125"/>
    </row>
    <row r="706" spans="1:6" ht="15.75" customHeight="1">
      <c r="A706" s="126"/>
      <c r="B706" s="125"/>
      <c r="C706" s="126"/>
      <c r="D706" s="126"/>
      <c r="E706" s="125"/>
      <c r="F706" s="125"/>
    </row>
    <row r="707" spans="1:6" ht="15.75" customHeight="1">
      <c r="A707" s="126"/>
      <c r="B707" s="125"/>
      <c r="C707" s="126"/>
      <c r="D707" s="126"/>
      <c r="E707" s="125"/>
      <c r="F707" s="125"/>
    </row>
    <row r="708" spans="1:6" ht="15.75" customHeight="1">
      <c r="A708" s="126"/>
      <c r="B708" s="125"/>
      <c r="C708" s="126"/>
      <c r="D708" s="126"/>
      <c r="E708" s="125"/>
      <c r="F708" s="125"/>
    </row>
    <row r="709" spans="1:6" ht="15.75" customHeight="1">
      <c r="A709" s="126"/>
      <c r="B709" s="125"/>
      <c r="C709" s="126"/>
      <c r="D709" s="126"/>
      <c r="E709" s="125"/>
      <c r="F709" s="125"/>
    </row>
    <row r="710" spans="1:6" ht="15.75" customHeight="1">
      <c r="A710" s="126"/>
      <c r="B710" s="125"/>
      <c r="C710" s="126"/>
      <c r="D710" s="126"/>
      <c r="E710" s="125"/>
      <c r="F710" s="125"/>
    </row>
    <row r="711" spans="1:6" ht="15.75" customHeight="1">
      <c r="A711" s="126"/>
      <c r="B711" s="125"/>
      <c r="C711" s="126"/>
      <c r="D711" s="126"/>
      <c r="E711" s="125"/>
      <c r="F711" s="125"/>
    </row>
    <row r="712" spans="1:6" ht="15.75" customHeight="1">
      <c r="A712" s="126"/>
      <c r="B712" s="125"/>
      <c r="C712" s="126"/>
      <c r="D712" s="126"/>
      <c r="E712" s="125"/>
      <c r="F712" s="125"/>
    </row>
    <row r="713" spans="1:6" ht="15.75" customHeight="1">
      <c r="A713" s="126"/>
      <c r="B713" s="125"/>
      <c r="C713" s="126"/>
      <c r="D713" s="126"/>
      <c r="E713" s="125"/>
      <c r="F713" s="125"/>
    </row>
    <row r="714" spans="1:6" ht="15.75" customHeight="1">
      <c r="A714" s="126"/>
      <c r="B714" s="125"/>
      <c r="C714" s="126"/>
      <c r="D714" s="126"/>
      <c r="E714" s="125"/>
      <c r="F714" s="125"/>
    </row>
    <row r="715" spans="1:6" ht="15.75" customHeight="1">
      <c r="A715" s="126"/>
      <c r="B715" s="125"/>
      <c r="C715" s="126"/>
      <c r="D715" s="126"/>
      <c r="E715" s="125"/>
      <c r="F715" s="125"/>
    </row>
    <row r="716" spans="1:6" ht="15.75" customHeight="1">
      <c r="A716" s="126"/>
      <c r="B716" s="125"/>
      <c r="C716" s="126"/>
      <c r="D716" s="126"/>
      <c r="E716" s="125"/>
      <c r="F716" s="125"/>
    </row>
    <row r="717" spans="1:6" ht="15.75" customHeight="1">
      <c r="A717" s="126"/>
      <c r="B717" s="125"/>
      <c r="C717" s="126"/>
      <c r="D717" s="126"/>
      <c r="E717" s="125"/>
      <c r="F717" s="125"/>
    </row>
    <row r="718" spans="1:6" ht="15.75" customHeight="1">
      <c r="A718" s="126"/>
      <c r="B718" s="125"/>
      <c r="C718" s="126"/>
      <c r="D718" s="126"/>
      <c r="E718" s="125"/>
      <c r="F718" s="125"/>
    </row>
    <row r="719" spans="1:6" ht="15.75" customHeight="1">
      <c r="A719" s="126"/>
      <c r="B719" s="125"/>
      <c r="C719" s="126"/>
      <c r="D719" s="126"/>
      <c r="E719" s="125"/>
      <c r="F719" s="125"/>
    </row>
    <row r="720" spans="1:6" ht="15.75" customHeight="1">
      <c r="A720" s="126"/>
      <c r="B720" s="125"/>
      <c r="C720" s="126"/>
      <c r="D720" s="126"/>
      <c r="E720" s="125"/>
      <c r="F720" s="125"/>
    </row>
    <row r="721" spans="1:6" ht="15.75" customHeight="1">
      <c r="A721" s="126"/>
      <c r="B721" s="125"/>
      <c r="C721" s="126"/>
      <c r="D721" s="126"/>
      <c r="E721" s="125"/>
      <c r="F721" s="125"/>
    </row>
    <row r="722" spans="1:6" ht="15.75" customHeight="1">
      <c r="A722" s="126"/>
      <c r="B722" s="125"/>
      <c r="C722" s="126"/>
      <c r="D722" s="126"/>
      <c r="E722" s="125"/>
      <c r="F722" s="125"/>
    </row>
    <row r="723" spans="1:6" ht="15.75" customHeight="1">
      <c r="A723" s="126"/>
      <c r="B723" s="125"/>
      <c r="C723" s="126"/>
      <c r="D723" s="126"/>
      <c r="E723" s="125"/>
      <c r="F723" s="125"/>
    </row>
    <row r="724" spans="1:6" ht="15.75" customHeight="1">
      <c r="A724" s="126"/>
      <c r="B724" s="125"/>
      <c r="C724" s="126"/>
      <c r="D724" s="126"/>
      <c r="E724" s="125"/>
      <c r="F724" s="125"/>
    </row>
    <row r="725" spans="1:6" ht="15.75" customHeight="1">
      <c r="A725" s="126"/>
      <c r="B725" s="125"/>
      <c r="C725" s="126"/>
      <c r="D725" s="126"/>
      <c r="E725" s="125"/>
      <c r="F725" s="125"/>
    </row>
    <row r="726" spans="1:6" ht="15.75" customHeight="1">
      <c r="A726" s="126"/>
      <c r="B726" s="125"/>
      <c r="C726" s="126"/>
      <c r="D726" s="126"/>
      <c r="E726" s="125"/>
      <c r="F726" s="125"/>
    </row>
    <row r="727" spans="1:6" ht="15.75" customHeight="1">
      <c r="A727" s="126"/>
      <c r="B727" s="125"/>
      <c r="C727" s="126"/>
      <c r="D727" s="126"/>
      <c r="E727" s="125"/>
      <c r="F727" s="125"/>
    </row>
    <row r="728" spans="1:6" ht="15.75" customHeight="1">
      <c r="A728" s="126"/>
      <c r="B728" s="125"/>
      <c r="C728" s="126"/>
      <c r="D728" s="126"/>
      <c r="E728" s="125"/>
      <c r="F728" s="125"/>
    </row>
    <row r="729" spans="1:6" ht="15.75" customHeight="1">
      <c r="A729" s="126"/>
      <c r="B729" s="125"/>
      <c r="C729" s="126"/>
      <c r="D729" s="126"/>
      <c r="E729" s="125"/>
      <c r="F729" s="125"/>
    </row>
    <row r="730" spans="1:6" ht="15.75" customHeight="1">
      <c r="A730" s="126"/>
      <c r="B730" s="125"/>
      <c r="C730" s="126"/>
      <c r="D730" s="126"/>
      <c r="E730" s="125"/>
      <c r="F730" s="125"/>
    </row>
    <row r="731" spans="1:6" ht="15.75" customHeight="1">
      <c r="A731" s="126"/>
      <c r="B731" s="125"/>
      <c r="C731" s="126"/>
      <c r="D731" s="126"/>
      <c r="E731" s="125"/>
      <c r="F731" s="125"/>
    </row>
    <row r="732" spans="1:6" ht="15.75" customHeight="1">
      <c r="A732" s="126"/>
      <c r="B732" s="125"/>
      <c r="C732" s="126"/>
      <c r="D732" s="126"/>
      <c r="E732" s="125"/>
      <c r="F732" s="125"/>
    </row>
    <row r="733" spans="1:6" ht="15.75" customHeight="1">
      <c r="A733" s="126"/>
      <c r="B733" s="125"/>
      <c r="C733" s="126"/>
      <c r="D733" s="126"/>
      <c r="E733" s="125"/>
      <c r="F733" s="125"/>
    </row>
    <row r="734" spans="1:6" ht="15.75" customHeight="1">
      <c r="A734" s="126"/>
      <c r="B734" s="125"/>
      <c r="C734" s="126"/>
      <c r="D734" s="126"/>
      <c r="E734" s="125"/>
      <c r="F734" s="125"/>
    </row>
    <row r="735" spans="1:6" ht="15.75" customHeight="1">
      <c r="A735" s="126"/>
      <c r="B735" s="125"/>
      <c r="C735" s="126"/>
      <c r="D735" s="126"/>
      <c r="E735" s="125"/>
      <c r="F735" s="125"/>
    </row>
    <row r="736" spans="1:6" ht="15.75" customHeight="1">
      <c r="A736" s="126"/>
      <c r="B736" s="125"/>
      <c r="C736" s="126"/>
      <c r="D736" s="126"/>
      <c r="E736" s="125"/>
      <c r="F736" s="125"/>
    </row>
    <row r="737" spans="1:6" ht="15.75" customHeight="1">
      <c r="A737" s="126"/>
      <c r="B737" s="125"/>
      <c r="C737" s="126"/>
      <c r="D737" s="126"/>
      <c r="E737" s="125"/>
      <c r="F737" s="125"/>
    </row>
    <row r="738" spans="1:6" ht="15.75" customHeight="1">
      <c r="A738" s="126"/>
      <c r="B738" s="125"/>
      <c r="C738" s="126"/>
      <c r="D738" s="126"/>
      <c r="E738" s="125"/>
      <c r="F738" s="125"/>
    </row>
    <row r="739" spans="1:6" ht="15.75" customHeight="1">
      <c r="A739" s="126"/>
      <c r="B739" s="125"/>
      <c r="C739" s="126"/>
      <c r="D739" s="126"/>
      <c r="E739" s="125"/>
      <c r="F739" s="125"/>
    </row>
    <row r="740" spans="1:6" ht="15.75" customHeight="1">
      <c r="A740" s="126"/>
      <c r="B740" s="125"/>
      <c r="C740" s="126"/>
      <c r="D740" s="126"/>
      <c r="E740" s="125"/>
      <c r="F740" s="125"/>
    </row>
    <row r="741" spans="1:6" ht="15.75" customHeight="1">
      <c r="A741" s="126"/>
      <c r="B741" s="125"/>
      <c r="C741" s="126"/>
      <c r="D741" s="126"/>
      <c r="E741" s="125"/>
      <c r="F741" s="125"/>
    </row>
    <row r="742" spans="1:6" ht="15.75" customHeight="1">
      <c r="A742" s="126"/>
      <c r="B742" s="125"/>
      <c r="C742" s="126"/>
      <c r="D742" s="126"/>
      <c r="E742" s="125"/>
      <c r="F742" s="125"/>
    </row>
    <row r="743" spans="1:6" ht="15.75" customHeight="1">
      <c r="A743" s="126"/>
      <c r="B743" s="125"/>
      <c r="C743" s="126"/>
      <c r="D743" s="126"/>
      <c r="E743" s="125"/>
      <c r="F743" s="125"/>
    </row>
    <row r="744" spans="1:6" ht="15.75" customHeight="1">
      <c r="A744" s="126"/>
      <c r="B744" s="125"/>
      <c r="C744" s="126"/>
      <c r="D744" s="126"/>
      <c r="E744" s="125"/>
      <c r="F744" s="125"/>
    </row>
    <row r="745" spans="1:6" ht="15.75" customHeight="1">
      <c r="A745" s="126"/>
      <c r="B745" s="125"/>
      <c r="C745" s="126"/>
      <c r="D745" s="126"/>
      <c r="E745" s="125"/>
      <c r="F745" s="125"/>
    </row>
    <row r="746" spans="1:6" ht="15.75" customHeight="1">
      <c r="A746" s="126"/>
      <c r="B746" s="125"/>
      <c r="C746" s="126"/>
      <c r="D746" s="126"/>
      <c r="E746" s="125"/>
      <c r="F746" s="125"/>
    </row>
    <row r="747" spans="1:6" ht="15.75" customHeight="1">
      <c r="A747" s="126"/>
      <c r="B747" s="125"/>
      <c r="C747" s="126"/>
      <c r="D747" s="126"/>
      <c r="E747" s="125"/>
      <c r="F747" s="125"/>
    </row>
    <row r="748" spans="1:6" ht="15.75" customHeight="1">
      <c r="A748" s="126"/>
      <c r="B748" s="125"/>
      <c r="C748" s="126"/>
      <c r="D748" s="126"/>
      <c r="E748" s="125"/>
      <c r="F748" s="125"/>
    </row>
    <row r="749" spans="1:6" ht="15.75" customHeight="1">
      <c r="A749" s="126"/>
      <c r="B749" s="125"/>
      <c r="C749" s="126"/>
      <c r="D749" s="126"/>
      <c r="E749" s="125"/>
      <c r="F749" s="125"/>
    </row>
    <row r="750" spans="1:6" ht="15.75" customHeight="1">
      <c r="A750" s="126"/>
      <c r="B750" s="125"/>
      <c r="C750" s="126"/>
      <c r="D750" s="126"/>
      <c r="E750" s="125"/>
      <c r="F750" s="125"/>
    </row>
    <row r="751" spans="1:6" ht="15.75" customHeight="1">
      <c r="A751" s="126"/>
      <c r="B751" s="125"/>
      <c r="C751" s="126"/>
      <c r="D751" s="126"/>
      <c r="E751" s="125"/>
      <c r="F751" s="125"/>
    </row>
    <row r="752" spans="1:6" ht="15.75" customHeight="1">
      <c r="A752" s="126"/>
      <c r="B752" s="125"/>
      <c r="C752" s="126"/>
      <c r="D752" s="126"/>
      <c r="E752" s="125"/>
      <c r="F752" s="125"/>
    </row>
    <row r="753" spans="1:6" ht="15.75" customHeight="1">
      <c r="A753" s="126"/>
      <c r="B753" s="125"/>
      <c r="C753" s="126"/>
      <c r="D753" s="126"/>
      <c r="E753" s="125"/>
      <c r="F753" s="125"/>
    </row>
    <row r="754" spans="1:6" ht="15.75" customHeight="1">
      <c r="A754" s="126"/>
      <c r="B754" s="125"/>
      <c r="C754" s="126"/>
      <c r="D754" s="126"/>
      <c r="E754" s="125"/>
      <c r="F754" s="125"/>
    </row>
    <row r="755" spans="1:6" ht="15.75" customHeight="1">
      <c r="A755" s="126"/>
      <c r="B755" s="125"/>
      <c r="C755" s="126"/>
      <c r="D755" s="126"/>
      <c r="E755" s="125"/>
      <c r="F755" s="125"/>
    </row>
    <row r="756" spans="1:6" ht="15.75" customHeight="1">
      <c r="A756" s="126"/>
      <c r="B756" s="125"/>
      <c r="C756" s="126"/>
      <c r="D756" s="126"/>
      <c r="E756" s="125"/>
      <c r="F756" s="125"/>
    </row>
    <row r="757" spans="1:6" ht="15.75" customHeight="1">
      <c r="A757" s="126"/>
      <c r="B757" s="125"/>
      <c r="C757" s="126"/>
      <c r="D757" s="126"/>
      <c r="E757" s="125"/>
      <c r="F757" s="125"/>
    </row>
    <row r="758" spans="1:6" ht="15.75" customHeight="1">
      <c r="A758" s="126"/>
      <c r="B758" s="125"/>
      <c r="C758" s="126"/>
      <c r="D758" s="126"/>
      <c r="E758" s="125"/>
      <c r="F758" s="125"/>
    </row>
    <row r="759" spans="1:6" ht="15.75" customHeight="1">
      <c r="A759" s="126"/>
      <c r="B759" s="125"/>
      <c r="C759" s="126"/>
      <c r="D759" s="126"/>
      <c r="E759" s="125"/>
      <c r="F759" s="125"/>
    </row>
    <row r="760" spans="1:6" ht="15.75" customHeight="1">
      <c r="A760" s="126"/>
      <c r="B760" s="125"/>
      <c r="C760" s="126"/>
      <c r="D760" s="126"/>
      <c r="E760" s="125"/>
      <c r="F760" s="125"/>
    </row>
    <row r="761" spans="1:6" ht="15.75" customHeight="1">
      <c r="A761" s="126"/>
      <c r="B761" s="125"/>
      <c r="C761" s="126"/>
      <c r="D761" s="126"/>
      <c r="E761" s="125"/>
      <c r="F761" s="125"/>
    </row>
    <row r="762" spans="1:6" ht="15.75" customHeight="1">
      <c r="A762" s="126"/>
      <c r="B762" s="125"/>
      <c r="C762" s="126"/>
      <c r="D762" s="126"/>
      <c r="E762" s="125"/>
      <c r="F762" s="125"/>
    </row>
    <row r="763" spans="1:6" ht="15.75" customHeight="1">
      <c r="A763" s="126"/>
      <c r="B763" s="125"/>
      <c r="C763" s="126"/>
      <c r="D763" s="126"/>
      <c r="E763" s="125"/>
      <c r="F763" s="125"/>
    </row>
    <row r="764" spans="1:6" ht="15.75" customHeight="1">
      <c r="A764" s="126"/>
      <c r="B764" s="125"/>
      <c r="C764" s="126"/>
      <c r="D764" s="126"/>
      <c r="E764" s="125"/>
      <c r="F764" s="125"/>
    </row>
    <row r="765" spans="1:6" ht="15.75" customHeight="1">
      <c r="A765" s="126"/>
      <c r="B765" s="125"/>
      <c r="C765" s="126"/>
      <c r="D765" s="126"/>
      <c r="E765" s="125"/>
      <c r="F765" s="125"/>
    </row>
    <row r="766" spans="1:6" ht="15.75" customHeight="1">
      <c r="A766" s="126"/>
      <c r="B766" s="125"/>
      <c r="C766" s="126"/>
      <c r="D766" s="126"/>
      <c r="E766" s="125"/>
      <c r="F766" s="125"/>
    </row>
    <row r="767" spans="1:6" ht="15.75" customHeight="1">
      <c r="A767" s="126"/>
      <c r="B767" s="125"/>
      <c r="C767" s="126"/>
      <c r="D767" s="126"/>
      <c r="E767" s="125"/>
      <c r="F767" s="125"/>
    </row>
    <row r="768" spans="1:6" ht="15.75" customHeight="1">
      <c r="A768" s="126"/>
      <c r="B768" s="125"/>
      <c r="C768" s="126"/>
      <c r="D768" s="126"/>
      <c r="E768" s="125"/>
      <c r="F768" s="125"/>
    </row>
    <row r="769" spans="1:6" ht="15.75" customHeight="1">
      <c r="A769" s="126"/>
      <c r="B769" s="125"/>
      <c r="C769" s="126"/>
      <c r="D769" s="126"/>
      <c r="E769" s="125"/>
      <c r="F769" s="125"/>
    </row>
    <row r="770" spans="1:6" ht="15.75" customHeight="1">
      <c r="A770" s="126"/>
      <c r="B770" s="125"/>
      <c r="C770" s="126"/>
      <c r="D770" s="126"/>
      <c r="E770" s="125"/>
      <c r="F770" s="125"/>
    </row>
    <row r="771" spans="1:6" ht="15.75" customHeight="1">
      <c r="A771" s="126"/>
      <c r="B771" s="125"/>
      <c r="C771" s="126"/>
      <c r="D771" s="126"/>
      <c r="E771" s="125"/>
      <c r="F771" s="125"/>
    </row>
    <row r="772" spans="1:6" ht="15.75" customHeight="1">
      <c r="A772" s="126"/>
      <c r="B772" s="125"/>
      <c r="C772" s="126"/>
      <c r="D772" s="126"/>
      <c r="E772" s="125"/>
      <c r="F772" s="125"/>
    </row>
    <row r="773" spans="1:6" ht="15.75" customHeight="1">
      <c r="A773" s="126"/>
      <c r="B773" s="125"/>
      <c r="C773" s="126"/>
      <c r="D773" s="126"/>
      <c r="E773" s="125"/>
      <c r="F773" s="125"/>
    </row>
    <row r="774" spans="1:6" ht="15.75" customHeight="1">
      <c r="A774" s="126"/>
      <c r="B774" s="125"/>
      <c r="C774" s="126"/>
      <c r="D774" s="126"/>
      <c r="E774" s="125"/>
      <c r="F774" s="125"/>
    </row>
    <row r="775" spans="1:6" ht="15.75" customHeight="1">
      <c r="A775" s="126"/>
      <c r="B775" s="125"/>
      <c r="C775" s="126"/>
      <c r="D775" s="126"/>
      <c r="E775" s="125"/>
      <c r="F775" s="125"/>
    </row>
    <row r="776" spans="1:6" ht="15.75" customHeight="1">
      <c r="A776" s="126"/>
      <c r="B776" s="125"/>
      <c r="C776" s="126"/>
      <c r="D776" s="126"/>
      <c r="E776" s="125"/>
      <c r="F776" s="125"/>
    </row>
    <row r="777" spans="1:6" ht="15.75" customHeight="1">
      <c r="A777" s="126"/>
      <c r="B777" s="125"/>
      <c r="C777" s="126"/>
      <c r="D777" s="126"/>
      <c r="E777" s="125"/>
      <c r="F777" s="125"/>
    </row>
    <row r="778" spans="1:6" ht="15.75" customHeight="1">
      <c r="A778" s="126"/>
      <c r="B778" s="125"/>
      <c r="C778" s="126"/>
      <c r="D778" s="126"/>
      <c r="E778" s="125"/>
      <c r="F778" s="125"/>
    </row>
    <row r="779" spans="1:6" ht="15.75" customHeight="1">
      <c r="A779" s="126"/>
      <c r="B779" s="125"/>
      <c r="C779" s="126"/>
      <c r="D779" s="126"/>
      <c r="E779" s="125"/>
      <c r="F779" s="125"/>
    </row>
    <row r="780" spans="1:6" ht="15.75" customHeight="1">
      <c r="A780" s="126"/>
      <c r="B780" s="125"/>
      <c r="C780" s="126"/>
      <c r="D780" s="126"/>
      <c r="E780" s="125"/>
      <c r="F780" s="125"/>
    </row>
    <row r="781" spans="1:6" ht="15.75" customHeight="1">
      <c r="A781" s="126"/>
      <c r="B781" s="125"/>
      <c r="C781" s="126"/>
      <c r="D781" s="126"/>
      <c r="E781" s="125"/>
      <c r="F781" s="125"/>
    </row>
    <row r="782" spans="1:6" ht="15.75" customHeight="1">
      <c r="A782" s="126"/>
      <c r="B782" s="125"/>
      <c r="C782" s="126"/>
      <c r="D782" s="126"/>
      <c r="E782" s="125"/>
      <c r="F782" s="125"/>
    </row>
    <row r="783" spans="1:6" ht="15.75" customHeight="1">
      <c r="A783" s="126"/>
      <c r="B783" s="125"/>
      <c r="C783" s="126"/>
      <c r="D783" s="126"/>
      <c r="E783" s="125"/>
      <c r="F783" s="125"/>
    </row>
    <row r="784" spans="1:6" ht="15.75" customHeight="1">
      <c r="A784" s="126"/>
      <c r="B784" s="125"/>
      <c r="C784" s="126"/>
      <c r="D784" s="126"/>
      <c r="E784" s="125"/>
      <c r="F784" s="125"/>
    </row>
    <row r="785" spans="1:6" ht="15.75" customHeight="1">
      <c r="A785" s="126"/>
      <c r="B785" s="125"/>
      <c r="C785" s="126"/>
      <c r="D785" s="126"/>
      <c r="E785" s="125"/>
      <c r="F785" s="125"/>
    </row>
    <row r="786" spans="1:6" ht="15.75" customHeight="1">
      <c r="A786" s="126"/>
      <c r="B786" s="125"/>
      <c r="C786" s="126"/>
      <c r="D786" s="126"/>
      <c r="E786" s="125"/>
      <c r="F786" s="125"/>
    </row>
    <row r="787" spans="1:6" ht="15.75" customHeight="1">
      <c r="A787" s="126"/>
      <c r="B787" s="125"/>
      <c r="C787" s="126"/>
      <c r="D787" s="126"/>
      <c r="E787" s="125"/>
      <c r="F787" s="125"/>
    </row>
    <row r="788" spans="1:6" ht="15.75" customHeight="1">
      <c r="A788" s="126"/>
      <c r="B788" s="125"/>
      <c r="C788" s="126"/>
      <c r="D788" s="126"/>
      <c r="E788" s="125"/>
      <c r="F788" s="125"/>
    </row>
    <row r="789" spans="1:6" ht="15.75" customHeight="1">
      <c r="A789" s="126"/>
      <c r="B789" s="125"/>
      <c r="C789" s="126"/>
      <c r="D789" s="126"/>
      <c r="E789" s="125"/>
      <c r="F789" s="125"/>
    </row>
    <row r="790" spans="1:6" ht="15.75" customHeight="1">
      <c r="A790" s="126"/>
      <c r="B790" s="125"/>
      <c r="C790" s="126"/>
      <c r="D790" s="126"/>
      <c r="E790" s="125"/>
      <c r="F790" s="125"/>
    </row>
    <row r="791" spans="1:6" ht="15.75" customHeight="1">
      <c r="A791" s="126"/>
      <c r="B791" s="125"/>
      <c r="C791" s="126"/>
      <c r="D791" s="126"/>
      <c r="E791" s="125"/>
      <c r="F791" s="125"/>
    </row>
    <row r="792" spans="1:6" ht="15.75" customHeight="1">
      <c r="A792" s="126"/>
      <c r="B792" s="125"/>
      <c r="C792" s="126"/>
      <c r="D792" s="126"/>
      <c r="E792" s="125"/>
      <c r="F792" s="125"/>
    </row>
    <row r="793" spans="1:6" ht="15.75" customHeight="1">
      <c r="A793" s="126"/>
      <c r="B793" s="125"/>
      <c r="C793" s="126"/>
      <c r="D793" s="126"/>
      <c r="E793" s="125"/>
      <c r="F793" s="125"/>
    </row>
    <row r="794" spans="1:6" ht="15.75" customHeight="1">
      <c r="A794" s="126"/>
      <c r="B794" s="125"/>
      <c r="C794" s="126"/>
      <c r="D794" s="126"/>
      <c r="E794" s="125"/>
      <c r="F794" s="125"/>
    </row>
    <row r="795" spans="1:6" ht="15.75" customHeight="1">
      <c r="A795" s="126"/>
      <c r="B795" s="125"/>
      <c r="C795" s="126"/>
      <c r="D795" s="126"/>
      <c r="E795" s="125"/>
      <c r="F795" s="125"/>
    </row>
    <row r="796" spans="1:6" ht="15.75" customHeight="1">
      <c r="A796" s="126"/>
      <c r="B796" s="125"/>
      <c r="C796" s="126"/>
      <c r="D796" s="126"/>
      <c r="E796" s="125"/>
      <c r="F796" s="125"/>
    </row>
    <row r="797" spans="1:6" ht="15.75" customHeight="1">
      <c r="A797" s="126"/>
      <c r="B797" s="125"/>
      <c r="C797" s="126"/>
      <c r="D797" s="126"/>
      <c r="E797" s="125"/>
      <c r="F797" s="125"/>
    </row>
    <row r="798" spans="1:6" ht="15.75" customHeight="1">
      <c r="A798" s="126"/>
      <c r="B798" s="125"/>
      <c r="C798" s="126"/>
      <c r="D798" s="126"/>
      <c r="E798" s="125"/>
      <c r="F798" s="125"/>
    </row>
    <row r="799" spans="1:6" ht="15.75" customHeight="1">
      <c r="A799" s="126"/>
      <c r="B799" s="125"/>
      <c r="C799" s="126"/>
      <c r="D799" s="126"/>
      <c r="E799" s="125"/>
      <c r="F799" s="125"/>
    </row>
    <row r="800" spans="1:6" ht="15.75" customHeight="1">
      <c r="A800" s="126"/>
      <c r="B800" s="125"/>
      <c r="C800" s="126"/>
      <c r="D800" s="126"/>
      <c r="E800" s="125"/>
      <c r="F800" s="125"/>
    </row>
    <row r="801" spans="1:6" ht="15.75" customHeight="1">
      <c r="A801" s="126"/>
      <c r="B801" s="125"/>
      <c r="C801" s="126"/>
      <c r="D801" s="126"/>
      <c r="E801" s="125"/>
      <c r="F801" s="125"/>
    </row>
    <row r="802" spans="1:6" ht="15.75" customHeight="1">
      <c r="A802" s="126"/>
      <c r="B802" s="125"/>
      <c r="C802" s="126"/>
      <c r="D802" s="126"/>
      <c r="E802" s="125"/>
      <c r="F802" s="125"/>
    </row>
    <row r="803" spans="1:6" ht="15.75" customHeight="1">
      <c r="A803" s="126"/>
      <c r="B803" s="125"/>
      <c r="C803" s="126"/>
      <c r="D803" s="126"/>
      <c r="E803" s="125"/>
      <c r="F803" s="125"/>
    </row>
    <row r="804" spans="1:6" ht="15.75" customHeight="1">
      <c r="A804" s="126"/>
      <c r="B804" s="125"/>
      <c r="C804" s="126"/>
      <c r="D804" s="126"/>
      <c r="E804" s="125"/>
      <c r="F804" s="125"/>
    </row>
    <row r="805" spans="1:6" ht="15.75" customHeight="1">
      <c r="A805" s="126"/>
      <c r="B805" s="125"/>
      <c r="C805" s="126"/>
      <c r="D805" s="126"/>
      <c r="E805" s="125"/>
      <c r="F805" s="125"/>
    </row>
    <row r="806" spans="1:6" ht="15.75" customHeight="1">
      <c r="A806" s="126"/>
      <c r="B806" s="125"/>
      <c r="C806" s="126"/>
      <c r="D806" s="126"/>
      <c r="E806" s="125"/>
      <c r="F806" s="125"/>
    </row>
    <row r="807" spans="1:6" ht="15.75" customHeight="1">
      <c r="A807" s="126"/>
      <c r="B807" s="125"/>
      <c r="C807" s="126"/>
      <c r="D807" s="126"/>
      <c r="E807" s="125"/>
      <c r="F807" s="125"/>
    </row>
    <row r="808" spans="1:6" ht="15.75" customHeight="1">
      <c r="A808" s="126"/>
      <c r="B808" s="125"/>
      <c r="C808" s="126"/>
      <c r="D808" s="126"/>
      <c r="E808" s="125"/>
      <c r="F808" s="125"/>
    </row>
    <row r="809" spans="1:6" ht="15.75" customHeight="1">
      <c r="A809" s="126"/>
      <c r="B809" s="125"/>
      <c r="C809" s="126"/>
      <c r="D809" s="126"/>
      <c r="E809" s="125"/>
      <c r="F809" s="125"/>
    </row>
    <row r="810" spans="1:6" ht="15.75" customHeight="1">
      <c r="A810" s="126"/>
      <c r="B810" s="125"/>
      <c r="C810" s="126"/>
      <c r="D810" s="126"/>
      <c r="E810" s="125"/>
      <c r="F810" s="125"/>
    </row>
    <row r="811" spans="1:6" ht="15.75" customHeight="1">
      <c r="A811" s="126"/>
      <c r="B811" s="125"/>
      <c r="C811" s="126"/>
      <c r="D811" s="126"/>
      <c r="E811" s="125"/>
      <c r="F811" s="125"/>
    </row>
    <row r="812" spans="1:6" ht="15.75" customHeight="1">
      <c r="A812" s="126"/>
      <c r="B812" s="125"/>
      <c r="C812" s="126"/>
      <c r="D812" s="126"/>
      <c r="E812" s="125"/>
      <c r="F812" s="125"/>
    </row>
    <row r="813" spans="1:6" ht="15.75" customHeight="1">
      <c r="A813" s="126"/>
      <c r="B813" s="125"/>
      <c r="C813" s="126"/>
      <c r="D813" s="126"/>
      <c r="E813" s="125"/>
      <c r="F813" s="125"/>
    </row>
    <row r="814" spans="1:6" ht="15.75" customHeight="1">
      <c r="A814" s="126"/>
      <c r="B814" s="125"/>
      <c r="C814" s="126"/>
      <c r="D814" s="126"/>
      <c r="E814" s="125"/>
      <c r="F814" s="125"/>
    </row>
    <row r="815" spans="1:6" ht="15.75" customHeight="1">
      <c r="A815" s="126"/>
      <c r="B815" s="125"/>
      <c r="C815" s="126"/>
      <c r="D815" s="126"/>
      <c r="E815" s="125"/>
      <c r="F815" s="125"/>
    </row>
    <row r="816" spans="1:6" ht="15.75" customHeight="1">
      <c r="A816" s="126"/>
      <c r="B816" s="125"/>
      <c r="C816" s="126"/>
      <c r="D816" s="126"/>
      <c r="E816" s="125"/>
      <c r="F816" s="125"/>
    </row>
    <row r="817" spans="1:6" ht="15.75" customHeight="1">
      <c r="A817" s="126"/>
      <c r="B817" s="125"/>
      <c r="C817" s="126"/>
      <c r="D817" s="126"/>
      <c r="E817" s="125"/>
      <c r="F817" s="125"/>
    </row>
    <row r="818" spans="1:6" ht="15.75" customHeight="1">
      <c r="A818" s="126"/>
      <c r="B818" s="125"/>
      <c r="C818" s="126"/>
      <c r="D818" s="126"/>
      <c r="E818" s="125"/>
      <c r="F818" s="125"/>
    </row>
    <row r="819" spans="1:6" ht="15.75" customHeight="1">
      <c r="A819" s="126"/>
      <c r="B819" s="125"/>
      <c r="C819" s="126"/>
      <c r="D819" s="126"/>
      <c r="E819" s="125"/>
      <c r="F819" s="125"/>
    </row>
    <row r="820" spans="1:6" ht="15.75" customHeight="1">
      <c r="A820" s="126"/>
      <c r="B820" s="125"/>
      <c r="C820" s="126"/>
      <c r="D820" s="126"/>
      <c r="E820" s="125"/>
      <c r="F820" s="125"/>
    </row>
    <row r="821" spans="1:6" ht="15.75" customHeight="1">
      <c r="A821" s="126"/>
      <c r="B821" s="125"/>
      <c r="C821" s="126"/>
      <c r="D821" s="126"/>
      <c r="E821" s="125"/>
      <c r="F821" s="125"/>
    </row>
    <row r="822" spans="1:6" ht="15.75" customHeight="1">
      <c r="A822" s="126"/>
      <c r="B822" s="125"/>
      <c r="C822" s="126"/>
      <c r="D822" s="126"/>
      <c r="E822" s="125"/>
      <c r="F822" s="125"/>
    </row>
    <row r="823" spans="1:6" ht="15.75" customHeight="1">
      <c r="A823" s="126"/>
      <c r="B823" s="125"/>
      <c r="C823" s="126"/>
      <c r="D823" s="126"/>
      <c r="E823" s="125"/>
      <c r="F823" s="125"/>
    </row>
    <row r="824" spans="1:6" ht="15.75" customHeight="1">
      <c r="A824" s="126"/>
      <c r="B824" s="125"/>
      <c r="C824" s="126"/>
      <c r="D824" s="126"/>
      <c r="E824" s="125"/>
      <c r="F824" s="125"/>
    </row>
    <row r="825" spans="1:6" ht="15.75" customHeight="1">
      <c r="A825" s="126"/>
      <c r="B825" s="125"/>
      <c r="C825" s="126"/>
      <c r="D825" s="126"/>
      <c r="E825" s="125"/>
      <c r="F825" s="125"/>
    </row>
    <row r="826" spans="1:6" ht="15.75" customHeight="1">
      <c r="A826" s="126"/>
      <c r="B826" s="125"/>
      <c r="C826" s="126"/>
      <c r="D826" s="126"/>
      <c r="E826" s="125"/>
      <c r="F826" s="125"/>
    </row>
    <row r="827" spans="1:6" ht="15.75" customHeight="1">
      <c r="A827" s="126"/>
      <c r="B827" s="125"/>
      <c r="C827" s="126"/>
      <c r="D827" s="126"/>
      <c r="E827" s="125"/>
      <c r="F827" s="125"/>
    </row>
    <row r="828" spans="1:6" ht="15.75" customHeight="1">
      <c r="A828" s="126"/>
      <c r="B828" s="125"/>
      <c r="C828" s="126"/>
      <c r="D828" s="126"/>
      <c r="E828" s="125"/>
      <c r="F828" s="125"/>
    </row>
    <row r="829" spans="1:6" ht="15.75" customHeight="1">
      <c r="A829" s="126"/>
      <c r="B829" s="125"/>
      <c r="C829" s="126"/>
      <c r="D829" s="126"/>
      <c r="E829" s="125"/>
      <c r="F829" s="125"/>
    </row>
    <row r="830" spans="1:6" ht="15.75" customHeight="1">
      <c r="A830" s="126"/>
      <c r="B830" s="125"/>
      <c r="C830" s="126"/>
      <c r="D830" s="126"/>
      <c r="E830" s="125"/>
      <c r="F830" s="125"/>
    </row>
    <row r="831" spans="1:6" ht="15.75" customHeight="1">
      <c r="A831" s="126"/>
      <c r="B831" s="125"/>
      <c r="C831" s="126"/>
      <c r="D831" s="126"/>
      <c r="E831" s="125"/>
      <c r="F831" s="125"/>
    </row>
    <row r="832" spans="1:6" ht="15.75" customHeight="1">
      <c r="A832" s="126"/>
      <c r="B832" s="125"/>
      <c r="C832" s="126"/>
      <c r="D832" s="126"/>
      <c r="E832" s="125"/>
      <c r="F832" s="125"/>
    </row>
    <row r="833" spans="1:6" ht="15.75" customHeight="1">
      <c r="A833" s="126"/>
      <c r="B833" s="125"/>
      <c r="C833" s="126"/>
      <c r="D833" s="126"/>
      <c r="E833" s="125"/>
      <c r="F833" s="125"/>
    </row>
    <row r="834" spans="1:6" ht="15.75" customHeight="1">
      <c r="A834" s="126"/>
      <c r="B834" s="125"/>
      <c r="C834" s="126"/>
      <c r="D834" s="126"/>
      <c r="E834" s="125"/>
      <c r="F834" s="125"/>
    </row>
    <row r="835" spans="1:6" ht="15.75" customHeight="1">
      <c r="A835" s="126"/>
      <c r="B835" s="125"/>
      <c r="C835" s="126"/>
      <c r="D835" s="126"/>
      <c r="E835" s="125"/>
      <c r="F835" s="125"/>
    </row>
    <row r="836" spans="1:6" ht="15.75" customHeight="1">
      <c r="A836" s="126"/>
      <c r="B836" s="125"/>
      <c r="C836" s="126"/>
      <c r="D836" s="126"/>
      <c r="E836" s="125"/>
      <c r="F836" s="125"/>
    </row>
    <row r="837" spans="1:6" ht="15.75" customHeight="1">
      <c r="A837" s="126"/>
      <c r="B837" s="125"/>
      <c r="C837" s="126"/>
      <c r="D837" s="126"/>
      <c r="E837" s="125"/>
      <c r="F837" s="125"/>
    </row>
    <row r="838" spans="1:6" ht="15.75" customHeight="1">
      <c r="A838" s="126"/>
      <c r="B838" s="125"/>
      <c r="C838" s="126"/>
      <c r="D838" s="126"/>
      <c r="E838" s="125"/>
      <c r="F838" s="125"/>
    </row>
    <row r="839" spans="1:6" ht="15.75" customHeight="1">
      <c r="A839" s="126"/>
      <c r="B839" s="125"/>
      <c r="C839" s="126"/>
      <c r="D839" s="126"/>
      <c r="E839" s="125"/>
      <c r="F839" s="125"/>
    </row>
    <row r="840" spans="1:6" ht="15.75" customHeight="1">
      <c r="A840" s="126"/>
      <c r="B840" s="125"/>
      <c r="C840" s="126"/>
      <c r="D840" s="126"/>
      <c r="E840" s="125"/>
      <c r="F840" s="125"/>
    </row>
    <row r="841" spans="1:6" ht="15.75" customHeight="1">
      <c r="A841" s="126"/>
      <c r="B841" s="125"/>
      <c r="C841" s="126"/>
      <c r="D841" s="126"/>
      <c r="E841" s="125"/>
      <c r="F841" s="125"/>
    </row>
    <row r="842" spans="1:6" ht="15.75" customHeight="1">
      <c r="A842" s="126"/>
      <c r="B842" s="125"/>
      <c r="C842" s="126"/>
      <c r="D842" s="126"/>
      <c r="E842" s="125"/>
      <c r="F842" s="125"/>
    </row>
    <row r="843" spans="1:6" ht="15.75" customHeight="1">
      <c r="A843" s="126"/>
      <c r="B843" s="125"/>
      <c r="C843" s="126"/>
      <c r="D843" s="126"/>
      <c r="E843" s="125"/>
      <c r="F843" s="125"/>
    </row>
    <row r="844" spans="1:6" ht="15.75" customHeight="1">
      <c r="A844" s="126"/>
      <c r="B844" s="125"/>
      <c r="C844" s="126"/>
      <c r="D844" s="126"/>
      <c r="E844" s="125"/>
      <c r="F844" s="125"/>
    </row>
    <row r="845" spans="1:6" ht="15.75" customHeight="1">
      <c r="A845" s="126"/>
      <c r="B845" s="125"/>
      <c r="C845" s="126"/>
      <c r="D845" s="126"/>
      <c r="E845" s="125"/>
      <c r="F845" s="125"/>
    </row>
    <row r="846" spans="1:6" ht="15.75" customHeight="1">
      <c r="A846" s="126"/>
      <c r="B846" s="125"/>
      <c r="C846" s="126"/>
      <c r="D846" s="126"/>
      <c r="E846" s="125"/>
      <c r="F846" s="125"/>
    </row>
    <row r="847" spans="1:6" ht="15.75" customHeight="1">
      <c r="A847" s="126"/>
      <c r="B847" s="125"/>
      <c r="C847" s="126"/>
      <c r="D847" s="126"/>
      <c r="E847" s="125"/>
      <c r="F847" s="125"/>
    </row>
    <row r="848" spans="1:6" ht="15.75" customHeight="1">
      <c r="A848" s="126"/>
      <c r="B848" s="125"/>
      <c r="C848" s="126"/>
      <c r="D848" s="126"/>
      <c r="E848" s="125"/>
      <c r="F848" s="125"/>
    </row>
    <row r="849" spans="1:6" ht="15.75" customHeight="1">
      <c r="A849" s="126"/>
      <c r="B849" s="125"/>
      <c r="C849" s="126"/>
      <c r="D849" s="126"/>
      <c r="E849" s="125"/>
      <c r="F849" s="125"/>
    </row>
    <row r="850" spans="1:6" ht="15.75" customHeight="1">
      <c r="A850" s="126"/>
      <c r="B850" s="125"/>
      <c r="C850" s="126"/>
      <c r="D850" s="126"/>
      <c r="E850" s="125"/>
      <c r="F850" s="125"/>
    </row>
    <row r="851" spans="1:6" ht="15.75" customHeight="1">
      <c r="A851" s="126"/>
      <c r="B851" s="125"/>
      <c r="C851" s="126"/>
      <c r="D851" s="126"/>
      <c r="E851" s="125"/>
      <c r="F851" s="125"/>
    </row>
    <row r="852" spans="1:6" ht="15.75" customHeight="1">
      <c r="A852" s="126"/>
      <c r="B852" s="125"/>
      <c r="C852" s="126"/>
      <c r="D852" s="126"/>
      <c r="E852" s="125"/>
      <c r="F852" s="125"/>
    </row>
    <row r="853" spans="1:6" ht="15.75" customHeight="1">
      <c r="A853" s="126"/>
      <c r="B853" s="125"/>
      <c r="C853" s="126"/>
      <c r="D853" s="126"/>
      <c r="E853" s="125"/>
      <c r="F853" s="125"/>
    </row>
    <row r="854" spans="1:6" ht="15.75" customHeight="1">
      <c r="A854" s="126"/>
      <c r="B854" s="125"/>
      <c r="C854" s="126"/>
      <c r="D854" s="126"/>
      <c r="E854" s="125"/>
      <c r="F854" s="125"/>
    </row>
    <row r="855" spans="1:6" ht="15.75" customHeight="1">
      <c r="A855" s="126"/>
      <c r="B855" s="125"/>
      <c r="C855" s="126"/>
      <c r="D855" s="126"/>
      <c r="E855" s="125"/>
      <c r="F855" s="125"/>
    </row>
    <row r="856" spans="1:6" ht="15.75" customHeight="1">
      <c r="A856" s="126"/>
      <c r="B856" s="125"/>
      <c r="C856" s="126"/>
      <c r="D856" s="126"/>
      <c r="E856" s="125"/>
      <c r="F856" s="125"/>
    </row>
    <row r="857" spans="1:6" ht="15.75" customHeight="1">
      <c r="A857" s="126"/>
      <c r="B857" s="125"/>
      <c r="C857" s="126"/>
      <c r="D857" s="126"/>
      <c r="E857" s="125"/>
      <c r="F857" s="125"/>
    </row>
    <row r="858" spans="1:6" ht="15.75" customHeight="1">
      <c r="A858" s="126"/>
      <c r="B858" s="125"/>
      <c r="C858" s="126"/>
      <c r="D858" s="126"/>
      <c r="E858" s="125"/>
      <c r="F858" s="125"/>
    </row>
    <row r="859" spans="1:6" ht="15.75" customHeight="1">
      <c r="A859" s="126"/>
      <c r="B859" s="125"/>
      <c r="C859" s="126"/>
      <c r="D859" s="126"/>
      <c r="E859" s="125"/>
      <c r="F859" s="125"/>
    </row>
    <row r="860" spans="1:6" ht="15.75" customHeight="1">
      <c r="A860" s="126"/>
      <c r="B860" s="125"/>
      <c r="C860" s="126"/>
      <c r="D860" s="126"/>
      <c r="E860" s="125"/>
      <c r="F860" s="125"/>
    </row>
    <row r="861" spans="1:6" ht="15.75" customHeight="1">
      <c r="A861" s="126"/>
      <c r="B861" s="125"/>
      <c r="C861" s="126"/>
      <c r="D861" s="126"/>
      <c r="E861" s="125"/>
      <c r="F861" s="125"/>
    </row>
    <row r="862" spans="1:6" ht="15.75" customHeight="1">
      <c r="A862" s="126"/>
      <c r="B862" s="125"/>
      <c r="C862" s="126"/>
      <c r="D862" s="126"/>
      <c r="E862" s="125"/>
      <c r="F862" s="125"/>
    </row>
    <row r="863" spans="1:6" ht="15.75" customHeight="1">
      <c r="A863" s="126"/>
      <c r="B863" s="125"/>
      <c r="C863" s="126"/>
      <c r="D863" s="126"/>
      <c r="E863" s="125"/>
      <c r="F863" s="125"/>
    </row>
    <row r="864" spans="1:6" ht="15.75" customHeight="1">
      <c r="A864" s="126"/>
      <c r="B864" s="125"/>
      <c r="C864" s="126"/>
      <c r="D864" s="126"/>
      <c r="E864" s="125"/>
      <c r="F864" s="125"/>
    </row>
    <row r="865" spans="1:6" ht="15.75" customHeight="1">
      <c r="A865" s="126"/>
      <c r="B865" s="125"/>
      <c r="C865" s="126"/>
      <c r="D865" s="126"/>
      <c r="E865" s="125"/>
      <c r="F865" s="125"/>
    </row>
    <row r="866" spans="1:6" ht="15.75" customHeight="1">
      <c r="A866" s="126"/>
      <c r="B866" s="125"/>
      <c r="C866" s="126"/>
      <c r="D866" s="126"/>
      <c r="E866" s="125"/>
      <c r="F866" s="125"/>
    </row>
    <row r="867" spans="1:6" ht="15.75" customHeight="1">
      <c r="A867" s="126"/>
      <c r="B867" s="125"/>
      <c r="C867" s="126"/>
      <c r="D867" s="126"/>
      <c r="E867" s="125"/>
      <c r="F867" s="125"/>
    </row>
    <row r="868" spans="1:6" ht="15.75" customHeight="1">
      <c r="A868" s="126"/>
      <c r="B868" s="125"/>
      <c r="C868" s="126"/>
      <c r="D868" s="126"/>
      <c r="E868" s="125"/>
      <c r="F868" s="125"/>
    </row>
    <row r="869" spans="1:6" ht="15.75" customHeight="1">
      <c r="A869" s="126"/>
      <c r="B869" s="125"/>
      <c r="C869" s="126"/>
      <c r="D869" s="126"/>
      <c r="E869" s="125"/>
      <c r="F869" s="125"/>
    </row>
    <row r="870" spans="1:6" ht="15.75" customHeight="1">
      <c r="A870" s="126"/>
      <c r="B870" s="125"/>
      <c r="C870" s="126"/>
      <c r="D870" s="126"/>
      <c r="E870" s="125"/>
      <c r="F870" s="125"/>
    </row>
    <row r="871" spans="1:6" ht="15.75" customHeight="1">
      <c r="A871" s="126"/>
      <c r="B871" s="125"/>
      <c r="C871" s="126"/>
      <c r="D871" s="126"/>
      <c r="E871" s="125"/>
      <c r="F871" s="125"/>
    </row>
    <row r="872" spans="1:6" ht="15.75" customHeight="1">
      <c r="A872" s="126"/>
      <c r="B872" s="125"/>
      <c r="C872" s="126"/>
      <c r="D872" s="126"/>
      <c r="E872" s="125"/>
      <c r="F872" s="125"/>
    </row>
    <row r="873" spans="1:6" ht="15.75" customHeight="1">
      <c r="A873" s="126"/>
      <c r="B873" s="125"/>
      <c r="C873" s="126"/>
      <c r="D873" s="126"/>
      <c r="E873" s="125"/>
      <c r="F873" s="125"/>
    </row>
    <row r="874" spans="1:6" ht="15.75" customHeight="1">
      <c r="A874" s="126"/>
      <c r="B874" s="125"/>
      <c r="C874" s="126"/>
      <c r="D874" s="126"/>
      <c r="E874" s="125"/>
      <c r="F874" s="125"/>
    </row>
    <row r="875" spans="1:6" ht="15.75" customHeight="1">
      <c r="A875" s="126"/>
      <c r="B875" s="125"/>
      <c r="C875" s="126"/>
      <c r="D875" s="126"/>
      <c r="E875" s="125"/>
      <c r="F875" s="125"/>
    </row>
    <row r="876" spans="1:6" ht="15.75" customHeight="1">
      <c r="A876" s="126"/>
      <c r="B876" s="125"/>
      <c r="C876" s="126"/>
      <c r="D876" s="126"/>
      <c r="E876" s="125"/>
      <c r="F876" s="125"/>
    </row>
    <row r="877" spans="1:6" ht="15.75" customHeight="1">
      <c r="A877" s="126"/>
      <c r="B877" s="125"/>
      <c r="C877" s="126"/>
      <c r="D877" s="126"/>
      <c r="E877" s="125"/>
      <c r="F877" s="125"/>
    </row>
    <row r="878" spans="1:6" ht="15.75" customHeight="1">
      <c r="A878" s="126"/>
      <c r="B878" s="125"/>
      <c r="C878" s="126"/>
      <c r="D878" s="126"/>
      <c r="E878" s="125"/>
      <c r="F878" s="125"/>
    </row>
    <row r="879" spans="1:6" ht="15.75" customHeight="1">
      <c r="A879" s="126"/>
      <c r="B879" s="125"/>
      <c r="C879" s="126"/>
      <c r="D879" s="126"/>
      <c r="E879" s="125"/>
      <c r="F879" s="125"/>
    </row>
    <row r="880" spans="1:6" ht="15.75" customHeight="1">
      <c r="A880" s="126"/>
      <c r="B880" s="125"/>
      <c r="C880" s="126"/>
      <c r="D880" s="126"/>
      <c r="E880" s="125"/>
      <c r="F880" s="125"/>
    </row>
    <row r="881" spans="1:6" ht="15.75" customHeight="1">
      <c r="A881" s="126"/>
      <c r="B881" s="125"/>
      <c r="C881" s="126"/>
      <c r="D881" s="126"/>
      <c r="E881" s="125"/>
      <c r="F881" s="125"/>
    </row>
    <row r="882" spans="1:6" ht="15.75" customHeight="1">
      <c r="A882" s="126"/>
      <c r="B882" s="125"/>
      <c r="C882" s="126"/>
      <c r="D882" s="126"/>
      <c r="E882" s="125"/>
      <c r="F882" s="125"/>
    </row>
    <row r="883" spans="1:6" ht="15.75" customHeight="1">
      <c r="A883" s="126"/>
      <c r="B883" s="125"/>
      <c r="C883" s="126"/>
      <c r="D883" s="126"/>
      <c r="E883" s="125"/>
      <c r="F883" s="125"/>
    </row>
    <row r="884" spans="1:6" ht="15.75" customHeight="1">
      <c r="A884" s="126"/>
      <c r="B884" s="125"/>
      <c r="C884" s="126"/>
      <c r="D884" s="126"/>
      <c r="E884" s="125"/>
      <c r="F884" s="125"/>
    </row>
    <row r="885" spans="1:6" ht="15.75" customHeight="1">
      <c r="A885" s="126"/>
      <c r="B885" s="125"/>
      <c r="C885" s="126"/>
      <c r="D885" s="126"/>
      <c r="E885" s="125"/>
      <c r="F885" s="125"/>
    </row>
    <row r="886" spans="1:6" ht="15.75" customHeight="1">
      <c r="A886" s="126"/>
      <c r="B886" s="125"/>
      <c r="C886" s="126"/>
      <c r="D886" s="126"/>
      <c r="E886" s="125"/>
      <c r="F886" s="125"/>
    </row>
    <row r="887" spans="1:6" ht="15.75" customHeight="1">
      <c r="A887" s="126"/>
      <c r="B887" s="125"/>
      <c r="C887" s="126"/>
      <c r="D887" s="126"/>
      <c r="E887" s="125"/>
      <c r="F887" s="125"/>
    </row>
    <row r="888" spans="1:6" ht="15.75" customHeight="1">
      <c r="A888" s="126"/>
      <c r="B888" s="125"/>
      <c r="C888" s="126"/>
      <c r="D888" s="126"/>
      <c r="E888" s="125"/>
      <c r="F888" s="125"/>
    </row>
    <row r="889" spans="1:6" ht="15.75" customHeight="1">
      <c r="A889" s="126"/>
      <c r="B889" s="125"/>
      <c r="C889" s="126"/>
      <c r="D889" s="126"/>
      <c r="E889" s="125"/>
      <c r="F889" s="125"/>
    </row>
    <row r="890" spans="1:6" ht="15.75" customHeight="1">
      <c r="A890" s="126"/>
      <c r="B890" s="125"/>
      <c r="C890" s="126"/>
      <c r="D890" s="126"/>
      <c r="E890" s="125"/>
      <c r="F890" s="125"/>
    </row>
    <row r="891" spans="1:6" ht="15.75" customHeight="1">
      <c r="A891" s="126"/>
      <c r="B891" s="125"/>
      <c r="C891" s="126"/>
      <c r="D891" s="126"/>
      <c r="E891" s="125"/>
      <c r="F891" s="125"/>
    </row>
    <row r="892" spans="1:6" ht="15.75" customHeight="1">
      <c r="A892" s="126"/>
      <c r="B892" s="125"/>
      <c r="C892" s="126"/>
      <c r="D892" s="126"/>
      <c r="E892" s="125"/>
      <c r="F892" s="125"/>
    </row>
    <row r="893" spans="1:6" ht="15.75" customHeight="1">
      <c r="A893" s="126"/>
      <c r="B893" s="125"/>
      <c r="C893" s="126"/>
      <c r="D893" s="126"/>
      <c r="E893" s="125"/>
      <c r="F893" s="125"/>
    </row>
    <row r="894" spans="1:6" ht="15.75" customHeight="1">
      <c r="A894" s="126"/>
      <c r="B894" s="125"/>
      <c r="C894" s="126"/>
      <c r="D894" s="126"/>
      <c r="E894" s="125"/>
      <c r="F894" s="125"/>
    </row>
    <row r="895" spans="1:6" ht="15.75" customHeight="1">
      <c r="A895" s="126"/>
      <c r="B895" s="125"/>
      <c r="C895" s="126"/>
      <c r="D895" s="126"/>
      <c r="E895" s="125"/>
      <c r="F895" s="125"/>
    </row>
    <row r="896" spans="1:6" ht="15.75" customHeight="1">
      <c r="A896" s="126"/>
      <c r="B896" s="125"/>
      <c r="C896" s="126"/>
      <c r="D896" s="126"/>
      <c r="E896" s="125"/>
      <c r="F896" s="125"/>
    </row>
    <row r="897" spans="1:6" ht="15.75" customHeight="1">
      <c r="A897" s="126"/>
      <c r="B897" s="125"/>
      <c r="C897" s="126"/>
      <c r="D897" s="126"/>
      <c r="E897" s="125"/>
      <c r="F897" s="125"/>
    </row>
    <row r="898" spans="1:6" ht="15.75" customHeight="1">
      <c r="A898" s="126"/>
      <c r="B898" s="125"/>
      <c r="C898" s="126"/>
      <c r="D898" s="126"/>
      <c r="E898" s="125"/>
      <c r="F898" s="125"/>
    </row>
    <row r="899" spans="1:6" ht="15.75" customHeight="1">
      <c r="A899" s="126"/>
      <c r="B899" s="125"/>
      <c r="C899" s="126"/>
      <c r="D899" s="126"/>
      <c r="E899" s="125"/>
      <c r="F899" s="125"/>
    </row>
    <row r="900" spans="1:6" ht="15.75" customHeight="1">
      <c r="A900" s="126"/>
      <c r="B900" s="125"/>
      <c r="C900" s="126"/>
      <c r="D900" s="126"/>
      <c r="E900" s="125"/>
      <c r="F900" s="125"/>
    </row>
    <row r="901" spans="1:6" ht="15.75" customHeight="1">
      <c r="A901" s="126"/>
      <c r="B901" s="125"/>
      <c r="C901" s="126"/>
      <c r="D901" s="126"/>
      <c r="E901" s="125"/>
      <c r="F901" s="125"/>
    </row>
    <row r="902" spans="1:6" ht="15.75" customHeight="1">
      <c r="A902" s="126"/>
      <c r="B902" s="125"/>
      <c r="C902" s="126"/>
      <c r="D902" s="126"/>
      <c r="E902" s="125"/>
      <c r="F902" s="125"/>
    </row>
    <row r="903" spans="1:6" ht="15.75" customHeight="1">
      <c r="A903" s="126"/>
      <c r="B903" s="125"/>
      <c r="C903" s="126"/>
      <c r="D903" s="126"/>
      <c r="E903" s="125"/>
      <c r="F903" s="125"/>
    </row>
    <row r="904" spans="1:6" ht="15.75" customHeight="1">
      <c r="A904" s="126"/>
      <c r="B904" s="125"/>
      <c r="C904" s="126"/>
      <c r="D904" s="126"/>
      <c r="E904" s="125"/>
      <c r="F904" s="125"/>
    </row>
    <row r="905" spans="1:6" ht="15.75" customHeight="1">
      <c r="A905" s="126"/>
      <c r="B905" s="125"/>
      <c r="C905" s="126"/>
      <c r="D905" s="126"/>
      <c r="E905" s="125"/>
      <c r="F905" s="125"/>
    </row>
    <row r="906" spans="1:6" ht="15.75" customHeight="1">
      <c r="A906" s="126"/>
      <c r="B906" s="125"/>
      <c r="C906" s="126"/>
      <c r="D906" s="126"/>
      <c r="E906" s="125"/>
      <c r="F906" s="125"/>
    </row>
    <row r="907" spans="1:6" ht="15.75" customHeight="1">
      <c r="A907" s="126"/>
      <c r="B907" s="125"/>
      <c r="C907" s="126"/>
      <c r="D907" s="126"/>
      <c r="E907" s="125"/>
      <c r="F907" s="125"/>
    </row>
    <row r="908" spans="1:6" ht="15.75" customHeight="1">
      <c r="A908" s="126"/>
      <c r="B908" s="125"/>
      <c r="C908" s="126"/>
      <c r="D908" s="126"/>
      <c r="E908" s="125"/>
      <c r="F908" s="125"/>
    </row>
    <row r="909" spans="1:6" ht="15.75" customHeight="1">
      <c r="A909" s="126"/>
      <c r="B909" s="125"/>
      <c r="C909" s="126"/>
      <c r="D909" s="126"/>
      <c r="E909" s="125"/>
      <c r="F909" s="125"/>
    </row>
    <row r="910" spans="1:6" ht="15.75" customHeight="1">
      <c r="A910" s="126"/>
      <c r="B910" s="125"/>
      <c r="C910" s="126"/>
      <c r="D910" s="126"/>
      <c r="E910" s="125"/>
      <c r="F910" s="125"/>
    </row>
    <row r="911" spans="1:6" ht="15.75" customHeight="1">
      <c r="A911" s="126"/>
      <c r="B911" s="125"/>
      <c r="C911" s="126"/>
      <c r="D911" s="126"/>
      <c r="E911" s="125"/>
      <c r="F911" s="125"/>
    </row>
    <row r="912" spans="1:6" ht="15.75" customHeight="1">
      <c r="A912" s="126"/>
      <c r="B912" s="125"/>
      <c r="C912" s="126"/>
      <c r="D912" s="126"/>
      <c r="E912" s="125"/>
      <c r="F912" s="125"/>
    </row>
    <row r="913" spans="1:6" ht="15.75" customHeight="1">
      <c r="A913" s="126"/>
      <c r="B913" s="125"/>
      <c r="C913" s="126"/>
      <c r="D913" s="126"/>
      <c r="E913" s="125"/>
      <c r="F913" s="125"/>
    </row>
    <row r="914" spans="1:6" ht="15.75" customHeight="1">
      <c r="A914" s="126"/>
      <c r="B914" s="125"/>
      <c r="C914" s="126"/>
      <c r="D914" s="126"/>
      <c r="E914" s="125"/>
      <c r="F914" s="125"/>
    </row>
    <row r="915" spans="1:6" ht="15.75" customHeight="1">
      <c r="A915" s="126"/>
      <c r="B915" s="125"/>
      <c r="C915" s="126"/>
      <c r="D915" s="126"/>
      <c r="E915" s="125"/>
      <c r="F915" s="125"/>
    </row>
    <row r="916" spans="1:6" ht="15.75" customHeight="1">
      <c r="A916" s="126"/>
      <c r="B916" s="125"/>
      <c r="C916" s="126"/>
      <c r="D916" s="126"/>
      <c r="E916" s="125"/>
      <c r="F916" s="125"/>
    </row>
    <row r="917" spans="1:6" ht="15.75" customHeight="1">
      <c r="A917" s="126"/>
      <c r="B917" s="125"/>
      <c r="C917" s="126"/>
      <c r="D917" s="126"/>
      <c r="E917" s="125"/>
      <c r="F917" s="125"/>
    </row>
    <row r="918" spans="1:6" ht="15.75" customHeight="1">
      <c r="A918" s="126"/>
      <c r="B918" s="125"/>
      <c r="C918" s="126"/>
      <c r="D918" s="126"/>
      <c r="E918" s="125"/>
      <c r="F918" s="125"/>
    </row>
    <row r="919" spans="1:6" ht="15.75" customHeight="1">
      <c r="A919" s="126"/>
      <c r="B919" s="125"/>
      <c r="C919" s="126"/>
      <c r="D919" s="126"/>
      <c r="E919" s="125"/>
      <c r="F919" s="125"/>
    </row>
    <row r="920" spans="1:6" ht="15.75" customHeight="1">
      <c r="A920" s="126"/>
      <c r="B920" s="125"/>
      <c r="C920" s="126"/>
      <c r="D920" s="126"/>
      <c r="E920" s="125"/>
      <c r="F920" s="125"/>
    </row>
    <row r="921" spans="1:6" ht="15.75" customHeight="1">
      <c r="A921" s="126"/>
      <c r="B921" s="125"/>
      <c r="C921" s="126"/>
      <c r="D921" s="126"/>
      <c r="E921" s="125"/>
      <c r="F921" s="125"/>
    </row>
    <row r="922" spans="1:6" ht="15.75" customHeight="1">
      <c r="A922" s="126"/>
      <c r="B922" s="125"/>
      <c r="C922" s="126"/>
      <c r="D922" s="126"/>
      <c r="E922" s="125"/>
      <c r="F922" s="125"/>
    </row>
    <row r="923" spans="1:6" ht="15.75" customHeight="1">
      <c r="A923" s="126"/>
      <c r="B923" s="125"/>
      <c r="C923" s="126"/>
      <c r="D923" s="126"/>
      <c r="E923" s="125"/>
      <c r="F923" s="125"/>
    </row>
    <row r="924" spans="1:6" ht="15.75" customHeight="1">
      <c r="A924" s="126"/>
      <c r="B924" s="125"/>
      <c r="C924" s="126"/>
      <c r="D924" s="126"/>
      <c r="E924" s="125"/>
      <c r="F924" s="125"/>
    </row>
    <row r="925" spans="1:6" ht="15.75" customHeight="1">
      <c r="A925" s="126"/>
      <c r="B925" s="125"/>
      <c r="C925" s="126"/>
      <c r="D925" s="126"/>
      <c r="E925" s="125"/>
      <c r="F925" s="125"/>
    </row>
    <row r="926" spans="1:6" ht="15.75" customHeight="1">
      <c r="A926" s="126"/>
      <c r="B926" s="125"/>
      <c r="C926" s="126"/>
      <c r="D926" s="126"/>
      <c r="E926" s="125"/>
      <c r="F926" s="125"/>
    </row>
    <row r="927" spans="1:6" ht="15.75" customHeight="1">
      <c r="A927" s="126"/>
      <c r="B927" s="125"/>
      <c r="C927" s="126"/>
      <c r="D927" s="126"/>
      <c r="E927" s="125"/>
      <c r="F927" s="125"/>
    </row>
    <row r="928" spans="1:6" ht="15.75" customHeight="1">
      <c r="A928" s="126"/>
      <c r="B928" s="125"/>
      <c r="C928" s="126"/>
      <c r="D928" s="126"/>
      <c r="E928" s="125"/>
      <c r="F928" s="125"/>
    </row>
    <row r="929" spans="1:6" ht="15.75" customHeight="1">
      <c r="A929" s="126"/>
      <c r="B929" s="125"/>
      <c r="C929" s="126"/>
      <c r="D929" s="126"/>
      <c r="E929" s="125"/>
      <c r="F929" s="125"/>
    </row>
    <row r="930" spans="1:6" ht="15.75" customHeight="1">
      <c r="A930" s="126"/>
      <c r="B930" s="125"/>
      <c r="C930" s="126"/>
      <c r="D930" s="126"/>
      <c r="E930" s="125"/>
      <c r="F930" s="125"/>
    </row>
    <row r="931" spans="1:6" ht="15.75" customHeight="1">
      <c r="A931" s="126"/>
      <c r="B931" s="125"/>
      <c r="C931" s="126"/>
      <c r="D931" s="126"/>
      <c r="E931" s="125"/>
      <c r="F931" s="125"/>
    </row>
    <row r="932" spans="1:6" ht="15.75" customHeight="1">
      <c r="A932" s="126"/>
      <c r="B932" s="125"/>
      <c r="C932" s="126"/>
      <c r="D932" s="126"/>
      <c r="E932" s="125"/>
      <c r="F932" s="125"/>
    </row>
    <row r="933" spans="1:6" ht="15.75" customHeight="1">
      <c r="A933" s="126"/>
      <c r="B933" s="125"/>
      <c r="C933" s="126"/>
      <c r="D933" s="126"/>
      <c r="E933" s="125"/>
      <c r="F933" s="125"/>
    </row>
    <row r="934" spans="1:6" ht="15.75" customHeight="1">
      <c r="A934" s="126"/>
      <c r="B934" s="125"/>
      <c r="C934" s="126"/>
      <c r="D934" s="126"/>
      <c r="E934" s="125"/>
      <c r="F934" s="125"/>
    </row>
    <row r="935" spans="1:6" ht="15.75" customHeight="1">
      <c r="A935" s="126"/>
      <c r="B935" s="125"/>
      <c r="C935" s="126"/>
      <c r="D935" s="126"/>
      <c r="E935" s="125"/>
      <c r="F935" s="125"/>
    </row>
    <row r="936" spans="1:6" ht="15.75" customHeight="1">
      <c r="A936" s="126"/>
      <c r="B936" s="125"/>
      <c r="C936" s="126"/>
      <c r="D936" s="126"/>
      <c r="E936" s="125"/>
      <c r="F936" s="125"/>
    </row>
    <row r="937" spans="1:6" ht="15.75" customHeight="1">
      <c r="A937" s="126"/>
      <c r="B937" s="125"/>
      <c r="C937" s="126"/>
      <c r="D937" s="126"/>
      <c r="E937" s="125"/>
      <c r="F937" s="125"/>
    </row>
    <row r="938" spans="1:6" ht="15.75" customHeight="1">
      <c r="A938" s="126"/>
      <c r="B938" s="125"/>
      <c r="C938" s="126"/>
      <c r="D938" s="126"/>
      <c r="E938" s="125"/>
      <c r="F938" s="125"/>
    </row>
    <row r="939" spans="1:6" ht="15.75" customHeight="1">
      <c r="A939" s="126"/>
      <c r="B939" s="125"/>
      <c r="C939" s="126"/>
      <c r="D939" s="126"/>
      <c r="E939" s="125"/>
      <c r="F939" s="125"/>
    </row>
    <row r="940" spans="1:6" ht="15.75" customHeight="1">
      <c r="A940" s="126"/>
      <c r="B940" s="125"/>
      <c r="C940" s="126"/>
      <c r="D940" s="126"/>
      <c r="E940" s="125"/>
      <c r="F940" s="125"/>
    </row>
    <row r="941" spans="1:6" ht="15.75" customHeight="1">
      <c r="A941" s="126"/>
      <c r="B941" s="125"/>
      <c r="C941" s="126"/>
      <c r="D941" s="126"/>
      <c r="E941" s="125"/>
      <c r="F941" s="125"/>
    </row>
    <row r="942" spans="1:6" ht="15.75" customHeight="1">
      <c r="A942" s="126"/>
      <c r="B942" s="125"/>
      <c r="C942" s="126"/>
      <c r="D942" s="126"/>
      <c r="E942" s="125"/>
      <c r="F942" s="125"/>
    </row>
    <row r="943" spans="1:6" ht="15.75" customHeight="1">
      <c r="A943" s="126"/>
      <c r="B943" s="125"/>
      <c r="C943" s="126"/>
      <c r="D943" s="126"/>
      <c r="E943" s="125"/>
      <c r="F943" s="125"/>
    </row>
    <row r="944" spans="1:6" ht="15.75" customHeight="1">
      <c r="A944" s="126"/>
      <c r="B944" s="125"/>
      <c r="C944" s="126"/>
      <c r="D944" s="126"/>
      <c r="E944" s="125"/>
      <c r="F944" s="125"/>
    </row>
    <row r="945" spans="1:6" ht="15.75" customHeight="1">
      <c r="A945" s="126"/>
      <c r="B945" s="125"/>
      <c r="C945" s="126"/>
      <c r="D945" s="126"/>
      <c r="E945" s="125"/>
      <c r="F945" s="125"/>
    </row>
    <row r="946" spans="1:6" ht="15.75" customHeight="1">
      <c r="A946" s="126"/>
      <c r="B946" s="125"/>
      <c r="C946" s="126"/>
      <c r="D946" s="126"/>
      <c r="E946" s="125"/>
      <c r="F946" s="125"/>
    </row>
    <row r="947" spans="1:6" ht="15.75" customHeight="1">
      <c r="A947" s="126"/>
      <c r="B947" s="125"/>
      <c r="C947" s="126"/>
      <c r="D947" s="126"/>
      <c r="E947" s="125"/>
      <c r="F947" s="125"/>
    </row>
    <row r="948" spans="1:6" ht="15.75" customHeight="1">
      <c r="A948" s="126"/>
      <c r="B948" s="125"/>
      <c r="C948" s="126"/>
      <c r="D948" s="126"/>
      <c r="E948" s="125"/>
      <c r="F948" s="125"/>
    </row>
    <row r="949" spans="1:6" ht="15.75" customHeight="1">
      <c r="A949" s="126"/>
      <c r="B949" s="125"/>
      <c r="C949" s="126"/>
      <c r="D949" s="126"/>
      <c r="E949" s="125"/>
      <c r="F949" s="125"/>
    </row>
    <row r="950" spans="1:6" ht="15.75" customHeight="1">
      <c r="A950" s="126"/>
      <c r="B950" s="125"/>
      <c r="C950" s="126"/>
      <c r="D950" s="126"/>
      <c r="E950" s="125"/>
      <c r="F950" s="125"/>
    </row>
    <row r="951" spans="1:6" ht="15.75" customHeight="1">
      <c r="A951" s="126"/>
      <c r="B951" s="125"/>
      <c r="C951" s="126"/>
      <c r="D951" s="126"/>
      <c r="E951" s="125"/>
      <c r="F951" s="125"/>
    </row>
    <row r="952" spans="1:6" ht="15.75" customHeight="1">
      <c r="A952" s="126"/>
      <c r="B952" s="125"/>
      <c r="C952" s="126"/>
      <c r="D952" s="126"/>
      <c r="E952" s="125"/>
      <c r="F952" s="125"/>
    </row>
    <row r="953" spans="1:6" ht="15.75" customHeight="1">
      <c r="A953" s="126"/>
      <c r="B953" s="125"/>
      <c r="C953" s="126"/>
      <c r="D953" s="126"/>
      <c r="E953" s="125"/>
      <c r="F953" s="125"/>
    </row>
    <row r="954" spans="1:6" ht="15.75" customHeight="1">
      <c r="A954" s="126"/>
      <c r="B954" s="125"/>
      <c r="C954" s="126"/>
      <c r="D954" s="126"/>
      <c r="E954" s="125"/>
      <c r="F954" s="125"/>
    </row>
    <row r="955" spans="1:6" ht="15.75" customHeight="1">
      <c r="A955" s="126"/>
      <c r="B955" s="125"/>
      <c r="C955" s="126"/>
      <c r="D955" s="126"/>
      <c r="E955" s="125"/>
      <c r="F955" s="125"/>
    </row>
    <row r="956" spans="1:6" ht="15.75" customHeight="1">
      <c r="A956" s="126"/>
      <c r="B956" s="125"/>
      <c r="C956" s="126"/>
      <c r="D956" s="126"/>
      <c r="E956" s="125"/>
      <c r="F956" s="125"/>
    </row>
    <row r="957" spans="1:6" ht="15.75" customHeight="1">
      <c r="A957" s="126"/>
      <c r="B957" s="125"/>
      <c r="C957" s="126"/>
      <c r="D957" s="126"/>
      <c r="E957" s="125"/>
      <c r="F957" s="125"/>
    </row>
    <row r="958" spans="1:6" ht="15.75" customHeight="1">
      <c r="A958" s="126"/>
      <c r="B958" s="125"/>
      <c r="C958" s="126"/>
      <c r="D958" s="126"/>
      <c r="E958" s="125"/>
      <c r="F958" s="125"/>
    </row>
    <row r="959" spans="1:6" ht="15.75" customHeight="1">
      <c r="A959" s="126"/>
      <c r="B959" s="125"/>
      <c r="C959" s="126"/>
      <c r="D959" s="126"/>
      <c r="E959" s="125"/>
      <c r="F959" s="125"/>
    </row>
    <row r="960" spans="1:6" ht="15.75" customHeight="1">
      <c r="A960" s="126"/>
      <c r="B960" s="125"/>
      <c r="C960" s="126"/>
      <c r="D960" s="126"/>
      <c r="E960" s="125"/>
      <c r="F960" s="125"/>
    </row>
    <row r="961" spans="1:6" ht="15.75" customHeight="1">
      <c r="A961" s="126"/>
      <c r="B961" s="125"/>
      <c r="C961" s="126"/>
      <c r="D961" s="126"/>
      <c r="E961" s="125"/>
      <c r="F961" s="125"/>
    </row>
    <row r="962" spans="1:6" ht="15.75" customHeight="1">
      <c r="A962" s="126"/>
      <c r="B962" s="125"/>
      <c r="C962" s="126"/>
      <c r="D962" s="126"/>
      <c r="E962" s="125"/>
      <c r="F962" s="125"/>
    </row>
    <row r="963" spans="1:6" ht="15.75" customHeight="1">
      <c r="A963" s="126"/>
      <c r="B963" s="125"/>
      <c r="C963" s="126"/>
      <c r="D963" s="126"/>
      <c r="E963" s="125"/>
      <c r="F963" s="125"/>
    </row>
    <row r="964" spans="1:6" ht="15.75" customHeight="1">
      <c r="A964" s="126"/>
      <c r="B964" s="125"/>
      <c r="C964" s="126"/>
      <c r="D964" s="126"/>
      <c r="E964" s="125"/>
      <c r="F964" s="125"/>
    </row>
    <row r="965" spans="1:6" ht="15.75" customHeight="1">
      <c r="A965" s="126"/>
      <c r="B965" s="125"/>
      <c r="C965" s="126"/>
      <c r="D965" s="126"/>
      <c r="E965" s="125"/>
      <c r="F965" s="125"/>
    </row>
    <row r="966" spans="1:6" ht="15.75" customHeight="1">
      <c r="A966" s="126"/>
      <c r="B966" s="125"/>
      <c r="C966" s="126"/>
      <c r="D966" s="126"/>
      <c r="E966" s="125"/>
      <c r="F966" s="125"/>
    </row>
    <row r="967" spans="1:6" ht="15.75" customHeight="1">
      <c r="A967" s="126"/>
      <c r="B967" s="125"/>
      <c r="C967" s="126"/>
      <c r="D967" s="126"/>
      <c r="E967" s="125"/>
      <c r="F967" s="125"/>
    </row>
    <row r="968" spans="1:6" ht="15.75" customHeight="1">
      <c r="A968" s="126"/>
      <c r="B968" s="125"/>
      <c r="C968" s="126"/>
      <c r="D968" s="126"/>
      <c r="E968" s="125"/>
      <c r="F968" s="125"/>
    </row>
    <row r="969" spans="1:6" ht="15.75" customHeight="1">
      <c r="A969" s="126"/>
      <c r="B969" s="125"/>
      <c r="C969" s="126"/>
      <c r="D969" s="126"/>
      <c r="E969" s="125"/>
      <c r="F969" s="125"/>
    </row>
    <row r="970" spans="1:6" ht="15.75" customHeight="1">
      <c r="A970" s="126"/>
      <c r="B970" s="125"/>
      <c r="C970" s="126"/>
      <c r="D970" s="126"/>
      <c r="E970" s="125"/>
      <c r="F970" s="125"/>
    </row>
    <row r="971" spans="1:6" ht="15.75" customHeight="1">
      <c r="A971" s="126"/>
      <c r="B971" s="125"/>
      <c r="C971" s="126"/>
      <c r="D971" s="126"/>
      <c r="E971" s="125"/>
      <c r="F971" s="125"/>
    </row>
    <row r="972" spans="1:6" ht="15.75" customHeight="1">
      <c r="A972" s="126"/>
      <c r="B972" s="125"/>
      <c r="C972" s="126"/>
      <c r="D972" s="126"/>
      <c r="E972" s="125"/>
      <c r="F972" s="125"/>
    </row>
    <row r="973" spans="1:6" ht="15.75" customHeight="1">
      <c r="A973" s="126"/>
      <c r="B973" s="125"/>
      <c r="C973" s="126"/>
      <c r="D973" s="126"/>
      <c r="E973" s="125"/>
      <c r="F973" s="125"/>
    </row>
    <row r="974" spans="1:6" ht="15.75" customHeight="1">
      <c r="A974" s="126"/>
      <c r="B974" s="125"/>
      <c r="C974" s="126"/>
      <c r="D974" s="126"/>
      <c r="E974" s="125"/>
      <c r="F974" s="125"/>
    </row>
    <row r="975" spans="1:6" ht="15.75" customHeight="1">
      <c r="A975" s="126"/>
      <c r="B975" s="125"/>
      <c r="C975" s="126"/>
      <c r="D975" s="126"/>
      <c r="E975" s="125"/>
      <c r="F975" s="125"/>
    </row>
    <row r="976" spans="1:6" ht="15.75" customHeight="1">
      <c r="A976" s="126"/>
      <c r="B976" s="125"/>
      <c r="C976" s="126"/>
      <c r="D976" s="126"/>
      <c r="E976" s="125"/>
      <c r="F976" s="125"/>
    </row>
    <row r="977" spans="1:6" ht="15.75" customHeight="1">
      <c r="A977" s="126"/>
      <c r="B977" s="125"/>
      <c r="C977" s="126"/>
      <c r="D977" s="126"/>
      <c r="E977" s="125"/>
      <c r="F977" s="125"/>
    </row>
    <row r="978" spans="1:6" ht="15.75" customHeight="1">
      <c r="A978" s="126"/>
      <c r="B978" s="125"/>
      <c r="C978" s="126"/>
      <c r="D978" s="126"/>
      <c r="E978" s="125"/>
      <c r="F978" s="125"/>
    </row>
    <row r="979" spans="1:6" ht="15.75" customHeight="1">
      <c r="A979" s="126"/>
      <c r="B979" s="125"/>
      <c r="C979" s="126"/>
      <c r="D979" s="126"/>
      <c r="E979" s="125"/>
      <c r="F979" s="125"/>
    </row>
    <row r="980" spans="1:6" ht="15.75" customHeight="1">
      <c r="A980" s="126"/>
      <c r="B980" s="125"/>
      <c r="C980" s="126"/>
      <c r="D980" s="126"/>
      <c r="E980" s="125"/>
      <c r="F980" s="125"/>
    </row>
    <row r="981" spans="1:6" ht="15.75" customHeight="1">
      <c r="A981" s="126"/>
      <c r="B981" s="125"/>
      <c r="C981" s="126"/>
      <c r="D981" s="126"/>
      <c r="E981" s="125"/>
      <c r="F981" s="125"/>
    </row>
    <row r="982" spans="1:6" ht="15.75" customHeight="1">
      <c r="A982" s="126"/>
      <c r="B982" s="125"/>
      <c r="C982" s="126"/>
      <c r="D982" s="126"/>
      <c r="E982" s="125"/>
      <c r="F982" s="125"/>
    </row>
    <row r="983" spans="1:6" ht="15.75" customHeight="1">
      <c r="A983" s="126"/>
      <c r="B983" s="125"/>
      <c r="C983" s="126"/>
      <c r="D983" s="126"/>
      <c r="E983" s="125"/>
      <c r="F983" s="125"/>
    </row>
    <row r="984" spans="1:6" ht="15.75" customHeight="1">
      <c r="A984" s="126"/>
      <c r="B984" s="125"/>
      <c r="C984" s="126"/>
      <c r="D984" s="126"/>
      <c r="E984" s="125"/>
      <c r="F984" s="125"/>
    </row>
    <row r="985" spans="1:6" ht="15" customHeight="1">
      <c r="A985" s="126"/>
      <c r="B985" s="125"/>
      <c r="C985" s="126"/>
      <c r="D985" s="126"/>
      <c r="E985" s="125"/>
    </row>
    <row r="986" spans="1:6" ht="15" customHeight="1">
      <c r="A986" s="126"/>
      <c r="B986" s="125"/>
      <c r="C986" s="126"/>
      <c r="D986" s="126"/>
      <c r="E986" s="125"/>
    </row>
    <row r="987" spans="1:6" ht="15" customHeight="1">
      <c r="A987" s="126"/>
      <c r="B987" s="125"/>
      <c r="C987" s="126"/>
      <c r="D987" s="126"/>
      <c r="E987" s="125"/>
    </row>
    <row r="988" spans="1:6" ht="15" customHeight="1">
      <c r="A988" s="126"/>
      <c r="B988" s="125"/>
      <c r="C988" s="126"/>
      <c r="D988" s="126"/>
      <c r="E988" s="125"/>
    </row>
    <row r="989" spans="1:6" ht="15" customHeight="1">
      <c r="A989" s="126"/>
      <c r="B989" s="125"/>
      <c r="C989" s="126"/>
      <c r="D989" s="126"/>
      <c r="E989" s="125"/>
    </row>
    <row r="990" spans="1:6" ht="15" customHeight="1">
      <c r="A990" s="126"/>
      <c r="B990" s="125"/>
      <c r="C990" s="126"/>
      <c r="D990" s="126"/>
      <c r="E990" s="125"/>
    </row>
    <row r="991" spans="1:6" ht="15" customHeight="1">
      <c r="A991" s="126"/>
      <c r="B991" s="125"/>
      <c r="C991" s="126"/>
      <c r="D991" s="126"/>
      <c r="E991" s="125"/>
    </row>
    <row r="992" spans="1:6" ht="15" customHeight="1">
      <c r="A992" s="126"/>
      <c r="B992" s="125"/>
      <c r="C992" s="126"/>
      <c r="D992" s="126"/>
      <c r="E992" s="125"/>
    </row>
    <row r="993" spans="1:5" ht="15" customHeight="1">
      <c r="A993" s="126"/>
      <c r="B993" s="125"/>
      <c r="C993" s="126"/>
      <c r="D993" s="126"/>
      <c r="E993" s="125"/>
    </row>
    <row r="994" spans="1:5" ht="15" customHeight="1">
      <c r="A994" s="126"/>
      <c r="B994" s="125"/>
      <c r="C994" s="126"/>
      <c r="D994" s="126"/>
      <c r="E994" s="125"/>
    </row>
    <row r="995" spans="1:5" ht="15" customHeight="1">
      <c r="A995" s="126"/>
      <c r="B995" s="125"/>
      <c r="C995" s="126"/>
      <c r="D995" s="126"/>
      <c r="E995" s="125"/>
    </row>
    <row r="996" spans="1:5" ht="15" customHeight="1">
      <c r="A996" s="126"/>
      <c r="B996" s="125"/>
      <c r="C996" s="126"/>
      <c r="D996" s="126"/>
      <c r="E996" s="125"/>
    </row>
    <row r="997" spans="1:5" ht="15" customHeight="1">
      <c r="A997" s="126"/>
      <c r="B997" s="125"/>
      <c r="C997" s="126"/>
      <c r="D997" s="126"/>
      <c r="E997" s="125"/>
    </row>
    <row r="998" spans="1:5" ht="15" customHeight="1">
      <c r="A998" s="126"/>
      <c r="B998" s="125"/>
      <c r="C998" s="126"/>
      <c r="D998" s="126"/>
      <c r="E998" s="125"/>
    </row>
    <row r="999" spans="1:5" ht="15" customHeight="1">
      <c r="A999" s="126"/>
      <c r="B999" s="125"/>
      <c r="C999" s="126"/>
      <c r="D999" s="126"/>
      <c r="E999" s="125"/>
    </row>
    <row r="1000" spans="1:5" ht="15" customHeight="1">
      <c r="A1000" s="126"/>
      <c r="B1000" s="125"/>
      <c r="C1000" s="126"/>
      <c r="D1000" s="126"/>
      <c r="E1000" s="125"/>
    </row>
    <row r="1001" spans="1:5" ht="15" customHeight="1">
      <c r="A1001" s="126"/>
      <c r="B1001" s="125"/>
      <c r="C1001" s="126"/>
      <c r="D1001" s="126"/>
      <c r="E1001" s="125"/>
    </row>
    <row r="1002" spans="1:5" ht="15" customHeight="1">
      <c r="A1002" s="126"/>
      <c r="B1002" s="125"/>
      <c r="C1002" s="126"/>
      <c r="D1002" s="126"/>
      <c r="E1002" s="125"/>
    </row>
    <row r="1003" spans="1:5" ht="15" customHeight="1">
      <c r="A1003" s="126"/>
      <c r="B1003" s="125"/>
      <c r="C1003" s="126"/>
      <c r="D1003" s="126"/>
      <c r="E1003" s="125"/>
    </row>
    <row r="1004" spans="1:5" ht="15" customHeight="1">
      <c r="A1004" s="126"/>
      <c r="B1004" s="125"/>
      <c r="C1004" s="126"/>
      <c r="D1004" s="126"/>
      <c r="E1004" s="125"/>
    </row>
    <row r="1005" spans="1:5" ht="15" customHeight="1">
      <c r="A1005" s="126"/>
      <c r="B1005" s="125"/>
      <c r="C1005" s="126"/>
      <c r="D1005" s="126"/>
      <c r="E1005" s="125"/>
    </row>
    <row r="1006" spans="1:5" ht="15" customHeight="1">
      <c r="A1006" s="126"/>
      <c r="B1006" s="125"/>
      <c r="C1006" s="126"/>
      <c r="D1006" s="126"/>
      <c r="E1006" s="125"/>
    </row>
    <row r="1007" spans="1:5" ht="15" customHeight="1">
      <c r="A1007" s="126"/>
      <c r="B1007" s="125"/>
      <c r="C1007" s="126"/>
      <c r="D1007" s="126"/>
      <c r="E1007" s="125"/>
    </row>
    <row r="1008" spans="1:5" ht="15" customHeight="1">
      <c r="A1008" s="126"/>
      <c r="B1008" s="125"/>
      <c r="C1008" s="126"/>
      <c r="D1008" s="126"/>
      <c r="E1008" s="125"/>
    </row>
    <row r="1009" spans="1:5" ht="15" customHeight="1">
      <c r="A1009" s="126"/>
      <c r="B1009" s="125"/>
      <c r="C1009" s="126"/>
      <c r="D1009" s="126"/>
      <c r="E1009" s="125"/>
    </row>
    <row r="1010" spans="1:5" ht="15" customHeight="1">
      <c r="A1010" s="126"/>
      <c r="B1010" s="125"/>
      <c r="C1010" s="126"/>
      <c r="D1010" s="126"/>
      <c r="E1010" s="125"/>
    </row>
    <row r="1011" spans="1:5" ht="15" customHeight="1">
      <c r="A1011" s="126"/>
      <c r="B1011" s="125"/>
      <c r="C1011" s="126"/>
      <c r="D1011" s="126"/>
      <c r="E1011" s="125"/>
    </row>
    <row r="1012" spans="1:5" ht="15" customHeight="1">
      <c r="A1012" s="126"/>
      <c r="B1012" s="125"/>
      <c r="C1012" s="126"/>
      <c r="D1012" s="126"/>
      <c r="E1012" s="125"/>
    </row>
    <row r="1013" spans="1:5" ht="15" customHeight="1">
      <c r="A1013" s="126"/>
      <c r="B1013" s="125"/>
      <c r="C1013" s="126"/>
      <c r="D1013" s="126"/>
      <c r="E1013" s="125"/>
    </row>
    <row r="1014" spans="1:5" ht="15" customHeight="1">
      <c r="A1014" s="126"/>
      <c r="B1014" s="125"/>
      <c r="C1014" s="126"/>
      <c r="D1014" s="126"/>
      <c r="E1014" s="125"/>
    </row>
    <row r="1015" spans="1:5" ht="15" customHeight="1">
      <c r="A1015" s="126"/>
      <c r="B1015" s="125"/>
      <c r="C1015" s="126"/>
      <c r="D1015" s="126"/>
      <c r="E1015" s="125"/>
    </row>
    <row r="1016" spans="1:5" ht="15" customHeight="1">
      <c r="A1016" s="126"/>
      <c r="B1016" s="125"/>
      <c r="C1016" s="126"/>
      <c r="D1016" s="126"/>
      <c r="E1016" s="125"/>
    </row>
    <row r="1017" spans="1:5" ht="15" customHeight="1">
      <c r="A1017" s="126"/>
      <c r="B1017" s="125"/>
      <c r="C1017" s="126"/>
      <c r="D1017" s="126"/>
      <c r="E1017" s="125"/>
    </row>
    <row r="1018" spans="1:5" ht="15" customHeight="1">
      <c r="A1018" s="126"/>
      <c r="B1018" s="125"/>
      <c r="C1018" s="126"/>
      <c r="D1018" s="126"/>
      <c r="E1018" s="125"/>
    </row>
    <row r="1019" spans="1:5" ht="15" customHeight="1">
      <c r="A1019" s="126"/>
      <c r="B1019" s="125"/>
      <c r="C1019" s="126"/>
      <c r="D1019" s="126"/>
      <c r="E1019" s="125"/>
    </row>
    <row r="1020" spans="1:5" ht="15" customHeight="1">
      <c r="A1020" s="126"/>
      <c r="B1020" s="125"/>
      <c r="C1020" s="126"/>
      <c r="D1020" s="126"/>
      <c r="E1020" s="125"/>
    </row>
    <row r="1021" spans="1:5" ht="15" customHeight="1">
      <c r="A1021" s="126"/>
      <c r="B1021" s="125"/>
      <c r="C1021" s="126"/>
      <c r="D1021" s="126"/>
      <c r="E1021" s="125"/>
    </row>
    <row r="1022" spans="1:5" ht="15" customHeight="1">
      <c r="A1022" s="126"/>
      <c r="B1022" s="125"/>
      <c r="C1022" s="126"/>
      <c r="D1022" s="126"/>
      <c r="E1022" s="125"/>
    </row>
    <row r="1023" spans="1:5" ht="15" customHeight="1">
      <c r="A1023" s="126"/>
      <c r="B1023" s="125"/>
      <c r="C1023" s="126"/>
      <c r="D1023" s="126"/>
      <c r="E1023" s="125"/>
    </row>
    <row r="1024" spans="1:5" ht="15" customHeight="1">
      <c r="A1024" s="126"/>
      <c r="B1024" s="125"/>
      <c r="C1024" s="126"/>
      <c r="D1024" s="126"/>
      <c r="E1024" s="125"/>
    </row>
    <row r="1025" spans="1:5" ht="15" customHeight="1">
      <c r="A1025" s="126"/>
      <c r="B1025" s="125"/>
      <c r="C1025" s="126"/>
      <c r="D1025" s="126"/>
      <c r="E1025" s="125"/>
    </row>
    <row r="1026" spans="1:5" ht="15" customHeight="1">
      <c r="A1026" s="126"/>
      <c r="B1026" s="125"/>
      <c r="C1026" s="126"/>
      <c r="D1026" s="126"/>
      <c r="E1026" s="125"/>
    </row>
    <row r="1027" spans="1:5" ht="15" customHeight="1">
      <c r="A1027" s="126"/>
      <c r="B1027" s="125"/>
      <c r="C1027" s="126"/>
      <c r="D1027" s="126"/>
      <c r="E1027" s="125"/>
    </row>
    <row r="1028" spans="1:5" ht="15" customHeight="1">
      <c r="A1028" s="126"/>
      <c r="B1028" s="125"/>
      <c r="C1028" s="126"/>
      <c r="D1028" s="126"/>
      <c r="E1028" s="125"/>
    </row>
    <row r="1029" spans="1:5" ht="15" customHeight="1">
      <c r="A1029" s="126"/>
      <c r="B1029" s="125"/>
      <c r="C1029" s="126"/>
      <c r="D1029" s="126"/>
      <c r="E1029" s="125"/>
    </row>
    <row r="1030" spans="1:5" ht="15" customHeight="1">
      <c r="A1030" s="126"/>
      <c r="B1030" s="125"/>
      <c r="C1030" s="126"/>
      <c r="D1030" s="126"/>
      <c r="E1030" s="125"/>
    </row>
    <row r="1031" spans="1:5" ht="15" customHeight="1">
      <c r="A1031" s="126"/>
      <c r="B1031" s="125"/>
      <c r="C1031" s="126"/>
      <c r="D1031" s="126"/>
      <c r="E1031" s="125"/>
    </row>
    <row r="1032" spans="1:5" ht="15" customHeight="1">
      <c r="A1032" s="126"/>
      <c r="B1032" s="125"/>
      <c r="C1032" s="126"/>
      <c r="D1032" s="126"/>
      <c r="E1032" s="125"/>
    </row>
    <row r="1033" spans="1:5" ht="15" customHeight="1">
      <c r="A1033" s="126"/>
      <c r="B1033" s="125"/>
      <c r="C1033" s="126"/>
      <c r="D1033" s="126"/>
      <c r="E1033" s="125"/>
    </row>
    <row r="1034" spans="1:5" ht="15" customHeight="1">
      <c r="A1034" s="126"/>
      <c r="B1034" s="125"/>
      <c r="C1034" s="126"/>
      <c r="D1034" s="126"/>
      <c r="E1034" s="125"/>
    </row>
    <row r="1035" spans="1:5" ht="15" customHeight="1">
      <c r="A1035" s="126"/>
      <c r="B1035" s="125"/>
      <c r="C1035" s="126"/>
      <c r="D1035" s="126"/>
      <c r="E1035" s="125"/>
    </row>
    <row r="1036" spans="1:5" ht="15" customHeight="1">
      <c r="A1036" s="126"/>
      <c r="B1036" s="125"/>
      <c r="C1036" s="126"/>
      <c r="D1036" s="126"/>
      <c r="E1036" s="125"/>
    </row>
    <row r="1037" spans="1:5" ht="15" customHeight="1">
      <c r="A1037" s="126"/>
      <c r="B1037" s="125"/>
      <c r="C1037" s="126"/>
      <c r="D1037" s="126"/>
      <c r="E1037" s="125"/>
    </row>
    <row r="1038" spans="1:5" ht="15" customHeight="1">
      <c r="A1038" s="126"/>
      <c r="B1038" s="125"/>
      <c r="C1038" s="126"/>
      <c r="D1038" s="126"/>
      <c r="E1038" s="125"/>
    </row>
    <row r="1039" spans="1:5" ht="15" customHeight="1">
      <c r="A1039" s="126"/>
      <c r="B1039" s="125"/>
      <c r="C1039" s="126"/>
      <c r="D1039" s="126"/>
      <c r="E1039" s="125"/>
    </row>
    <row r="1040" spans="1:5" ht="15" customHeight="1">
      <c r="A1040" s="126"/>
      <c r="B1040" s="125"/>
      <c r="C1040" s="126"/>
      <c r="D1040" s="126"/>
      <c r="E1040" s="125"/>
    </row>
    <row r="1041" spans="1:5" ht="15" customHeight="1">
      <c r="A1041" s="126"/>
      <c r="B1041" s="125"/>
      <c r="C1041" s="126"/>
      <c r="D1041" s="126"/>
      <c r="E1041" s="125"/>
    </row>
    <row r="1042" spans="1:5" ht="15" customHeight="1">
      <c r="A1042" s="126"/>
      <c r="B1042" s="125"/>
      <c r="C1042" s="126"/>
      <c r="D1042" s="126"/>
      <c r="E1042" s="125"/>
    </row>
    <row r="1043" spans="1:5" ht="15" customHeight="1">
      <c r="A1043" s="126"/>
      <c r="B1043" s="125"/>
      <c r="C1043" s="126"/>
      <c r="D1043" s="126"/>
      <c r="E1043" s="125"/>
    </row>
    <row r="1044" spans="1:5" ht="15" customHeight="1">
      <c r="A1044" s="126"/>
      <c r="B1044" s="125"/>
      <c r="C1044" s="126"/>
      <c r="D1044" s="126"/>
      <c r="E1044" s="125"/>
    </row>
    <row r="1045" spans="1:5" ht="15" customHeight="1">
      <c r="A1045" s="126"/>
      <c r="B1045" s="125"/>
      <c r="C1045" s="126"/>
      <c r="D1045" s="126"/>
      <c r="E1045" s="125"/>
    </row>
    <row r="1046" spans="1:5" ht="15" customHeight="1">
      <c r="A1046" s="126"/>
      <c r="B1046" s="125"/>
      <c r="C1046" s="126"/>
      <c r="D1046" s="126"/>
      <c r="E1046" s="125"/>
    </row>
    <row r="1047" spans="1:5" ht="15" customHeight="1">
      <c r="A1047" s="126"/>
      <c r="B1047" s="125"/>
      <c r="C1047" s="126"/>
      <c r="D1047" s="126"/>
      <c r="E1047" s="125"/>
    </row>
    <row r="1048" spans="1:5" ht="15" customHeight="1">
      <c r="A1048" s="126"/>
      <c r="B1048" s="125"/>
      <c r="C1048" s="126"/>
      <c r="D1048" s="126"/>
      <c r="E1048" s="125"/>
    </row>
    <row r="1049" spans="1:5" ht="15" customHeight="1">
      <c r="A1049" s="126"/>
      <c r="B1049" s="125"/>
      <c r="C1049" s="126"/>
      <c r="D1049" s="126"/>
      <c r="E1049" s="125"/>
    </row>
    <row r="1050" spans="1:5" ht="15" customHeight="1">
      <c r="A1050" s="126"/>
      <c r="B1050" s="125"/>
      <c r="C1050" s="126"/>
      <c r="D1050" s="126"/>
      <c r="E1050" s="125"/>
    </row>
    <row r="1051" spans="1:5" ht="15" customHeight="1">
      <c r="A1051" s="126"/>
      <c r="B1051" s="125"/>
      <c r="C1051" s="126"/>
      <c r="D1051" s="126"/>
      <c r="E1051" s="125"/>
    </row>
    <row r="1052" spans="1:5" ht="15" customHeight="1">
      <c r="A1052" s="126"/>
      <c r="B1052" s="125"/>
      <c r="C1052" s="126"/>
      <c r="D1052" s="126"/>
      <c r="E1052" s="125"/>
    </row>
    <row r="1053" spans="1:5" ht="15" customHeight="1">
      <c r="A1053" s="126"/>
      <c r="B1053" s="125"/>
      <c r="C1053" s="126"/>
      <c r="D1053" s="126"/>
      <c r="E1053" s="125"/>
    </row>
    <row r="1054" spans="1:5" ht="15" customHeight="1">
      <c r="A1054" s="126"/>
      <c r="B1054" s="125"/>
      <c r="C1054" s="126"/>
      <c r="D1054" s="126"/>
      <c r="E1054" s="125"/>
    </row>
    <row r="1055" spans="1:5" ht="15" customHeight="1">
      <c r="A1055" s="126"/>
      <c r="B1055" s="125"/>
      <c r="C1055" s="126"/>
      <c r="D1055" s="126"/>
      <c r="E1055" s="125"/>
    </row>
    <row r="1056" spans="1:5" ht="15" customHeight="1">
      <c r="A1056" s="126"/>
      <c r="B1056" s="125"/>
      <c r="C1056" s="126"/>
      <c r="D1056" s="126"/>
      <c r="E1056" s="125"/>
    </row>
    <row r="1057" spans="1:5" ht="15" customHeight="1">
      <c r="A1057" s="126"/>
      <c r="B1057" s="125"/>
      <c r="C1057" s="126"/>
      <c r="D1057" s="126"/>
      <c r="E1057" s="125"/>
    </row>
    <row r="1058" spans="1:5" ht="15" customHeight="1">
      <c r="A1058" s="126"/>
      <c r="B1058" s="125"/>
      <c r="C1058" s="126"/>
      <c r="D1058" s="126"/>
      <c r="E1058" s="125"/>
    </row>
    <row r="1059" spans="1:5" ht="15" customHeight="1">
      <c r="A1059" s="126"/>
      <c r="B1059" s="125"/>
      <c r="C1059" s="126"/>
      <c r="D1059" s="126"/>
      <c r="E1059" s="125"/>
    </row>
    <row r="1060" spans="1:5" ht="15" customHeight="1">
      <c r="A1060" s="126"/>
      <c r="B1060" s="125"/>
      <c r="C1060" s="126"/>
      <c r="D1060" s="126"/>
      <c r="E1060" s="125"/>
    </row>
    <row r="1061" spans="1:5" ht="15" customHeight="1">
      <c r="A1061" s="126"/>
      <c r="B1061" s="125"/>
      <c r="C1061" s="126"/>
      <c r="D1061" s="126"/>
      <c r="E1061" s="125"/>
    </row>
    <row r="1062" spans="1:5" ht="15" customHeight="1">
      <c r="A1062" s="126"/>
      <c r="B1062" s="125"/>
      <c r="C1062" s="126"/>
      <c r="D1062" s="126"/>
      <c r="E1062" s="125"/>
    </row>
    <row r="1063" spans="1:5" ht="15" customHeight="1">
      <c r="A1063" s="126"/>
      <c r="B1063" s="125"/>
      <c r="C1063" s="126"/>
      <c r="D1063" s="126"/>
      <c r="E1063" s="125"/>
    </row>
    <row r="1064" spans="1:5" ht="15" customHeight="1">
      <c r="A1064" s="126"/>
      <c r="B1064" s="125"/>
      <c r="C1064" s="126"/>
      <c r="D1064" s="126"/>
      <c r="E1064" s="125"/>
    </row>
    <row r="1065" spans="1:5" ht="15" customHeight="1">
      <c r="A1065" s="126"/>
      <c r="B1065" s="125"/>
      <c r="C1065" s="126"/>
      <c r="D1065" s="126"/>
      <c r="E1065" s="125"/>
    </row>
    <row r="1066" spans="1:5" ht="15" customHeight="1">
      <c r="A1066" s="126"/>
      <c r="B1066" s="125"/>
      <c r="C1066" s="126"/>
      <c r="D1066" s="126"/>
      <c r="E1066" s="125"/>
    </row>
    <row r="1067" spans="1:5" ht="15" customHeight="1">
      <c r="A1067" s="126"/>
      <c r="B1067" s="125"/>
      <c r="C1067" s="126"/>
      <c r="D1067" s="126"/>
      <c r="E1067" s="125"/>
    </row>
    <row r="1068" spans="1:5" ht="15" customHeight="1">
      <c r="A1068" s="126"/>
      <c r="B1068" s="125"/>
      <c r="C1068" s="126"/>
      <c r="D1068" s="126"/>
      <c r="E1068" s="125"/>
    </row>
    <row r="1069" spans="1:5" ht="15" customHeight="1">
      <c r="A1069" s="126"/>
      <c r="B1069" s="125"/>
      <c r="C1069" s="126"/>
      <c r="D1069" s="126"/>
      <c r="E1069" s="125"/>
    </row>
    <row r="1070" spans="1:5" ht="15" customHeight="1">
      <c r="A1070" s="126"/>
      <c r="B1070" s="125"/>
      <c r="C1070" s="126"/>
      <c r="D1070" s="126"/>
      <c r="E1070" s="125"/>
    </row>
    <row r="1071" spans="1:5" ht="15" customHeight="1">
      <c r="A1071" s="126"/>
      <c r="B1071" s="125"/>
      <c r="C1071" s="126"/>
      <c r="D1071" s="126"/>
      <c r="E1071" s="125"/>
    </row>
    <row r="1072" spans="1:5" ht="15" customHeight="1">
      <c r="A1072" s="126"/>
      <c r="B1072" s="125"/>
      <c r="C1072" s="126"/>
      <c r="D1072" s="126"/>
      <c r="E1072" s="125"/>
    </row>
    <row r="1073" spans="1:5" ht="15" customHeight="1">
      <c r="A1073" s="126"/>
      <c r="B1073" s="125"/>
      <c r="C1073" s="126"/>
      <c r="D1073" s="126"/>
      <c r="E1073" s="125"/>
    </row>
    <row r="1074" spans="1:5" ht="15" customHeight="1">
      <c r="A1074" s="126"/>
      <c r="B1074" s="125"/>
      <c r="C1074" s="126"/>
      <c r="D1074" s="126"/>
      <c r="E1074" s="125"/>
    </row>
    <row r="1075" spans="1:5" ht="15" customHeight="1">
      <c r="A1075" s="126"/>
      <c r="B1075" s="125"/>
      <c r="C1075" s="126"/>
      <c r="D1075" s="126"/>
      <c r="E1075" s="125"/>
    </row>
    <row r="1076" spans="1:5" ht="15" customHeight="1">
      <c r="A1076" s="126"/>
      <c r="B1076" s="125"/>
      <c r="C1076" s="126"/>
      <c r="D1076" s="126"/>
      <c r="E1076" s="125"/>
    </row>
    <row r="1077" spans="1:5" ht="15" customHeight="1">
      <c r="A1077" s="126"/>
      <c r="B1077" s="125"/>
      <c r="C1077" s="126"/>
      <c r="D1077" s="126"/>
      <c r="E1077" s="125"/>
    </row>
    <row r="1078" spans="1:5" ht="15" customHeight="1">
      <c r="A1078" s="126"/>
      <c r="B1078" s="125"/>
      <c r="C1078" s="126"/>
      <c r="D1078" s="126"/>
      <c r="E1078" s="125"/>
    </row>
    <row r="1079" spans="1:5" ht="15" customHeight="1">
      <c r="A1079" s="126"/>
      <c r="B1079" s="125"/>
      <c r="C1079" s="126"/>
      <c r="D1079" s="126"/>
      <c r="E1079" s="125"/>
    </row>
    <row r="1080" spans="1:5" ht="15" customHeight="1">
      <c r="A1080" s="126"/>
      <c r="B1080" s="125"/>
      <c r="C1080" s="126"/>
      <c r="D1080" s="126"/>
      <c r="E1080" s="125"/>
    </row>
    <row r="1081" spans="1:5" ht="15" customHeight="1">
      <c r="A1081" s="126"/>
      <c r="B1081" s="125"/>
      <c r="C1081" s="126"/>
      <c r="D1081" s="126"/>
      <c r="E1081" s="125"/>
    </row>
    <row r="1082" spans="1:5" ht="15" customHeight="1">
      <c r="A1082" s="126"/>
      <c r="B1082" s="125"/>
      <c r="C1082" s="126"/>
      <c r="D1082" s="126"/>
      <c r="E1082" s="125"/>
    </row>
    <row r="1083" spans="1:5" ht="15" customHeight="1">
      <c r="A1083" s="126"/>
      <c r="B1083" s="125"/>
      <c r="C1083" s="126"/>
      <c r="D1083" s="126"/>
      <c r="E1083" s="125"/>
    </row>
    <row r="1084" spans="1:5" ht="15" customHeight="1">
      <c r="A1084" s="126"/>
      <c r="B1084" s="125"/>
      <c r="C1084" s="126"/>
      <c r="D1084" s="126"/>
      <c r="E1084" s="125"/>
    </row>
    <row r="1085" spans="1:5" ht="15" customHeight="1">
      <c r="A1085" s="126"/>
      <c r="B1085" s="125"/>
      <c r="C1085" s="126"/>
      <c r="D1085" s="126"/>
      <c r="E1085" s="125"/>
    </row>
    <row r="1086" spans="1:5" ht="15" customHeight="1">
      <c r="A1086" s="126"/>
      <c r="B1086" s="125"/>
      <c r="C1086" s="126"/>
      <c r="D1086" s="126"/>
      <c r="E1086" s="125"/>
    </row>
    <row r="1087" spans="1:5" ht="15" customHeight="1">
      <c r="A1087" s="126"/>
      <c r="B1087" s="125"/>
      <c r="C1087" s="126"/>
      <c r="D1087" s="126"/>
      <c r="E1087" s="125"/>
    </row>
    <row r="1088" spans="1:5" ht="15" customHeight="1">
      <c r="A1088" s="126"/>
      <c r="B1088" s="125"/>
      <c r="C1088" s="126"/>
      <c r="D1088" s="126"/>
      <c r="E1088" s="125"/>
    </row>
    <row r="1089" spans="1:5" ht="15" customHeight="1">
      <c r="A1089" s="126"/>
      <c r="B1089" s="125"/>
      <c r="C1089" s="126"/>
      <c r="D1089" s="126"/>
      <c r="E1089" s="125"/>
    </row>
    <row r="1090" spans="1:5" ht="15" customHeight="1">
      <c r="A1090" s="126"/>
      <c r="B1090" s="125"/>
      <c r="C1090" s="126"/>
      <c r="D1090" s="126"/>
      <c r="E1090" s="125"/>
    </row>
    <row r="1091" spans="1:5" ht="15" customHeight="1">
      <c r="A1091" s="126"/>
      <c r="B1091" s="125"/>
      <c r="C1091" s="126"/>
      <c r="D1091" s="126"/>
      <c r="E1091" s="125"/>
    </row>
    <row r="1092" spans="1:5" ht="15" customHeight="1">
      <c r="A1092" s="126"/>
      <c r="B1092" s="125"/>
      <c r="C1092" s="126"/>
      <c r="D1092" s="126"/>
      <c r="E1092" s="125"/>
    </row>
    <row r="1093" spans="1:5" ht="15" customHeight="1">
      <c r="A1093" s="126"/>
      <c r="B1093" s="125"/>
      <c r="C1093" s="126"/>
      <c r="D1093" s="126"/>
      <c r="E1093" s="125"/>
    </row>
    <row r="1094" spans="1:5" ht="15" customHeight="1">
      <c r="A1094" s="126"/>
      <c r="B1094" s="125"/>
      <c r="C1094" s="126"/>
      <c r="D1094" s="126"/>
      <c r="E1094" s="125"/>
    </row>
    <row r="1095" spans="1:5" ht="15" customHeight="1">
      <c r="A1095" s="126"/>
      <c r="B1095" s="125"/>
      <c r="C1095" s="126"/>
      <c r="D1095" s="126"/>
      <c r="E1095" s="125"/>
    </row>
    <row r="1096" spans="1:5" ht="15" customHeight="1">
      <c r="A1096" s="126"/>
      <c r="B1096" s="125"/>
      <c r="C1096" s="126"/>
      <c r="D1096" s="126"/>
      <c r="E1096" s="125"/>
    </row>
    <row r="1097" spans="1:5" ht="15" customHeight="1">
      <c r="A1097" s="126"/>
      <c r="B1097" s="125"/>
      <c r="C1097" s="126"/>
      <c r="D1097" s="126"/>
      <c r="E1097" s="125"/>
    </row>
    <row r="1098" spans="1:5" ht="15" customHeight="1">
      <c r="A1098" s="126"/>
      <c r="B1098" s="125"/>
      <c r="C1098" s="126"/>
      <c r="D1098" s="126"/>
      <c r="E1098" s="125"/>
    </row>
    <row r="1099" spans="1:5" ht="15" customHeight="1">
      <c r="A1099" s="126"/>
      <c r="B1099" s="125"/>
      <c r="C1099" s="126"/>
      <c r="D1099" s="126"/>
      <c r="E1099" s="125"/>
    </row>
    <row r="1100" spans="1:5" ht="15" customHeight="1">
      <c r="A1100" s="126"/>
      <c r="B1100" s="125"/>
      <c r="C1100" s="126"/>
      <c r="D1100" s="126"/>
      <c r="E1100" s="125"/>
    </row>
    <row r="1101" spans="1:5" ht="15" customHeight="1">
      <c r="A1101" s="126"/>
      <c r="B1101" s="125"/>
      <c r="C1101" s="126"/>
      <c r="D1101" s="126"/>
      <c r="E1101" s="125"/>
    </row>
    <row r="1102" spans="1:5" ht="15" customHeight="1">
      <c r="A1102" s="126"/>
      <c r="B1102" s="125"/>
      <c r="C1102" s="126"/>
      <c r="D1102" s="126"/>
      <c r="E1102" s="125"/>
    </row>
    <row r="1103" spans="1:5" ht="15" customHeight="1">
      <c r="A1103" s="126"/>
      <c r="B1103" s="125"/>
      <c r="C1103" s="126"/>
      <c r="D1103" s="126"/>
      <c r="E1103" s="125"/>
    </row>
    <row r="1104" spans="1:5" ht="15" customHeight="1">
      <c r="A1104" s="126"/>
      <c r="B1104" s="125"/>
      <c r="C1104" s="126"/>
      <c r="D1104" s="126"/>
      <c r="E1104" s="125"/>
    </row>
    <row r="1105" spans="1:5" ht="15" customHeight="1">
      <c r="A1105" s="126"/>
      <c r="B1105" s="125"/>
      <c r="C1105" s="126"/>
      <c r="D1105" s="126"/>
      <c r="E1105" s="125"/>
    </row>
    <row r="1106" spans="1:5" ht="15" customHeight="1">
      <c r="A1106" s="126"/>
      <c r="B1106" s="125"/>
      <c r="C1106" s="126"/>
      <c r="D1106" s="126"/>
      <c r="E1106" s="125"/>
    </row>
    <row r="1107" spans="1:5" ht="15" customHeight="1">
      <c r="A1107" s="126"/>
      <c r="B1107" s="125"/>
      <c r="C1107" s="126"/>
      <c r="D1107" s="126"/>
      <c r="E1107" s="125"/>
    </row>
    <row r="1108" spans="1:5" ht="15" customHeight="1">
      <c r="A1108" s="126"/>
      <c r="B1108" s="125"/>
      <c r="C1108" s="126"/>
      <c r="D1108" s="126"/>
      <c r="E1108" s="125"/>
    </row>
    <row r="1109" spans="1:5" ht="15" customHeight="1">
      <c r="A1109" s="126"/>
      <c r="B1109" s="125"/>
      <c r="C1109" s="126"/>
      <c r="D1109" s="126"/>
      <c r="E1109" s="125"/>
    </row>
    <row r="1110" spans="1:5" ht="15" customHeight="1">
      <c r="A1110" s="126"/>
      <c r="B1110" s="125"/>
      <c r="C1110" s="126"/>
      <c r="D1110" s="126"/>
      <c r="E1110" s="125"/>
    </row>
    <row r="1111" spans="1:5" ht="15" customHeight="1">
      <c r="A1111" s="126"/>
      <c r="B1111" s="125"/>
      <c r="C1111" s="126"/>
      <c r="D1111" s="126"/>
      <c r="E1111" s="125"/>
    </row>
    <row r="1112" spans="1:5" ht="15" customHeight="1">
      <c r="A1112" s="126"/>
      <c r="B1112" s="125"/>
      <c r="C1112" s="126"/>
      <c r="D1112" s="126"/>
      <c r="E1112" s="125"/>
    </row>
    <row r="1113" spans="1:5" ht="15" customHeight="1">
      <c r="A1113" s="126"/>
      <c r="B1113" s="125"/>
      <c r="C1113" s="126"/>
      <c r="D1113" s="126"/>
      <c r="E1113" s="125"/>
    </row>
    <row r="1114" spans="1:5" ht="15" customHeight="1">
      <c r="A1114" s="126"/>
      <c r="B1114" s="125"/>
      <c r="C1114" s="126"/>
      <c r="D1114" s="126"/>
      <c r="E1114" s="125"/>
    </row>
    <row r="1115" spans="1:5" ht="15" customHeight="1">
      <c r="A1115" s="126"/>
      <c r="B1115" s="125"/>
      <c r="C1115" s="126"/>
      <c r="D1115" s="126"/>
      <c r="E1115" s="125"/>
    </row>
    <row r="1116" spans="1:5" ht="15" customHeight="1">
      <c r="A1116" s="126"/>
      <c r="B1116" s="125"/>
      <c r="C1116" s="126"/>
      <c r="D1116" s="126"/>
      <c r="E1116" s="125"/>
    </row>
    <row r="1117" spans="1:5" ht="15" customHeight="1">
      <c r="A1117" s="126"/>
      <c r="B1117" s="125"/>
      <c r="C1117" s="126"/>
      <c r="D1117" s="126"/>
      <c r="E1117" s="125"/>
    </row>
    <row r="1118" spans="1:5" ht="15" customHeight="1">
      <c r="A1118" s="126"/>
      <c r="B1118" s="125"/>
      <c r="C1118" s="126"/>
      <c r="D1118" s="126"/>
      <c r="E1118" s="125"/>
    </row>
    <row r="1119" spans="1:5" ht="15" customHeight="1">
      <c r="A1119" s="126"/>
      <c r="B1119" s="125"/>
      <c r="C1119" s="126"/>
      <c r="D1119" s="126"/>
      <c r="E1119" s="125"/>
    </row>
    <row r="1120" spans="1:5" ht="15" customHeight="1">
      <c r="A1120" s="126"/>
      <c r="B1120" s="125"/>
      <c r="C1120" s="126"/>
      <c r="D1120" s="126"/>
      <c r="E1120" s="125"/>
    </row>
    <row r="1121" spans="1:5" ht="15" customHeight="1">
      <c r="A1121" s="126"/>
      <c r="B1121" s="125"/>
      <c r="C1121" s="126"/>
      <c r="D1121" s="126"/>
      <c r="E1121" s="125"/>
    </row>
    <row r="1122" spans="1:5" ht="15" customHeight="1">
      <c r="A1122" s="126"/>
      <c r="B1122" s="125"/>
      <c r="C1122" s="126"/>
      <c r="D1122" s="126"/>
      <c r="E1122" s="125"/>
    </row>
    <row r="1123" spans="1:5" ht="15" customHeight="1">
      <c r="A1123" s="126"/>
      <c r="B1123" s="125"/>
      <c r="C1123" s="126"/>
      <c r="D1123" s="126"/>
      <c r="E1123" s="125"/>
    </row>
    <row r="1124" spans="1:5" ht="15" customHeight="1">
      <c r="A1124" s="126"/>
      <c r="B1124" s="125"/>
      <c r="C1124" s="126"/>
      <c r="D1124" s="126"/>
      <c r="E1124" s="125"/>
    </row>
    <row r="1125" spans="1:5" ht="15" customHeight="1">
      <c r="A1125" s="126"/>
      <c r="B1125" s="125"/>
      <c r="C1125" s="126"/>
      <c r="D1125" s="126"/>
      <c r="E1125" s="125"/>
    </row>
    <row r="1126" spans="1:5" ht="15" customHeight="1">
      <c r="A1126" s="126"/>
      <c r="B1126" s="125"/>
      <c r="C1126" s="126"/>
      <c r="D1126" s="126"/>
      <c r="E1126" s="125"/>
    </row>
    <row r="1127" spans="1:5" ht="15" customHeight="1">
      <c r="A1127" s="126"/>
      <c r="B1127" s="125"/>
      <c r="C1127" s="126"/>
      <c r="D1127" s="126"/>
      <c r="E1127" s="125"/>
    </row>
    <row r="1128" spans="1:5" ht="15" customHeight="1">
      <c r="A1128" s="126"/>
      <c r="B1128" s="125"/>
      <c r="C1128" s="126"/>
      <c r="D1128" s="126"/>
      <c r="E1128" s="125"/>
    </row>
    <row r="1129" spans="1:5" ht="15" customHeight="1">
      <c r="A1129" s="126"/>
      <c r="B1129" s="125"/>
      <c r="C1129" s="126"/>
      <c r="D1129" s="126"/>
      <c r="E1129" s="125"/>
    </row>
    <row r="1130" spans="1:5" ht="15" customHeight="1">
      <c r="A1130" s="126"/>
      <c r="B1130" s="125"/>
      <c r="C1130" s="126"/>
      <c r="D1130" s="126"/>
      <c r="E1130" s="125"/>
    </row>
    <row r="1131" spans="1:5" ht="15" customHeight="1">
      <c r="A1131" s="126"/>
      <c r="B1131" s="125"/>
      <c r="C1131" s="126"/>
      <c r="D1131" s="126"/>
      <c r="E1131" s="125"/>
    </row>
    <row r="1132" spans="1:5" ht="15" customHeight="1">
      <c r="A1132" s="126"/>
      <c r="B1132" s="125"/>
      <c r="C1132" s="126"/>
      <c r="D1132" s="126"/>
      <c r="E1132" s="125"/>
    </row>
    <row r="1133" spans="1:5" ht="15" customHeight="1">
      <c r="A1133" s="126"/>
      <c r="B1133" s="125"/>
      <c r="C1133" s="126"/>
      <c r="D1133" s="126"/>
      <c r="E1133" s="125"/>
    </row>
    <row r="1134" spans="1:5" ht="15" customHeight="1">
      <c r="A1134" s="126"/>
      <c r="B1134" s="125"/>
      <c r="C1134" s="126"/>
      <c r="D1134" s="126"/>
      <c r="E1134" s="125"/>
    </row>
    <row r="1135" spans="1:5" ht="15" customHeight="1">
      <c r="A1135" s="126"/>
      <c r="B1135" s="125"/>
      <c r="C1135" s="126"/>
      <c r="D1135" s="126"/>
      <c r="E1135" s="125"/>
    </row>
    <row r="1136" spans="1:5" ht="15" customHeight="1">
      <c r="A1136" s="126"/>
      <c r="B1136" s="125"/>
      <c r="C1136" s="126"/>
      <c r="D1136" s="126"/>
      <c r="E1136" s="125"/>
    </row>
    <row r="1137" spans="1:5" ht="15" customHeight="1">
      <c r="A1137" s="126"/>
      <c r="B1137" s="125"/>
      <c r="C1137" s="126"/>
      <c r="D1137" s="126"/>
      <c r="E1137" s="125"/>
    </row>
    <row r="1138" spans="1:5" ht="15" customHeight="1">
      <c r="A1138" s="126"/>
      <c r="B1138" s="125"/>
      <c r="C1138" s="126"/>
      <c r="D1138" s="126"/>
      <c r="E1138" s="125"/>
    </row>
    <row r="1139" spans="1:5" ht="15" customHeight="1">
      <c r="A1139" s="126"/>
      <c r="B1139" s="125"/>
      <c r="C1139" s="126"/>
      <c r="D1139" s="126"/>
      <c r="E1139" s="125"/>
    </row>
    <row r="1140" spans="1:5" ht="15" customHeight="1">
      <c r="A1140" s="126"/>
      <c r="B1140" s="125"/>
      <c r="C1140" s="126"/>
      <c r="D1140" s="126"/>
      <c r="E1140" s="125"/>
    </row>
    <row r="1141" spans="1:5" ht="15" customHeight="1">
      <c r="A1141" s="126"/>
      <c r="B1141" s="125"/>
      <c r="C1141" s="126"/>
      <c r="D1141" s="126"/>
      <c r="E1141" s="125"/>
    </row>
    <row r="1142" spans="1:5" ht="15" customHeight="1">
      <c r="A1142" s="126"/>
      <c r="B1142" s="125"/>
      <c r="C1142" s="126"/>
      <c r="D1142" s="126"/>
      <c r="E1142" s="125"/>
    </row>
    <row r="1143" spans="1:5" ht="15" customHeight="1">
      <c r="A1143" s="126"/>
      <c r="B1143" s="125"/>
      <c r="C1143" s="126"/>
      <c r="D1143" s="126"/>
      <c r="E1143" s="125"/>
    </row>
    <row r="1144" spans="1:5" ht="15" customHeight="1">
      <c r="A1144" s="126"/>
      <c r="B1144" s="125"/>
      <c r="C1144" s="126"/>
      <c r="D1144" s="126"/>
      <c r="E1144" s="125"/>
    </row>
    <row r="1145" spans="1:5" ht="15" customHeight="1">
      <c r="A1145" s="126"/>
      <c r="B1145" s="125"/>
      <c r="C1145" s="126"/>
      <c r="D1145" s="126"/>
      <c r="E1145" s="125"/>
    </row>
    <row r="1146" spans="1:5" ht="15" customHeight="1">
      <c r="A1146" s="126"/>
      <c r="B1146" s="125"/>
      <c r="C1146" s="126"/>
      <c r="D1146" s="126"/>
      <c r="E1146" s="125"/>
    </row>
    <row r="1147" spans="1:5" ht="15" customHeight="1">
      <c r="A1147" s="126"/>
      <c r="B1147" s="125"/>
      <c r="C1147" s="126"/>
      <c r="D1147" s="126"/>
      <c r="E1147" s="125"/>
    </row>
    <row r="1148" spans="1:5" ht="15" customHeight="1">
      <c r="A1148" s="126"/>
      <c r="B1148" s="125"/>
      <c r="C1148" s="126"/>
      <c r="D1148" s="126"/>
      <c r="E1148" s="125"/>
    </row>
    <row r="1149" spans="1:5" ht="15" customHeight="1">
      <c r="A1149" s="126"/>
      <c r="B1149" s="125"/>
      <c r="C1149" s="126"/>
      <c r="D1149" s="126"/>
      <c r="E1149" s="125"/>
    </row>
    <row r="1150" spans="1:5" ht="15" customHeight="1">
      <c r="A1150" s="126"/>
      <c r="B1150" s="125"/>
      <c r="C1150" s="126"/>
      <c r="D1150" s="126"/>
      <c r="E1150" s="125"/>
    </row>
    <row r="1151" spans="1:5" ht="15" customHeight="1">
      <c r="A1151" s="126"/>
      <c r="B1151" s="125"/>
      <c r="C1151" s="126"/>
      <c r="D1151" s="126"/>
      <c r="E1151" s="125"/>
    </row>
    <row r="1152" spans="1:5" ht="15" customHeight="1">
      <c r="A1152" s="126"/>
      <c r="B1152" s="125"/>
      <c r="C1152" s="126"/>
      <c r="D1152" s="126"/>
      <c r="E1152" s="125"/>
    </row>
    <row r="1153" spans="1:5" ht="15" customHeight="1">
      <c r="A1153" s="126"/>
      <c r="B1153" s="125"/>
      <c r="C1153" s="126"/>
      <c r="D1153" s="126"/>
      <c r="E1153" s="125"/>
    </row>
    <row r="1154" spans="1:5" ht="15" customHeight="1">
      <c r="A1154" s="126"/>
      <c r="B1154" s="125"/>
      <c r="C1154" s="126"/>
      <c r="D1154" s="126"/>
      <c r="E1154" s="125"/>
    </row>
    <row r="1155" spans="1:5" ht="15" customHeight="1">
      <c r="A1155" s="126"/>
      <c r="B1155" s="125"/>
      <c r="C1155" s="126"/>
      <c r="D1155" s="126"/>
      <c r="E1155" s="125"/>
    </row>
    <row r="1156" spans="1:5" ht="15" customHeight="1">
      <c r="A1156" s="126"/>
      <c r="B1156" s="125"/>
      <c r="C1156" s="126"/>
      <c r="D1156" s="126"/>
      <c r="E1156" s="125"/>
    </row>
    <row r="1157" spans="1:5" ht="15" customHeight="1">
      <c r="A1157" s="126"/>
      <c r="B1157" s="125"/>
      <c r="C1157" s="126"/>
      <c r="D1157" s="126"/>
      <c r="E1157" s="125"/>
    </row>
    <row r="1158" spans="1:5" ht="15" customHeight="1">
      <c r="A1158" s="126"/>
      <c r="B1158" s="125"/>
      <c r="C1158" s="126"/>
      <c r="D1158" s="126"/>
      <c r="E1158" s="125"/>
    </row>
    <row r="1159" spans="1:5" ht="15" customHeight="1">
      <c r="A1159" s="126"/>
      <c r="B1159" s="125"/>
      <c r="C1159" s="126"/>
      <c r="D1159" s="126"/>
      <c r="E1159" s="125"/>
    </row>
    <row r="1160" spans="1:5" ht="15" customHeight="1">
      <c r="A1160" s="126"/>
      <c r="B1160" s="125"/>
      <c r="C1160" s="126"/>
      <c r="D1160" s="126"/>
      <c r="E1160" s="125"/>
    </row>
    <row r="1161" spans="1:5" ht="15" customHeight="1">
      <c r="A1161" s="126"/>
      <c r="B1161" s="125"/>
      <c r="C1161" s="126"/>
      <c r="D1161" s="126"/>
      <c r="E1161" s="125"/>
    </row>
    <row r="1162" spans="1:5" ht="15" customHeight="1">
      <c r="A1162" s="126"/>
      <c r="B1162" s="125"/>
      <c r="C1162" s="126"/>
      <c r="D1162" s="126"/>
      <c r="E1162" s="125"/>
    </row>
    <row r="1163" spans="1:5" ht="15" customHeight="1">
      <c r="A1163" s="126"/>
      <c r="B1163" s="125"/>
      <c r="C1163" s="126"/>
      <c r="D1163" s="126"/>
      <c r="E1163" s="125"/>
    </row>
    <row r="1164" spans="1:5" ht="15" customHeight="1">
      <c r="A1164" s="126"/>
      <c r="B1164" s="125"/>
      <c r="C1164" s="126"/>
      <c r="D1164" s="126"/>
      <c r="E1164" s="125"/>
    </row>
    <row r="1165" spans="1:5" ht="15" customHeight="1">
      <c r="A1165" s="126"/>
      <c r="B1165" s="125"/>
      <c r="C1165" s="126"/>
      <c r="D1165" s="126"/>
      <c r="E1165" s="125"/>
    </row>
    <row r="1166" spans="1:5" ht="15" customHeight="1">
      <c r="A1166" s="126"/>
      <c r="B1166" s="125"/>
      <c r="C1166" s="126"/>
      <c r="D1166" s="126"/>
      <c r="E1166" s="125"/>
    </row>
    <row r="1167" spans="1:5" ht="15" customHeight="1">
      <c r="A1167" s="126"/>
      <c r="B1167" s="125"/>
      <c r="C1167" s="126"/>
      <c r="D1167" s="126"/>
      <c r="E1167" s="125"/>
    </row>
    <row r="1168" spans="1:5" ht="15" customHeight="1">
      <c r="A1168" s="126"/>
      <c r="B1168" s="125"/>
      <c r="C1168" s="126"/>
      <c r="D1168" s="126"/>
      <c r="E1168" s="125"/>
    </row>
    <row r="1169" spans="1:5" ht="15" customHeight="1">
      <c r="A1169" s="126"/>
      <c r="B1169" s="125"/>
      <c r="C1169" s="126"/>
      <c r="D1169" s="126"/>
      <c r="E1169" s="125"/>
    </row>
    <row r="1170" spans="1:5" ht="15" customHeight="1">
      <c r="A1170" s="126"/>
      <c r="B1170" s="125"/>
      <c r="C1170" s="126"/>
      <c r="D1170" s="126"/>
      <c r="E1170" s="125"/>
    </row>
    <row r="1171" spans="1:5" ht="15" customHeight="1">
      <c r="A1171" s="126"/>
      <c r="B1171" s="125"/>
      <c r="C1171" s="126"/>
      <c r="D1171" s="126"/>
      <c r="E1171" s="125"/>
    </row>
    <row r="1172" spans="1:5" ht="15" customHeight="1">
      <c r="A1172" s="126"/>
      <c r="B1172" s="125"/>
      <c r="C1172" s="126"/>
      <c r="D1172" s="126"/>
      <c r="E1172" s="125"/>
    </row>
    <row r="1173" spans="1:5" ht="15" customHeight="1">
      <c r="A1173" s="126"/>
      <c r="B1173" s="125"/>
      <c r="C1173" s="126"/>
      <c r="D1173" s="126"/>
      <c r="E1173" s="125"/>
    </row>
    <row r="1174" spans="1:5" ht="15" customHeight="1">
      <c r="A1174" s="126"/>
      <c r="B1174" s="125"/>
      <c r="C1174" s="126"/>
      <c r="D1174" s="126"/>
      <c r="E1174" s="125"/>
    </row>
    <row r="1175" spans="1:5" ht="15" customHeight="1">
      <c r="A1175" s="126"/>
      <c r="B1175" s="125"/>
      <c r="C1175" s="126"/>
      <c r="D1175" s="126"/>
      <c r="E1175" s="125"/>
    </row>
    <row r="1176" spans="1:5" ht="15" customHeight="1">
      <c r="A1176" s="126"/>
      <c r="B1176" s="125"/>
      <c r="C1176" s="126"/>
      <c r="D1176" s="126"/>
      <c r="E1176" s="125"/>
    </row>
    <row r="1177" spans="1:5" ht="15" customHeight="1">
      <c r="A1177" s="126"/>
      <c r="B1177" s="125"/>
      <c r="C1177" s="126"/>
      <c r="D1177" s="126"/>
      <c r="E1177" s="125"/>
    </row>
    <row r="1178" spans="1:5" ht="15" customHeight="1">
      <c r="A1178" s="126"/>
      <c r="B1178" s="125"/>
      <c r="C1178" s="126"/>
      <c r="D1178" s="126"/>
      <c r="E1178" s="125"/>
    </row>
    <row r="1179" spans="1:5" ht="15" customHeight="1">
      <c r="A1179" s="126"/>
      <c r="B1179" s="125"/>
      <c r="C1179" s="126"/>
      <c r="D1179" s="126"/>
      <c r="E1179" s="125"/>
    </row>
    <row r="1180" spans="1:5" ht="15" customHeight="1">
      <c r="A1180" s="126"/>
      <c r="B1180" s="125"/>
      <c r="C1180" s="126"/>
      <c r="D1180" s="126"/>
      <c r="E1180" s="125"/>
    </row>
    <row r="1181" spans="1:5" ht="15" customHeight="1">
      <c r="A1181" s="126"/>
      <c r="B1181" s="125"/>
      <c r="C1181" s="126"/>
      <c r="D1181" s="126"/>
      <c r="E1181" s="125"/>
    </row>
    <row r="1182" spans="1:5" ht="15" customHeight="1">
      <c r="A1182" s="126"/>
      <c r="B1182" s="125"/>
      <c r="C1182" s="126"/>
      <c r="D1182" s="126"/>
      <c r="E1182" s="125"/>
    </row>
    <row r="1183" spans="1:5" ht="15" customHeight="1">
      <c r="A1183" s="126"/>
      <c r="B1183" s="125"/>
      <c r="C1183" s="126"/>
      <c r="D1183" s="126"/>
      <c r="E1183" s="125"/>
    </row>
    <row r="1184" spans="1:5" ht="15" customHeight="1">
      <c r="A1184" s="126"/>
      <c r="B1184" s="125"/>
      <c r="C1184" s="126"/>
      <c r="D1184" s="126"/>
      <c r="E1184" s="125"/>
    </row>
    <row r="1185" spans="1:5" ht="15" customHeight="1">
      <c r="A1185" s="126"/>
      <c r="B1185" s="125"/>
      <c r="C1185" s="126"/>
      <c r="D1185" s="126"/>
      <c r="E1185" s="125"/>
    </row>
    <row r="1186" spans="1:5" ht="15" customHeight="1">
      <c r="A1186" s="126"/>
      <c r="B1186" s="125"/>
      <c r="C1186" s="126"/>
      <c r="D1186" s="126"/>
      <c r="E1186" s="125"/>
    </row>
    <row r="1187" spans="1:5" ht="15" customHeight="1">
      <c r="A1187" s="126"/>
      <c r="B1187" s="125"/>
      <c r="C1187" s="126"/>
      <c r="D1187" s="126"/>
      <c r="E1187" s="125"/>
    </row>
    <row r="1188" spans="1:5" ht="15" customHeight="1">
      <c r="A1188" s="126"/>
      <c r="B1188" s="125"/>
      <c r="C1188" s="126"/>
      <c r="D1188" s="126"/>
      <c r="E1188" s="125"/>
    </row>
    <row r="1189" spans="1:5" ht="15" customHeight="1">
      <c r="A1189" s="126"/>
      <c r="B1189" s="125"/>
      <c r="C1189" s="126"/>
      <c r="D1189" s="126"/>
      <c r="E1189" s="125"/>
    </row>
    <row r="1190" spans="1:5" ht="15" customHeight="1">
      <c r="A1190" s="126"/>
      <c r="B1190" s="125"/>
      <c r="C1190" s="126"/>
      <c r="D1190" s="126"/>
      <c r="E1190" s="125"/>
    </row>
    <row r="1191" spans="1:5" ht="15" customHeight="1">
      <c r="A1191" s="126"/>
      <c r="B1191" s="125"/>
      <c r="C1191" s="126"/>
      <c r="D1191" s="126"/>
      <c r="E1191" s="125"/>
    </row>
    <row r="1192" spans="1:5" ht="15" customHeight="1">
      <c r="A1192" s="126"/>
      <c r="B1192" s="125"/>
      <c r="C1192" s="126"/>
      <c r="D1192" s="126"/>
      <c r="E1192" s="125"/>
    </row>
    <row r="1193" spans="1:5" ht="15" customHeight="1">
      <c r="A1193" s="126"/>
      <c r="B1193" s="125"/>
      <c r="C1193" s="126"/>
      <c r="D1193" s="126"/>
      <c r="E1193" s="125"/>
    </row>
    <row r="1194" spans="1:5" ht="15" customHeight="1">
      <c r="A1194" s="126"/>
      <c r="B1194" s="125"/>
      <c r="C1194" s="126"/>
      <c r="D1194" s="126"/>
      <c r="E1194" s="125"/>
    </row>
    <row r="1195" spans="1:5" ht="15" customHeight="1">
      <c r="A1195" s="126"/>
      <c r="B1195" s="125"/>
      <c r="C1195" s="126"/>
      <c r="D1195" s="126"/>
      <c r="E1195" s="125"/>
    </row>
    <row r="1196" spans="1:5" ht="15" customHeight="1">
      <c r="A1196" s="126"/>
      <c r="B1196" s="125"/>
      <c r="C1196" s="126"/>
      <c r="D1196" s="126"/>
      <c r="E1196" s="125"/>
    </row>
    <row r="1197" spans="1:5" ht="15" customHeight="1">
      <c r="A1197" s="126"/>
      <c r="B1197" s="125"/>
      <c r="C1197" s="126"/>
      <c r="D1197" s="126"/>
      <c r="E1197" s="125"/>
    </row>
    <row r="1198" spans="1:5" ht="15" customHeight="1">
      <c r="A1198" s="126"/>
      <c r="B1198" s="125"/>
      <c r="C1198" s="126"/>
      <c r="D1198" s="126"/>
      <c r="E1198" s="125"/>
    </row>
    <row r="1199" spans="1:5" ht="15" customHeight="1">
      <c r="A1199" s="126"/>
      <c r="B1199" s="125"/>
      <c r="C1199" s="126"/>
      <c r="D1199" s="126"/>
      <c r="E1199" s="125"/>
    </row>
    <row r="1200" spans="1:5" ht="15" customHeight="1">
      <c r="A1200" s="126"/>
      <c r="B1200" s="125"/>
      <c r="C1200" s="126"/>
      <c r="D1200" s="126"/>
      <c r="E1200" s="125"/>
    </row>
    <row r="1201" spans="1:5" ht="15" customHeight="1">
      <c r="A1201" s="126"/>
      <c r="B1201" s="125"/>
      <c r="C1201" s="126"/>
      <c r="D1201" s="126"/>
      <c r="E1201" s="125"/>
    </row>
    <row r="1202" spans="1:5" ht="15" customHeight="1">
      <c r="A1202" s="126"/>
      <c r="B1202" s="125"/>
      <c r="C1202" s="126"/>
      <c r="D1202" s="126"/>
      <c r="E1202" s="125"/>
    </row>
    <row r="1203" spans="1:5" ht="15" customHeight="1">
      <c r="A1203" s="126"/>
      <c r="B1203" s="125"/>
      <c r="C1203" s="126"/>
      <c r="D1203" s="126"/>
      <c r="E1203" s="125"/>
    </row>
    <row r="1204" spans="1:5" ht="15" customHeight="1">
      <c r="A1204" s="126"/>
      <c r="B1204" s="125"/>
      <c r="C1204" s="126"/>
      <c r="D1204" s="126"/>
      <c r="E1204" s="125"/>
    </row>
  </sheetData>
  <mergeCells count="1">
    <mergeCell ref="G21:I21"/>
  </mergeCells>
  <conditionalFormatting sqref="A418:A468">
    <cfRule type="expression" dxfId="21" priority="1">
      <formula>X2="Aguardando"</formula>
    </cfRule>
    <cfRule type="expression" dxfId="20" priority="2">
      <formula>X2="Transferido"</formula>
    </cfRule>
  </conditionalFormatting>
  <conditionalFormatting sqref="C1:C543">
    <cfRule type="cellIs" dxfId="19" priority="11" operator="lessThanOrEqual">
      <formula>0</formula>
    </cfRule>
  </conditionalFormatting>
  <conditionalFormatting sqref="D2:D543">
    <cfRule type="cellIs" dxfId="18" priority="12" operator="greaterThan">
      <formula>0</formula>
    </cfRule>
  </conditionalFormatting>
  <conditionalFormatting sqref="F2:F262">
    <cfRule type="expression" dxfId="17" priority="13">
      <formula>F2="Loja"</formula>
    </cfRule>
    <cfRule type="expression" dxfId="16" priority="14">
      <formula>F2="Leo"</formula>
    </cfRule>
  </conditionalFormatting>
  <conditionalFormatting sqref="A1:A543">
    <cfRule type="expression" dxfId="2" priority="440">
      <formula>C1=0</formula>
    </cfRule>
    <cfRule type="expression" dxfId="1" priority="441" stopIfTrue="1">
      <formula>#REF!="loja"</formula>
    </cfRule>
    <cfRule type="expression" dxfId="0" priority="442">
      <formula>#REF!="Leo"</formula>
    </cfRule>
  </conditionalFormatting>
  <pageMargins left="0.25" right="0.25" top="0.75" bottom="0.75" header="0.3" footer="0.3"/>
  <pageSetup paperSize="9" scale="71" fitToHeight="0" orientation="portrait" useFirstPageNumber="1"/>
  <headerFooter>
    <oddHeader>&amp;L&amp;C&amp;R</oddHeader>
    <oddFooter>&amp;L&amp;C&amp;R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84356-6F4F-F356-C314-2CB0D2731E68}">
  <sheetPr>
    <pageSetUpPr fitToPage="1"/>
  </sheetPr>
  <dimension ref="A1:Y50"/>
  <sheetViews>
    <sheetView zoomScale="85" workbookViewId="0">
      <selection activeCell="O35" sqref="O35"/>
    </sheetView>
  </sheetViews>
  <sheetFormatPr defaultColWidth="9.140625" defaultRowHeight="15" customHeight="1"/>
  <cols>
    <col min="1" max="1" width="3" customWidth="1"/>
    <col min="2" max="2" width="11.28515625" customWidth="1"/>
    <col min="3" max="3" width="7" customWidth="1"/>
    <col min="4" max="4" width="10.7109375" customWidth="1"/>
    <col min="5" max="5" width="9.42578125" customWidth="1"/>
    <col min="6" max="6" width="10.85546875" bestFit="1" customWidth="1"/>
    <col min="7" max="7" width="8.28515625" bestFit="1" customWidth="1"/>
    <col min="9" max="9" width="10.5703125" customWidth="1"/>
    <col min="10" max="10" width="12.140625" customWidth="1"/>
    <col min="11" max="11" width="12.28515625" bestFit="1" customWidth="1"/>
    <col min="12" max="13" width="4.28515625" customWidth="1"/>
    <col min="14" max="14" width="5.5703125" customWidth="1"/>
    <col min="15" max="15" width="11.28515625" customWidth="1"/>
    <col min="18" max="18" width="9.42578125" bestFit="1" customWidth="1"/>
    <col min="19" max="19" width="10.85546875" bestFit="1" customWidth="1"/>
    <col min="23" max="24" width="12.28515625" bestFit="1" customWidth="1"/>
  </cols>
  <sheetData>
    <row r="1" spans="1:25" ht="15" customHeight="1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5"/>
      <c r="M1" s="146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7"/>
    </row>
    <row r="2" spans="1:25" ht="15" customHeight="1">
      <c r="A2" s="148"/>
      <c r="B2" s="149"/>
      <c r="C2" s="149"/>
      <c r="D2" s="149"/>
      <c r="E2" s="149"/>
      <c r="F2" s="149"/>
      <c r="G2" s="149"/>
      <c r="H2" s="149"/>
      <c r="I2" s="149"/>
      <c r="J2" s="149"/>
      <c r="K2" s="150"/>
      <c r="L2" s="151"/>
      <c r="M2" s="151"/>
      <c r="N2" s="148"/>
      <c r="O2" s="149"/>
      <c r="P2" s="149"/>
      <c r="Q2" s="149"/>
      <c r="R2" s="149"/>
      <c r="S2" s="149"/>
      <c r="T2" s="149"/>
      <c r="U2" s="149"/>
      <c r="V2" s="149"/>
      <c r="W2" s="149"/>
      <c r="X2" s="150"/>
      <c r="Y2" s="151"/>
    </row>
    <row r="3" spans="1:25" ht="46.5">
      <c r="A3" s="152"/>
      <c r="B3" s="307" t="s">
        <v>1352</v>
      </c>
      <c r="C3" s="307"/>
      <c r="D3" s="307"/>
      <c r="E3" s="307"/>
      <c r="F3" s="153"/>
      <c r="G3" s="154" t="s">
        <v>1353</v>
      </c>
      <c r="H3" s="308">
        <v>385</v>
      </c>
      <c r="I3" s="308"/>
      <c r="J3" s="153"/>
      <c r="K3" s="155"/>
      <c r="L3" s="151"/>
      <c r="M3" s="151"/>
      <c r="N3" s="152"/>
      <c r="O3" s="307" t="s">
        <v>1352</v>
      </c>
      <c r="P3" s="307"/>
      <c r="Q3" s="307"/>
      <c r="R3" s="307"/>
      <c r="S3" s="153"/>
      <c r="T3" s="154" t="s">
        <v>1353</v>
      </c>
      <c r="U3" s="308">
        <f>H3</f>
        <v>385</v>
      </c>
      <c r="V3" s="308"/>
      <c r="W3" s="153"/>
      <c r="X3" s="155"/>
      <c r="Y3" s="151"/>
    </row>
    <row r="4" spans="1:25" ht="15" customHeight="1">
      <c r="A4" s="152"/>
      <c r="B4" s="153"/>
      <c r="C4" s="153"/>
      <c r="D4" s="153"/>
      <c r="E4" s="153"/>
      <c r="F4" s="153"/>
      <c r="G4" s="154"/>
      <c r="H4" s="156"/>
      <c r="I4" s="156"/>
      <c r="J4" s="156"/>
      <c r="K4" s="155"/>
      <c r="L4" s="151"/>
      <c r="M4" s="151"/>
      <c r="N4" s="152"/>
      <c r="O4" s="153"/>
      <c r="P4" s="153"/>
      <c r="Q4" s="153"/>
      <c r="R4" s="153"/>
      <c r="S4" s="153"/>
      <c r="T4" s="154"/>
      <c r="U4" s="156"/>
      <c r="V4" s="156"/>
      <c r="W4" s="156"/>
      <c r="X4" s="155"/>
      <c r="Y4" s="151"/>
    </row>
    <row r="5" spans="1:25" ht="15" customHeight="1">
      <c r="A5" s="152"/>
      <c r="B5" s="153" t="s">
        <v>1354</v>
      </c>
      <c r="C5" s="312" t="s">
        <v>1355</v>
      </c>
      <c r="D5" s="312"/>
      <c r="E5" s="312"/>
      <c r="F5" s="153"/>
      <c r="G5" s="309" t="s">
        <v>1</v>
      </c>
      <c r="H5" s="310">
        <f t="shared" ref="H5:U5" ca="1" si="0">TODAY()</f>
        <v>46216</v>
      </c>
      <c r="I5" s="310"/>
      <c r="J5" s="153"/>
      <c r="K5" s="155"/>
      <c r="L5" s="151"/>
      <c r="M5" s="151"/>
      <c r="N5" s="152"/>
      <c r="O5" s="153" t="s">
        <v>1354</v>
      </c>
      <c r="P5" s="312" t="s">
        <v>1355</v>
      </c>
      <c r="Q5" s="312"/>
      <c r="R5" s="312"/>
      <c r="S5" s="153"/>
      <c r="T5" s="309" t="s">
        <v>1</v>
      </c>
      <c r="U5" s="310">
        <f t="shared" ca="1" si="0"/>
        <v>46216</v>
      </c>
      <c r="V5" s="310"/>
      <c r="W5" s="153"/>
      <c r="X5" s="155"/>
      <c r="Y5" s="151"/>
    </row>
    <row r="6" spans="1:25" ht="15" customHeight="1">
      <c r="A6" s="152"/>
      <c r="B6" s="153" t="s">
        <v>1356</v>
      </c>
      <c r="C6" s="313" t="s">
        <v>1357</v>
      </c>
      <c r="D6" s="313"/>
      <c r="E6" s="313"/>
      <c r="F6" s="153"/>
      <c r="G6" s="309"/>
      <c r="H6" s="310"/>
      <c r="I6" s="310"/>
      <c r="J6" s="153"/>
      <c r="K6" s="155"/>
      <c r="L6" s="151"/>
      <c r="M6" s="151"/>
      <c r="N6" s="152"/>
      <c r="O6" s="153" t="s">
        <v>1356</v>
      </c>
      <c r="P6" s="313" t="s">
        <v>1357</v>
      </c>
      <c r="Q6" s="313"/>
      <c r="R6" s="313"/>
      <c r="S6" s="153"/>
      <c r="T6" s="309"/>
      <c r="U6" s="310"/>
      <c r="V6" s="310"/>
      <c r="W6" s="153"/>
      <c r="X6" s="155"/>
      <c r="Y6" s="151"/>
    </row>
    <row r="7" spans="1:25" ht="15" customHeight="1">
      <c r="A7" s="158"/>
      <c r="B7" s="159"/>
      <c r="C7" s="159"/>
      <c r="D7" s="159"/>
      <c r="E7" s="159"/>
      <c r="F7" s="159"/>
      <c r="G7" s="159"/>
      <c r="H7" s="159"/>
      <c r="I7" s="159"/>
      <c r="J7" s="159"/>
      <c r="K7" s="160"/>
      <c r="L7" s="151"/>
      <c r="M7" s="151"/>
      <c r="N7" s="158"/>
      <c r="O7" s="159"/>
      <c r="P7" s="159"/>
      <c r="Q7" s="159"/>
      <c r="R7" s="159"/>
      <c r="S7" s="159"/>
      <c r="T7" s="159"/>
      <c r="U7" s="159"/>
      <c r="V7" s="159"/>
      <c r="W7" s="159"/>
      <c r="X7" s="160"/>
      <c r="Y7" s="151"/>
    </row>
    <row r="8" spans="1:25" ht="15" customHeight="1">
      <c r="A8" s="153"/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1"/>
      <c r="M8" s="151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1"/>
    </row>
    <row r="9" spans="1:25" ht="21" customHeight="1">
      <c r="A9" s="153"/>
      <c r="B9" s="311" t="s">
        <v>1358</v>
      </c>
      <c r="C9" s="311"/>
      <c r="D9" s="311"/>
      <c r="E9" s="311"/>
      <c r="F9" s="311"/>
      <c r="G9" s="311"/>
      <c r="H9" s="311"/>
      <c r="I9" s="311"/>
      <c r="J9" s="311"/>
      <c r="K9" s="311"/>
      <c r="L9" s="151"/>
      <c r="M9" s="151"/>
      <c r="N9" s="153"/>
      <c r="O9" s="311" t="s">
        <v>1358</v>
      </c>
      <c r="P9" s="311"/>
      <c r="Q9" s="311"/>
      <c r="R9" s="311"/>
      <c r="S9" s="311"/>
      <c r="T9" s="311"/>
      <c r="U9" s="311"/>
      <c r="V9" s="311"/>
      <c r="W9" s="311"/>
      <c r="X9" s="311"/>
      <c r="Y9" s="151"/>
    </row>
    <row r="10" spans="1:25" ht="15" customHeight="1">
      <c r="A10" s="153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1"/>
      <c r="M10" s="151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1"/>
    </row>
    <row r="11" spans="1:25" ht="15.75" customHeight="1">
      <c r="A11" s="153"/>
      <c r="B11" s="154" t="s">
        <v>1359</v>
      </c>
      <c r="C11" s="291"/>
      <c r="D11" s="291"/>
      <c r="E11" s="291"/>
      <c r="F11" s="291"/>
      <c r="G11" s="291"/>
      <c r="H11" s="291"/>
      <c r="I11" s="291"/>
      <c r="J11" s="291"/>
      <c r="K11" s="291"/>
      <c r="L11" s="151"/>
      <c r="M11" s="151"/>
      <c r="N11" s="153"/>
      <c r="O11" s="154" t="s">
        <v>1359</v>
      </c>
      <c r="P11" s="289">
        <f t="shared" ref="P11:V15" si="1">C11</f>
        <v>0</v>
      </c>
      <c r="Q11" s="289"/>
      <c r="R11" s="289"/>
      <c r="S11" s="289"/>
      <c r="T11" s="289"/>
      <c r="U11" s="289"/>
      <c r="V11" s="289"/>
      <c r="W11" s="289"/>
      <c r="X11" s="289"/>
      <c r="Y11" s="151"/>
    </row>
    <row r="12" spans="1:25" ht="15.75" customHeight="1">
      <c r="A12" s="153"/>
      <c r="B12" s="154" t="s">
        <v>1360</v>
      </c>
      <c r="C12" s="290" t="s">
        <v>2274</v>
      </c>
      <c r="D12" s="290"/>
      <c r="E12" s="290"/>
      <c r="F12" s="290"/>
      <c r="G12" s="290"/>
      <c r="H12" s="290"/>
      <c r="I12" s="290"/>
      <c r="J12" s="290"/>
      <c r="K12" s="290"/>
      <c r="L12" s="151"/>
      <c r="M12" s="151"/>
      <c r="N12" s="153"/>
      <c r="O12" s="154" t="s">
        <v>1360</v>
      </c>
      <c r="P12" s="290" t="str">
        <f t="shared" si="1"/>
        <v>61 9368-7737</v>
      </c>
      <c r="Q12" s="290"/>
      <c r="R12" s="290"/>
      <c r="S12" s="290"/>
      <c r="T12" s="290"/>
      <c r="U12" s="290"/>
      <c r="V12" s="290"/>
      <c r="W12" s="290"/>
      <c r="X12" s="290"/>
      <c r="Y12" s="151"/>
    </row>
    <row r="13" spans="1:25" ht="15.75" customHeight="1">
      <c r="A13" s="153"/>
      <c r="B13" s="154" t="s">
        <v>1361</v>
      </c>
      <c r="C13" s="290"/>
      <c r="D13" s="290"/>
      <c r="E13" s="290"/>
      <c r="F13" s="290"/>
      <c r="G13" s="290"/>
      <c r="H13" s="290"/>
      <c r="I13" s="290"/>
      <c r="J13" s="290"/>
      <c r="K13" s="290"/>
      <c r="L13" s="151"/>
      <c r="M13" s="151"/>
      <c r="N13" s="153"/>
      <c r="O13" s="154" t="s">
        <v>1361</v>
      </c>
      <c r="P13" s="290">
        <f t="shared" si="1"/>
        <v>0</v>
      </c>
      <c r="Q13" s="290"/>
      <c r="R13" s="290"/>
      <c r="S13" s="290"/>
      <c r="T13" s="290"/>
      <c r="U13" s="290"/>
      <c r="V13" s="290"/>
      <c r="W13" s="290"/>
      <c r="X13" s="290"/>
      <c r="Y13" s="151"/>
    </row>
    <row r="14" spans="1:25" ht="15.75" customHeight="1">
      <c r="A14" s="153"/>
      <c r="B14" s="154" t="s">
        <v>1362</v>
      </c>
      <c r="C14" s="291"/>
      <c r="D14" s="291"/>
      <c r="E14" s="291"/>
      <c r="F14" s="291"/>
      <c r="G14" s="291"/>
      <c r="H14" s="291"/>
      <c r="I14" s="291"/>
      <c r="J14" s="291"/>
      <c r="K14" s="291"/>
      <c r="L14" s="151"/>
      <c r="M14" s="151"/>
      <c r="N14" s="153"/>
      <c r="O14" s="154" t="s">
        <v>1362</v>
      </c>
      <c r="P14" s="291">
        <f t="shared" si="1"/>
        <v>0</v>
      </c>
      <c r="Q14" s="291"/>
      <c r="R14" s="291"/>
      <c r="S14" s="291"/>
      <c r="T14" s="291"/>
      <c r="U14" s="291"/>
      <c r="V14" s="291"/>
      <c r="W14" s="291"/>
      <c r="X14" s="291"/>
      <c r="Y14" s="151"/>
    </row>
    <row r="15" spans="1:25" ht="15.75" customHeight="1">
      <c r="A15" s="153"/>
      <c r="B15" s="154" t="s">
        <v>1363</v>
      </c>
      <c r="C15" s="290" t="s">
        <v>2275</v>
      </c>
      <c r="D15" s="290"/>
      <c r="E15" s="157" t="s">
        <v>1364</v>
      </c>
      <c r="F15" s="290"/>
      <c r="G15" s="290"/>
      <c r="H15" s="157" t="s">
        <v>1365</v>
      </c>
      <c r="I15" s="290" t="s">
        <v>1366</v>
      </c>
      <c r="J15" s="290"/>
      <c r="K15" s="290"/>
      <c r="L15" s="151"/>
      <c r="M15" s="151"/>
      <c r="N15" s="153"/>
      <c r="O15" s="154" t="s">
        <v>1363</v>
      </c>
      <c r="P15" s="290" t="str">
        <f t="shared" si="1"/>
        <v>Brasília</v>
      </c>
      <c r="Q15" s="290"/>
      <c r="R15" s="157" t="s">
        <v>1364</v>
      </c>
      <c r="S15" s="290">
        <f t="shared" si="1"/>
        <v>0</v>
      </c>
      <c r="T15" s="290"/>
      <c r="U15" s="157" t="s">
        <v>1365</v>
      </c>
      <c r="V15" s="290" t="str">
        <f t="shared" si="1"/>
        <v>Leonardo Coutinho</v>
      </c>
      <c r="W15" s="290"/>
      <c r="X15" s="290"/>
      <c r="Y15" s="151"/>
    </row>
    <row r="16" spans="1:25" ht="15" customHeight="1">
      <c r="A16" s="153"/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1"/>
      <c r="M16" s="151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1"/>
    </row>
    <row r="17" spans="1:25" ht="15" customHeight="1">
      <c r="A17" s="153"/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1"/>
      <c r="M17" s="151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1"/>
    </row>
    <row r="18" spans="1:25" ht="15" customHeight="1">
      <c r="A18" s="153"/>
      <c r="B18" s="161" t="s">
        <v>1367</v>
      </c>
      <c r="C18" s="304" t="s">
        <v>1368</v>
      </c>
      <c r="D18" s="305"/>
      <c r="E18" s="305"/>
      <c r="F18" s="305"/>
      <c r="G18" s="305"/>
      <c r="H18" s="305"/>
      <c r="I18" s="306"/>
      <c r="J18" s="161" t="s">
        <v>1369</v>
      </c>
      <c r="K18" s="161" t="s">
        <v>1108</v>
      </c>
      <c r="L18" s="151"/>
      <c r="M18" s="151"/>
      <c r="N18" s="153"/>
      <c r="O18" s="161" t="s">
        <v>1367</v>
      </c>
      <c r="P18" s="304" t="s">
        <v>1368</v>
      </c>
      <c r="Q18" s="305"/>
      <c r="R18" s="305"/>
      <c r="S18" s="305"/>
      <c r="T18" s="305"/>
      <c r="U18" s="305"/>
      <c r="V18" s="306"/>
      <c r="W18" s="161" t="s">
        <v>1369</v>
      </c>
      <c r="X18" s="161" t="s">
        <v>1108</v>
      </c>
      <c r="Y18" s="151"/>
    </row>
    <row r="19" spans="1:25" ht="15" customHeight="1">
      <c r="A19" s="153"/>
      <c r="B19" s="162">
        <v>1</v>
      </c>
      <c r="C19" s="284" t="s">
        <v>223</v>
      </c>
      <c r="D19" s="284"/>
      <c r="E19" s="284"/>
      <c r="F19" s="284"/>
      <c r="G19" s="284"/>
      <c r="H19" s="284"/>
      <c r="I19" s="284"/>
      <c r="J19" s="163">
        <v>70</v>
      </c>
      <c r="K19" s="164">
        <f>J19*B19</f>
        <v>70</v>
      </c>
      <c r="L19" s="151"/>
      <c r="M19" s="151"/>
      <c r="N19" s="153"/>
      <c r="O19" s="162">
        <f t="shared" ref="O19:W47" si="2">B19</f>
        <v>1</v>
      </c>
      <c r="P19" s="284" t="str">
        <f t="shared" si="2"/>
        <v>Formatação</v>
      </c>
      <c r="Q19" s="284"/>
      <c r="R19" s="284"/>
      <c r="S19" s="284"/>
      <c r="T19" s="284"/>
      <c r="U19" s="284"/>
      <c r="V19" s="284"/>
      <c r="W19" s="163">
        <f>J19</f>
        <v>70</v>
      </c>
      <c r="X19" s="165">
        <f>K19</f>
        <v>70</v>
      </c>
      <c r="Y19" s="151"/>
    </row>
    <row r="20" spans="1:25" ht="15" customHeight="1">
      <c r="A20" s="153"/>
      <c r="B20" s="162"/>
      <c r="C20" s="284"/>
      <c r="D20" s="284"/>
      <c r="E20" s="284"/>
      <c r="F20" s="284"/>
      <c r="G20" s="284"/>
      <c r="H20" s="284"/>
      <c r="I20" s="284"/>
      <c r="K20" s="164">
        <f t="shared" ref="K20:K33" si="3">J20*B20</f>
        <v>0</v>
      </c>
      <c r="L20" s="151"/>
      <c r="M20" s="151"/>
      <c r="N20" s="153"/>
      <c r="O20" s="162">
        <f t="shared" si="2"/>
        <v>0</v>
      </c>
      <c r="P20" s="284">
        <f t="shared" si="2"/>
        <v>0</v>
      </c>
      <c r="Q20" s="284"/>
      <c r="R20" s="284"/>
      <c r="S20" s="284"/>
      <c r="T20" s="284"/>
      <c r="U20" s="284"/>
      <c r="V20" s="284"/>
      <c r="W20" s="163">
        <f t="shared" ref="W20:W32" si="4">J20</f>
        <v>0</v>
      </c>
      <c r="X20" s="165">
        <f t="shared" ref="X20:X32" si="5">K20</f>
        <v>0</v>
      </c>
      <c r="Y20" s="151"/>
    </row>
    <row r="21" spans="1:25" ht="15" customHeight="1">
      <c r="A21" s="153"/>
      <c r="B21" s="162"/>
      <c r="C21" s="284"/>
      <c r="D21" s="284"/>
      <c r="E21" s="284"/>
      <c r="F21" s="284"/>
      <c r="G21" s="284"/>
      <c r="H21" s="284"/>
      <c r="I21" s="284"/>
      <c r="J21" s="163"/>
      <c r="K21" s="164">
        <f t="shared" si="3"/>
        <v>0</v>
      </c>
      <c r="L21" s="151"/>
      <c r="M21" s="151"/>
      <c r="N21" s="153"/>
      <c r="O21" s="162">
        <f t="shared" si="2"/>
        <v>0</v>
      </c>
      <c r="P21" s="284">
        <f t="shared" si="2"/>
        <v>0</v>
      </c>
      <c r="Q21" s="284"/>
      <c r="R21" s="284"/>
      <c r="S21" s="284"/>
      <c r="T21" s="284"/>
      <c r="U21" s="284"/>
      <c r="V21" s="284"/>
      <c r="W21" s="163">
        <f t="shared" si="4"/>
        <v>0</v>
      </c>
      <c r="X21" s="165">
        <f t="shared" si="5"/>
        <v>0</v>
      </c>
      <c r="Y21" s="151"/>
    </row>
    <row r="22" spans="1:25" ht="15" customHeight="1">
      <c r="A22" s="153"/>
      <c r="B22" s="162"/>
      <c r="C22" s="284"/>
      <c r="D22" s="284"/>
      <c r="E22" s="284"/>
      <c r="F22" s="284"/>
      <c r="G22" s="284"/>
      <c r="H22" s="284"/>
      <c r="I22" s="284"/>
      <c r="J22" s="163"/>
      <c r="K22" s="164">
        <f t="shared" si="3"/>
        <v>0</v>
      </c>
      <c r="L22" s="151"/>
      <c r="M22" s="151"/>
      <c r="N22" s="153"/>
      <c r="O22" s="162">
        <f t="shared" si="2"/>
        <v>0</v>
      </c>
      <c r="P22" s="284">
        <f t="shared" si="2"/>
        <v>0</v>
      </c>
      <c r="Q22" s="284"/>
      <c r="R22" s="284"/>
      <c r="S22" s="284"/>
      <c r="T22" s="284"/>
      <c r="U22" s="284"/>
      <c r="V22" s="284"/>
      <c r="W22" s="163">
        <f t="shared" si="4"/>
        <v>0</v>
      </c>
      <c r="X22" s="165">
        <f t="shared" si="5"/>
        <v>0</v>
      </c>
      <c r="Y22" s="151"/>
    </row>
    <row r="23" spans="1:25" ht="15" customHeight="1">
      <c r="A23" s="153"/>
      <c r="B23" s="166"/>
      <c r="C23" s="314"/>
      <c r="D23" s="314"/>
      <c r="E23" s="314"/>
      <c r="F23" s="314"/>
      <c r="G23" s="314"/>
      <c r="H23" s="314"/>
      <c r="I23" s="314"/>
      <c r="J23" s="167"/>
      <c r="K23" s="164">
        <f t="shared" si="3"/>
        <v>0</v>
      </c>
      <c r="L23" s="151"/>
      <c r="M23" s="151"/>
      <c r="N23" s="153"/>
      <c r="O23" s="162">
        <f t="shared" si="2"/>
        <v>0</v>
      </c>
      <c r="P23" s="284">
        <f t="shared" si="2"/>
        <v>0</v>
      </c>
      <c r="Q23" s="284"/>
      <c r="R23" s="284"/>
      <c r="S23" s="284"/>
      <c r="T23" s="284"/>
      <c r="U23" s="284"/>
      <c r="V23" s="284"/>
      <c r="W23" s="163">
        <f t="shared" si="4"/>
        <v>0</v>
      </c>
      <c r="X23" s="165">
        <f t="shared" si="5"/>
        <v>0</v>
      </c>
      <c r="Y23" s="151"/>
    </row>
    <row r="24" spans="1:25" ht="15" customHeight="1">
      <c r="A24" s="153"/>
      <c r="B24" s="162"/>
      <c r="C24" s="284"/>
      <c r="D24" s="284"/>
      <c r="E24" s="284"/>
      <c r="F24" s="284"/>
      <c r="G24" s="284"/>
      <c r="H24" s="284"/>
      <c r="I24" s="284"/>
      <c r="J24" s="163"/>
      <c r="K24" s="164">
        <f t="shared" si="3"/>
        <v>0</v>
      </c>
      <c r="L24" s="151"/>
      <c r="M24" s="151"/>
      <c r="N24" s="153"/>
      <c r="O24" s="162">
        <f t="shared" si="2"/>
        <v>0</v>
      </c>
      <c r="P24" s="284">
        <f t="shared" si="2"/>
        <v>0</v>
      </c>
      <c r="Q24" s="284"/>
      <c r="R24" s="284"/>
      <c r="S24" s="284"/>
      <c r="T24" s="284"/>
      <c r="U24" s="284"/>
      <c r="V24" s="284"/>
      <c r="W24" s="163">
        <f t="shared" si="4"/>
        <v>0</v>
      </c>
      <c r="X24" s="165">
        <f t="shared" si="5"/>
        <v>0</v>
      </c>
      <c r="Y24" s="151"/>
    </row>
    <row r="25" spans="1:25" ht="15" customHeight="1">
      <c r="A25" s="153"/>
      <c r="B25" s="162"/>
      <c r="C25" s="284"/>
      <c r="D25" s="284"/>
      <c r="E25" s="284"/>
      <c r="F25" s="284"/>
      <c r="G25" s="284"/>
      <c r="H25" s="284"/>
      <c r="I25" s="284"/>
      <c r="J25" s="163"/>
      <c r="K25" s="164">
        <f t="shared" si="3"/>
        <v>0</v>
      </c>
      <c r="L25" s="151"/>
      <c r="M25" s="151"/>
      <c r="N25" s="153"/>
      <c r="O25" s="162">
        <f t="shared" si="2"/>
        <v>0</v>
      </c>
      <c r="P25" s="284">
        <f t="shared" si="2"/>
        <v>0</v>
      </c>
      <c r="Q25" s="284"/>
      <c r="R25" s="284"/>
      <c r="S25" s="284"/>
      <c r="T25" s="284"/>
      <c r="U25" s="284"/>
      <c r="V25" s="284"/>
      <c r="W25" s="163">
        <f t="shared" si="4"/>
        <v>0</v>
      </c>
      <c r="X25" s="165">
        <f t="shared" si="5"/>
        <v>0</v>
      </c>
      <c r="Y25" s="151"/>
    </row>
    <row r="26" spans="1:25" ht="15" customHeight="1">
      <c r="A26" s="153"/>
      <c r="B26" s="162"/>
      <c r="C26" s="284"/>
      <c r="D26" s="284"/>
      <c r="E26" s="284"/>
      <c r="F26" s="284"/>
      <c r="G26" s="284"/>
      <c r="H26" s="284"/>
      <c r="I26" s="284"/>
      <c r="J26" s="163"/>
      <c r="K26" s="164">
        <f t="shared" si="3"/>
        <v>0</v>
      </c>
      <c r="L26" s="151"/>
      <c r="M26" s="151"/>
      <c r="N26" s="153"/>
      <c r="O26" s="162">
        <f t="shared" si="2"/>
        <v>0</v>
      </c>
      <c r="P26" s="284">
        <f t="shared" si="2"/>
        <v>0</v>
      </c>
      <c r="Q26" s="284"/>
      <c r="R26" s="284"/>
      <c r="S26" s="284"/>
      <c r="T26" s="284"/>
      <c r="U26" s="284"/>
      <c r="V26" s="284"/>
      <c r="W26" s="163">
        <f t="shared" si="4"/>
        <v>0</v>
      </c>
      <c r="X26" s="165">
        <f t="shared" si="5"/>
        <v>0</v>
      </c>
      <c r="Y26" s="151"/>
    </row>
    <row r="27" spans="1:25" ht="15" customHeight="1">
      <c r="A27" s="153"/>
      <c r="B27" s="162"/>
      <c r="C27" s="284"/>
      <c r="D27" s="284"/>
      <c r="E27" s="284"/>
      <c r="F27" s="284"/>
      <c r="G27" s="284"/>
      <c r="H27" s="284"/>
      <c r="I27" s="284"/>
      <c r="J27" s="163"/>
      <c r="K27" s="164">
        <f t="shared" si="3"/>
        <v>0</v>
      </c>
      <c r="L27" s="151"/>
      <c r="M27" s="151"/>
      <c r="N27" s="153"/>
      <c r="O27" s="162">
        <f t="shared" si="2"/>
        <v>0</v>
      </c>
      <c r="P27" s="284">
        <f t="shared" si="2"/>
        <v>0</v>
      </c>
      <c r="Q27" s="284"/>
      <c r="R27" s="284"/>
      <c r="S27" s="284"/>
      <c r="T27" s="284"/>
      <c r="U27" s="284"/>
      <c r="V27" s="284"/>
      <c r="W27" s="163">
        <f t="shared" si="4"/>
        <v>0</v>
      </c>
      <c r="X27" s="165">
        <f t="shared" si="5"/>
        <v>0</v>
      </c>
      <c r="Y27" s="151"/>
    </row>
    <row r="28" spans="1:25" ht="15" customHeight="1">
      <c r="A28" s="153"/>
      <c r="B28" s="162"/>
      <c r="C28" s="284"/>
      <c r="D28" s="284"/>
      <c r="E28" s="284"/>
      <c r="F28" s="284"/>
      <c r="G28" s="284"/>
      <c r="H28" s="284"/>
      <c r="I28" s="284"/>
      <c r="J28" s="163"/>
      <c r="K28" s="164">
        <f t="shared" si="3"/>
        <v>0</v>
      </c>
      <c r="L28" s="151"/>
      <c r="M28" s="151"/>
      <c r="N28" s="153"/>
      <c r="O28" s="162">
        <f t="shared" si="2"/>
        <v>0</v>
      </c>
      <c r="P28" s="284">
        <f t="shared" si="2"/>
        <v>0</v>
      </c>
      <c r="Q28" s="284"/>
      <c r="R28" s="284"/>
      <c r="S28" s="284"/>
      <c r="T28" s="284"/>
      <c r="U28" s="284"/>
      <c r="V28" s="284"/>
      <c r="W28" s="163">
        <f t="shared" si="4"/>
        <v>0</v>
      </c>
      <c r="X28" s="165">
        <f t="shared" si="5"/>
        <v>0</v>
      </c>
      <c r="Y28" s="151"/>
    </row>
    <row r="29" spans="1:25" ht="15" customHeight="1">
      <c r="A29" s="153"/>
      <c r="B29" s="162"/>
      <c r="C29" s="284"/>
      <c r="D29" s="284"/>
      <c r="E29" s="284"/>
      <c r="F29" s="284"/>
      <c r="G29" s="284"/>
      <c r="H29" s="284"/>
      <c r="I29" s="284"/>
      <c r="J29" s="163"/>
      <c r="K29" s="164">
        <f t="shared" si="3"/>
        <v>0</v>
      </c>
      <c r="L29" s="151"/>
      <c r="M29" s="151"/>
      <c r="N29" s="153"/>
      <c r="O29" s="162">
        <f t="shared" si="2"/>
        <v>0</v>
      </c>
      <c r="P29" s="284">
        <f t="shared" si="2"/>
        <v>0</v>
      </c>
      <c r="Q29" s="284"/>
      <c r="R29" s="284"/>
      <c r="S29" s="284"/>
      <c r="T29" s="284"/>
      <c r="U29" s="284"/>
      <c r="V29" s="284"/>
      <c r="W29" s="163">
        <f t="shared" si="4"/>
        <v>0</v>
      </c>
      <c r="X29" s="165">
        <f t="shared" si="5"/>
        <v>0</v>
      </c>
      <c r="Y29" s="151"/>
    </row>
    <row r="30" spans="1:25" ht="15" customHeight="1">
      <c r="A30" s="153"/>
      <c r="B30" s="162"/>
      <c r="C30" s="284"/>
      <c r="D30" s="284"/>
      <c r="E30" s="284"/>
      <c r="F30" s="284"/>
      <c r="G30" s="284"/>
      <c r="H30" s="284"/>
      <c r="I30" s="284"/>
      <c r="J30" s="163"/>
      <c r="K30" s="164">
        <f t="shared" si="3"/>
        <v>0</v>
      </c>
      <c r="L30" s="151"/>
      <c r="M30" s="151"/>
      <c r="N30" s="153"/>
      <c r="O30" s="162">
        <f t="shared" si="2"/>
        <v>0</v>
      </c>
      <c r="P30" s="284">
        <f t="shared" si="2"/>
        <v>0</v>
      </c>
      <c r="Q30" s="284"/>
      <c r="R30" s="284"/>
      <c r="S30" s="284"/>
      <c r="T30" s="284"/>
      <c r="U30" s="284"/>
      <c r="V30" s="284"/>
      <c r="W30" s="163">
        <f t="shared" si="4"/>
        <v>0</v>
      </c>
      <c r="X30" s="165">
        <f t="shared" si="5"/>
        <v>0</v>
      </c>
      <c r="Y30" s="151"/>
    </row>
    <row r="31" spans="1:25" ht="15" customHeight="1">
      <c r="A31" s="153"/>
      <c r="B31" s="162"/>
      <c r="C31" s="284"/>
      <c r="D31" s="284"/>
      <c r="E31" s="284"/>
      <c r="F31" s="284"/>
      <c r="G31" s="284"/>
      <c r="H31" s="284"/>
      <c r="I31" s="284"/>
      <c r="J31" s="163"/>
      <c r="K31" s="164">
        <f t="shared" si="3"/>
        <v>0</v>
      </c>
      <c r="L31" s="151"/>
      <c r="M31" s="151"/>
      <c r="N31" s="153"/>
      <c r="O31" s="162">
        <f t="shared" si="2"/>
        <v>0</v>
      </c>
      <c r="P31" s="284">
        <f t="shared" si="2"/>
        <v>0</v>
      </c>
      <c r="Q31" s="284"/>
      <c r="R31" s="284"/>
      <c r="S31" s="284"/>
      <c r="T31" s="284"/>
      <c r="U31" s="284"/>
      <c r="V31" s="284"/>
      <c r="W31" s="163">
        <f t="shared" si="4"/>
        <v>0</v>
      </c>
      <c r="X31" s="165">
        <f t="shared" si="5"/>
        <v>0</v>
      </c>
      <c r="Y31" s="151"/>
    </row>
    <row r="32" spans="1:25" ht="15" customHeight="1">
      <c r="A32" s="153"/>
      <c r="B32" s="162"/>
      <c r="C32" s="284"/>
      <c r="D32" s="284"/>
      <c r="E32" s="284"/>
      <c r="F32" s="284"/>
      <c r="G32" s="284"/>
      <c r="H32" s="284"/>
      <c r="I32" s="284"/>
      <c r="J32" s="163"/>
      <c r="K32" s="164">
        <f t="shared" si="3"/>
        <v>0</v>
      </c>
      <c r="L32" s="151"/>
      <c r="M32" s="151"/>
      <c r="N32" s="153"/>
      <c r="O32" s="162">
        <f t="shared" si="2"/>
        <v>0</v>
      </c>
      <c r="P32" s="284">
        <f t="shared" si="2"/>
        <v>0</v>
      </c>
      <c r="Q32" s="284"/>
      <c r="R32" s="284"/>
      <c r="S32" s="284"/>
      <c r="T32" s="284"/>
      <c r="U32" s="284"/>
      <c r="V32" s="284"/>
      <c r="W32" s="163">
        <f t="shared" si="4"/>
        <v>0</v>
      </c>
      <c r="X32" s="165">
        <f t="shared" si="5"/>
        <v>0</v>
      </c>
      <c r="Y32" s="151"/>
    </row>
    <row r="33" spans="1:25" ht="15" customHeight="1">
      <c r="A33" s="153"/>
      <c r="B33" s="162"/>
      <c r="C33" s="284"/>
      <c r="D33" s="284"/>
      <c r="E33" s="284"/>
      <c r="F33" s="284"/>
      <c r="G33" s="284"/>
      <c r="H33" s="284"/>
      <c r="I33" s="284"/>
      <c r="J33" s="163"/>
      <c r="K33" s="164">
        <f t="shared" si="3"/>
        <v>0</v>
      </c>
      <c r="L33" s="151"/>
      <c r="M33" s="151"/>
      <c r="N33" s="153"/>
      <c r="O33" s="162">
        <f t="shared" si="2"/>
        <v>0</v>
      </c>
      <c r="P33" s="284">
        <f t="shared" si="2"/>
        <v>0</v>
      </c>
      <c r="Q33" s="284"/>
      <c r="R33" s="284"/>
      <c r="S33" s="284"/>
      <c r="T33" s="284"/>
      <c r="U33" s="284"/>
      <c r="V33" s="284"/>
      <c r="W33" s="163">
        <f t="shared" ref="W33:W36" si="6">J33</f>
        <v>0</v>
      </c>
      <c r="X33" s="165">
        <f t="shared" ref="X33:X36" si="7">K33</f>
        <v>0</v>
      </c>
      <c r="Y33" s="151"/>
    </row>
    <row r="34" spans="1:25" ht="15" customHeight="1">
      <c r="A34" s="153"/>
      <c r="B34" s="162"/>
      <c r="C34" s="284"/>
      <c r="D34" s="284"/>
      <c r="E34" s="284"/>
      <c r="F34" s="284"/>
      <c r="G34" s="284"/>
      <c r="H34" s="284"/>
      <c r="I34" s="284"/>
      <c r="J34" s="163"/>
      <c r="K34" s="164">
        <f t="shared" ref="K34:K36" si="8">J34*B34</f>
        <v>0</v>
      </c>
      <c r="L34" s="151"/>
      <c r="M34" s="151"/>
      <c r="N34" s="153"/>
      <c r="O34" s="162">
        <f t="shared" si="2"/>
        <v>0</v>
      </c>
      <c r="P34" s="284">
        <f>C37</f>
        <v>0</v>
      </c>
      <c r="Q34" s="284"/>
      <c r="R34" s="284"/>
      <c r="S34" s="284"/>
      <c r="T34" s="284"/>
      <c r="U34" s="284"/>
      <c r="V34" s="284"/>
      <c r="W34" s="163">
        <f t="shared" si="6"/>
        <v>0</v>
      </c>
      <c r="X34" s="165">
        <f t="shared" si="7"/>
        <v>0</v>
      </c>
      <c r="Y34" s="151"/>
    </row>
    <row r="35" spans="1:25" ht="15" customHeight="1">
      <c r="A35" s="153"/>
      <c r="B35" s="162"/>
      <c r="C35" s="284"/>
      <c r="D35" s="284"/>
      <c r="E35" s="284"/>
      <c r="F35" s="284"/>
      <c r="G35" s="284"/>
      <c r="H35" s="284"/>
      <c r="I35" s="284"/>
      <c r="J35" s="163"/>
      <c r="K35" s="164">
        <f t="shared" si="8"/>
        <v>0</v>
      </c>
      <c r="L35" s="151"/>
      <c r="M35" s="151"/>
      <c r="N35" s="153"/>
      <c r="O35" s="162">
        <f t="shared" si="2"/>
        <v>0</v>
      </c>
      <c r="P35" s="284">
        <f t="shared" si="2"/>
        <v>0</v>
      </c>
      <c r="Q35" s="284"/>
      <c r="R35" s="284"/>
      <c r="S35" s="284"/>
      <c r="T35" s="284"/>
      <c r="U35" s="284"/>
      <c r="V35" s="284"/>
      <c r="W35" s="163">
        <f t="shared" si="6"/>
        <v>0</v>
      </c>
      <c r="X35" s="165">
        <f t="shared" si="7"/>
        <v>0</v>
      </c>
      <c r="Y35" s="151"/>
    </row>
    <row r="36" spans="1:25" ht="15" customHeight="1">
      <c r="A36" s="153"/>
      <c r="B36" s="162"/>
      <c r="C36" s="284"/>
      <c r="D36" s="284"/>
      <c r="E36" s="284"/>
      <c r="F36" s="284"/>
      <c r="G36" s="284"/>
      <c r="H36" s="284"/>
      <c r="I36" s="284"/>
      <c r="J36" s="163"/>
      <c r="K36" s="164">
        <f t="shared" si="8"/>
        <v>0</v>
      </c>
      <c r="L36" s="151"/>
      <c r="M36" s="151"/>
      <c r="N36" s="153"/>
      <c r="O36" s="162">
        <f t="shared" si="2"/>
        <v>0</v>
      </c>
      <c r="P36" s="284">
        <f t="shared" si="2"/>
        <v>0</v>
      </c>
      <c r="Q36" s="284"/>
      <c r="R36" s="284"/>
      <c r="S36" s="284"/>
      <c r="T36" s="284"/>
      <c r="U36" s="284"/>
      <c r="V36" s="284"/>
      <c r="W36" s="163">
        <f t="shared" si="6"/>
        <v>0</v>
      </c>
      <c r="X36" s="165">
        <f t="shared" si="7"/>
        <v>0</v>
      </c>
      <c r="Y36" s="151"/>
    </row>
    <row r="37" spans="1:25" ht="15" customHeight="1">
      <c r="A37" s="153"/>
      <c r="B37" s="292" t="s">
        <v>2276</v>
      </c>
      <c r="C37" s="293"/>
      <c r="D37" s="293"/>
      <c r="E37" s="293"/>
      <c r="F37" s="293"/>
      <c r="G37" s="293"/>
      <c r="H37" s="293"/>
      <c r="I37" s="293"/>
      <c r="J37" s="293"/>
      <c r="K37" s="294"/>
      <c r="L37" s="151"/>
      <c r="M37" s="151"/>
      <c r="N37" s="153"/>
      <c r="O37" s="292" t="s">
        <v>2276</v>
      </c>
      <c r="P37" s="293"/>
      <c r="Q37" s="293"/>
      <c r="R37" s="293"/>
      <c r="S37" s="293"/>
      <c r="T37" s="293"/>
      <c r="U37" s="293"/>
      <c r="V37" s="293"/>
      <c r="W37" s="293"/>
      <c r="X37" s="294"/>
      <c r="Y37" s="151"/>
    </row>
    <row r="38" spans="1:25" ht="15" customHeight="1">
      <c r="A38" s="153"/>
      <c r="B38" s="295" t="s">
        <v>2277</v>
      </c>
      <c r="C38" s="296"/>
      <c r="D38" s="296"/>
      <c r="E38" s="296"/>
      <c r="F38" s="296"/>
      <c r="G38" s="296"/>
      <c r="H38" s="296"/>
      <c r="I38" s="296"/>
      <c r="J38" s="296"/>
      <c r="K38" s="297"/>
      <c r="L38" s="151"/>
      <c r="M38" s="151"/>
      <c r="N38" s="153"/>
      <c r="O38" s="295" t="str">
        <f>B38</f>
        <v xml:space="preserve">Notebook Samsung RV415, com fonte, formatação simples. </v>
      </c>
      <c r="P38" s="296"/>
      <c r="Q38" s="296"/>
      <c r="R38" s="296"/>
      <c r="S38" s="296"/>
      <c r="T38" s="296"/>
      <c r="U38" s="296"/>
      <c r="V38" s="296"/>
      <c r="W38" s="296"/>
      <c r="X38" s="297"/>
      <c r="Y38" s="151"/>
    </row>
    <row r="39" spans="1:25" ht="15" customHeight="1">
      <c r="A39" s="153"/>
      <c r="B39" s="298"/>
      <c r="C39" s="299"/>
      <c r="D39" s="299"/>
      <c r="E39" s="299"/>
      <c r="F39" s="299"/>
      <c r="G39" s="299"/>
      <c r="H39" s="299"/>
      <c r="I39" s="299"/>
      <c r="J39" s="299"/>
      <c r="K39" s="300"/>
      <c r="L39" s="151"/>
      <c r="M39" s="151"/>
      <c r="N39" s="153"/>
      <c r="O39" s="298"/>
      <c r="P39" s="299"/>
      <c r="Q39" s="299"/>
      <c r="R39" s="299"/>
      <c r="S39" s="299"/>
      <c r="T39" s="299"/>
      <c r="U39" s="299"/>
      <c r="V39" s="299"/>
      <c r="W39" s="299"/>
      <c r="X39" s="300"/>
      <c r="Y39" s="151"/>
    </row>
    <row r="40" spans="1:25" ht="15" customHeight="1">
      <c r="A40" s="153"/>
      <c r="B40" s="298"/>
      <c r="C40" s="299"/>
      <c r="D40" s="299"/>
      <c r="E40" s="299"/>
      <c r="F40" s="299"/>
      <c r="G40" s="299"/>
      <c r="H40" s="299"/>
      <c r="I40" s="299"/>
      <c r="J40" s="299"/>
      <c r="K40" s="300"/>
      <c r="L40" s="151"/>
      <c r="M40" s="151"/>
      <c r="N40" s="153"/>
      <c r="O40" s="298"/>
      <c r="P40" s="299"/>
      <c r="Q40" s="299"/>
      <c r="R40" s="299"/>
      <c r="S40" s="299"/>
      <c r="T40" s="299"/>
      <c r="U40" s="299"/>
      <c r="V40" s="299"/>
      <c r="W40" s="299"/>
      <c r="X40" s="300"/>
      <c r="Y40" s="151"/>
    </row>
    <row r="41" spans="1:25" ht="15" customHeight="1">
      <c r="A41" s="153"/>
      <c r="B41" s="301"/>
      <c r="C41" s="302"/>
      <c r="D41" s="302"/>
      <c r="E41" s="302"/>
      <c r="F41" s="302"/>
      <c r="G41" s="302"/>
      <c r="H41" s="302"/>
      <c r="I41" s="302"/>
      <c r="J41" s="302"/>
      <c r="K41" s="303"/>
      <c r="L41" s="151"/>
      <c r="M41" s="151"/>
      <c r="N41" s="153"/>
      <c r="O41" s="301"/>
      <c r="P41" s="302"/>
      <c r="Q41" s="302"/>
      <c r="R41" s="302"/>
      <c r="S41" s="302"/>
      <c r="T41" s="302"/>
      <c r="U41" s="302"/>
      <c r="V41" s="302"/>
      <c r="W41" s="302"/>
      <c r="X41" s="303"/>
      <c r="Y41" s="151"/>
    </row>
    <row r="42" spans="1:25" ht="15" customHeight="1">
      <c r="A42" s="153"/>
      <c r="L42" s="151"/>
      <c r="M42" s="151"/>
      <c r="N42" s="153"/>
      <c r="Y42" s="151"/>
    </row>
    <row r="43" spans="1:25" ht="15" customHeight="1">
      <c r="A43" s="153"/>
      <c r="B43" s="288" t="s">
        <v>1370</v>
      </c>
      <c r="C43" s="288"/>
      <c r="D43" s="288"/>
      <c r="E43" s="288"/>
      <c r="F43" s="288"/>
      <c r="G43" s="288"/>
      <c r="H43" s="288"/>
      <c r="I43" s="288"/>
      <c r="J43" s="288"/>
      <c r="K43" s="288"/>
      <c r="L43" s="151"/>
      <c r="M43" s="151"/>
      <c r="N43" s="153"/>
      <c r="O43" s="288" t="s">
        <v>1370</v>
      </c>
      <c r="P43" s="288"/>
      <c r="Q43" s="288"/>
      <c r="R43" s="288"/>
      <c r="S43" s="288"/>
      <c r="T43" s="288"/>
      <c r="U43" s="288"/>
      <c r="V43" s="288"/>
      <c r="W43" s="288"/>
      <c r="X43" s="288"/>
      <c r="Y43" s="151"/>
    </row>
    <row r="44" spans="1:25" ht="15" customHeight="1">
      <c r="A44" s="153"/>
      <c r="B44" s="288"/>
      <c r="C44" s="288"/>
      <c r="D44" s="288"/>
      <c r="E44" s="288"/>
      <c r="F44" s="288"/>
      <c r="G44" s="288"/>
      <c r="H44" s="288"/>
      <c r="I44" s="288"/>
      <c r="J44" s="288"/>
      <c r="K44" s="288"/>
      <c r="L44" s="151"/>
      <c r="M44" s="151"/>
      <c r="N44" s="153"/>
      <c r="O44" s="288"/>
      <c r="P44" s="288"/>
      <c r="Q44" s="288"/>
      <c r="R44" s="288"/>
      <c r="S44" s="288"/>
      <c r="T44" s="288"/>
      <c r="U44" s="288"/>
      <c r="V44" s="288"/>
      <c r="W44" s="288"/>
      <c r="X44" s="288"/>
      <c r="Y44" s="151"/>
    </row>
    <row r="45" spans="1:25" ht="15" customHeight="1">
      <c r="A45" s="153"/>
      <c r="B45" s="153"/>
      <c r="C45" s="153"/>
      <c r="D45" s="153"/>
      <c r="E45" s="153"/>
      <c r="F45" s="153"/>
      <c r="G45" s="153"/>
      <c r="H45" s="153"/>
      <c r="I45" s="153"/>
      <c r="J45" s="153"/>
      <c r="K45" s="168"/>
      <c r="L45" s="151"/>
      <c r="M45" s="151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68"/>
      <c r="Y45" s="151"/>
    </row>
    <row r="46" spans="1:25" ht="16.5" customHeight="1" thickBot="1">
      <c r="A46" s="153"/>
      <c r="B46" s="153" t="s">
        <v>1371</v>
      </c>
      <c r="C46" s="315"/>
      <c r="D46" s="315"/>
      <c r="E46" s="315"/>
      <c r="F46" s="315"/>
      <c r="G46" s="315"/>
      <c r="H46" s="153"/>
      <c r="I46" s="156" t="s">
        <v>1372</v>
      </c>
      <c r="J46" s="286">
        <f>SUM(K19:K41)</f>
        <v>70</v>
      </c>
      <c r="K46" s="286"/>
      <c r="L46" s="151"/>
      <c r="M46" s="151"/>
      <c r="N46" s="153"/>
      <c r="O46" s="153" t="s">
        <v>1371</v>
      </c>
      <c r="P46" s="315">
        <f>C46</f>
        <v>0</v>
      </c>
      <c r="Q46" s="315"/>
      <c r="R46" s="315"/>
      <c r="S46" s="315"/>
      <c r="T46" s="315"/>
      <c r="U46" s="153"/>
      <c r="V46" s="156" t="s">
        <v>1372</v>
      </c>
      <c r="W46" s="286">
        <f>SUM(X19:X41)</f>
        <v>70</v>
      </c>
      <c r="X46" s="286"/>
      <c r="Y46" s="151"/>
    </row>
    <row r="47" spans="1:25" ht="15.75" customHeight="1" thickBot="1">
      <c r="A47" s="153"/>
      <c r="B47" s="153"/>
      <c r="C47" s="153"/>
      <c r="D47" s="153"/>
      <c r="E47" s="153"/>
      <c r="F47" s="153"/>
      <c r="G47" s="153"/>
      <c r="H47" s="153"/>
      <c r="I47" s="156" t="s">
        <v>1373</v>
      </c>
      <c r="J47" s="287"/>
      <c r="K47" s="287"/>
      <c r="L47" s="151"/>
      <c r="M47" s="151"/>
      <c r="N47" s="153"/>
      <c r="O47" s="153"/>
      <c r="P47" s="153"/>
      <c r="Q47" s="153"/>
      <c r="R47" s="153"/>
      <c r="S47" s="153"/>
      <c r="T47" s="153"/>
      <c r="U47" s="153"/>
      <c r="V47" s="156" t="s">
        <v>1373</v>
      </c>
      <c r="W47" s="287">
        <f t="shared" si="2"/>
        <v>0</v>
      </c>
      <c r="X47" s="287"/>
      <c r="Y47" s="151"/>
    </row>
    <row r="48" spans="1:25" ht="15.75" customHeight="1">
      <c r="A48" s="153"/>
      <c r="B48" s="153" t="s">
        <v>1374</v>
      </c>
      <c r="C48" s="157" t="s">
        <v>1375</v>
      </c>
      <c r="D48" s="157"/>
      <c r="E48" s="153" t="s">
        <v>1376</v>
      </c>
      <c r="F48" s="169">
        <f t="shared" ref="F48:S48" ca="1" si="9">H5+30</f>
        <v>46246</v>
      </c>
      <c r="G48" s="169"/>
      <c r="H48" s="153"/>
      <c r="I48" s="156" t="s">
        <v>1377</v>
      </c>
      <c r="J48" s="285">
        <f t="shared" ref="J48" si="10">J46-J47</f>
        <v>70</v>
      </c>
      <c r="K48" s="285"/>
      <c r="L48" s="151"/>
      <c r="M48" s="151"/>
      <c r="N48" s="153"/>
      <c r="O48" s="153" t="s">
        <v>1374</v>
      </c>
      <c r="P48" s="157" t="s">
        <v>1375</v>
      </c>
      <c r="Q48" s="157"/>
      <c r="R48" s="153" t="s">
        <v>1376</v>
      </c>
      <c r="S48" s="169">
        <f t="shared" ca="1" si="9"/>
        <v>46246</v>
      </c>
      <c r="T48" s="169"/>
      <c r="U48" s="153"/>
      <c r="V48" s="156" t="s">
        <v>1377</v>
      </c>
      <c r="W48" s="285">
        <f>W46-W47</f>
        <v>70</v>
      </c>
      <c r="X48" s="285"/>
      <c r="Y48" s="151"/>
    </row>
    <row r="49" spans="1:25" ht="15" customHeight="1">
      <c r="A49" s="153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1"/>
      <c r="M49" s="151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1"/>
    </row>
    <row r="50" spans="1:25" ht="15" customHeight="1">
      <c r="A50" s="170"/>
      <c r="B50" s="170"/>
      <c r="C50" s="170"/>
      <c r="D50" s="170"/>
      <c r="E50" s="170"/>
      <c r="F50" s="170"/>
      <c r="G50" s="170"/>
      <c r="H50" s="170"/>
      <c r="I50" s="170"/>
      <c r="J50" s="170"/>
      <c r="K50" s="170"/>
      <c r="L50" s="171"/>
      <c r="M50" s="171"/>
      <c r="N50" s="170"/>
      <c r="O50" s="170"/>
      <c r="P50" s="170"/>
      <c r="Q50" s="170"/>
      <c r="R50" s="170"/>
      <c r="S50" s="170"/>
      <c r="T50" s="170"/>
      <c r="U50" s="170"/>
      <c r="V50" s="170"/>
      <c r="W50" s="170"/>
      <c r="X50" s="170"/>
      <c r="Y50" s="171"/>
    </row>
  </sheetData>
  <mergeCells count="80">
    <mergeCell ref="C46:G46"/>
    <mergeCell ref="P46:T46"/>
    <mergeCell ref="J46:K46"/>
    <mergeCell ref="J47:K47"/>
    <mergeCell ref="J48:K48"/>
    <mergeCell ref="I15:K15"/>
    <mergeCell ref="B3:E3"/>
    <mergeCell ref="H3:I3"/>
    <mergeCell ref="C5:E5"/>
    <mergeCell ref="C15:D15"/>
    <mergeCell ref="F15:G15"/>
    <mergeCell ref="C6:E6"/>
    <mergeCell ref="G5:G6"/>
    <mergeCell ref="H5:I6"/>
    <mergeCell ref="B9:K9"/>
    <mergeCell ref="C14:K14"/>
    <mergeCell ref="C13:K13"/>
    <mergeCell ref="C12:K12"/>
    <mergeCell ref="C30:I30"/>
    <mergeCell ref="C31:I31"/>
    <mergeCell ref="C32:I32"/>
    <mergeCell ref="C11:K11"/>
    <mergeCell ref="C29:I29"/>
    <mergeCell ref="C23:I23"/>
    <mergeCell ref="C18:I18"/>
    <mergeCell ref="C19:I19"/>
    <mergeCell ref="C20:I20"/>
    <mergeCell ref="C24:I24"/>
    <mergeCell ref="C21:I21"/>
    <mergeCell ref="C22:I22"/>
    <mergeCell ref="C25:I25"/>
    <mergeCell ref="C26:I26"/>
    <mergeCell ref="C27:I27"/>
    <mergeCell ref="C28:I28"/>
    <mergeCell ref="C33:I33"/>
    <mergeCell ref="C34:I34"/>
    <mergeCell ref="C35:I35"/>
    <mergeCell ref="C36:I36"/>
    <mergeCell ref="P31:V31"/>
    <mergeCell ref="P32:V32"/>
    <mergeCell ref="P33:V33"/>
    <mergeCell ref="P34:V34"/>
    <mergeCell ref="P35:V35"/>
    <mergeCell ref="P21:V21"/>
    <mergeCell ref="P22:V22"/>
    <mergeCell ref="P24:V24"/>
    <mergeCell ref="P25:V25"/>
    <mergeCell ref="P26:V26"/>
    <mergeCell ref="O3:R3"/>
    <mergeCell ref="U3:V3"/>
    <mergeCell ref="T5:T6"/>
    <mergeCell ref="U5:V6"/>
    <mergeCell ref="O9:X9"/>
    <mergeCell ref="P5:R5"/>
    <mergeCell ref="P6:R6"/>
    <mergeCell ref="B43:K44"/>
    <mergeCell ref="P11:X11"/>
    <mergeCell ref="V15:X15"/>
    <mergeCell ref="P12:X12"/>
    <mergeCell ref="P13:X13"/>
    <mergeCell ref="P14:X14"/>
    <mergeCell ref="B37:K37"/>
    <mergeCell ref="B38:K41"/>
    <mergeCell ref="O37:X37"/>
    <mergeCell ref="O38:X41"/>
    <mergeCell ref="P15:Q15"/>
    <mergeCell ref="S15:T15"/>
    <mergeCell ref="P29:V29"/>
    <mergeCell ref="P18:V18"/>
    <mergeCell ref="P19:V19"/>
    <mergeCell ref="P20:V20"/>
    <mergeCell ref="P28:V28"/>
    <mergeCell ref="P23:V23"/>
    <mergeCell ref="P30:V30"/>
    <mergeCell ref="W48:X48"/>
    <mergeCell ref="W46:X46"/>
    <mergeCell ref="W47:X47"/>
    <mergeCell ref="O43:X44"/>
    <mergeCell ref="P27:V27"/>
    <mergeCell ref="P36:V36"/>
  </mergeCells>
  <conditionalFormatting sqref="K19:K36 B37 K45 J46">
    <cfRule type="cellIs" dxfId="15" priority="5" operator="greaterThan">
      <formula>0</formula>
    </cfRule>
  </conditionalFormatting>
  <conditionalFormatting sqref="O37">
    <cfRule type="cellIs" dxfId="14" priority="1" operator="greaterThan">
      <formula>0</formula>
    </cfRule>
  </conditionalFormatting>
  <conditionalFormatting sqref="X19:X36">
    <cfRule type="cellIs" dxfId="13" priority="3" operator="greaterThan">
      <formula>0</formula>
    </cfRule>
  </conditionalFormatting>
  <conditionalFormatting sqref="X45 W46">
    <cfRule type="cellIs" dxfId="12" priority="2" operator="greaterThan">
      <formula>0</formula>
    </cfRule>
  </conditionalFormatting>
  <pageMargins left="0.25" right="0.25" top="0.75" bottom="0.75" header="0.3" footer="0.3"/>
  <pageSetup paperSize="9" scale="43" orientation="portrait" useFirstPageNumber="1" r:id="rId1"/>
  <headerFooter>
    <oddHeader>&amp;L&amp;C&amp;R</oddHeader>
    <oddFooter>&amp;L&amp;C&amp;R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9245-61BC-B8C4-3796-E83E8C36B8AD}">
  <dimension ref="A1:AD474"/>
  <sheetViews>
    <sheetView topLeftCell="W1" workbookViewId="0">
      <selection activeCell="AB7" sqref="AB7"/>
    </sheetView>
  </sheetViews>
  <sheetFormatPr defaultColWidth="9.140625" defaultRowHeight="15" customHeight="1"/>
  <cols>
    <col min="1" max="1" width="9" customWidth="1"/>
    <col min="2" max="2" width="10.42578125" customWidth="1"/>
    <col min="3" max="3" width="19.28515625" customWidth="1"/>
    <col min="4" max="4" width="13.5703125" customWidth="1"/>
    <col min="5" max="5" width="16.5703125" customWidth="1"/>
    <col min="6" max="6" width="9.5703125" customWidth="1"/>
    <col min="7" max="7" width="13.42578125" customWidth="1"/>
    <col min="9" max="9" width="14" customWidth="1"/>
    <col min="10" max="10" width="12.140625" customWidth="1"/>
    <col min="11" max="12" width="5.140625" customWidth="1"/>
    <col min="14" max="14" width="20.5703125" customWidth="1"/>
    <col min="15" max="15" width="12.5703125" style="179" customWidth="1"/>
    <col min="16" max="16" width="10.5703125" customWidth="1"/>
    <col min="17" max="17" width="11.7109375" customWidth="1"/>
    <col min="19" max="19" width="14.42578125" customWidth="1"/>
    <col min="20" max="20" width="22" style="180" customWidth="1"/>
    <col min="21" max="21" width="22.28515625" style="180" customWidth="1"/>
    <col min="23" max="23" width="20.85546875" customWidth="1"/>
    <col min="24" max="24" width="10.5703125" style="180" customWidth="1"/>
    <col min="28" max="28" width="71.42578125" customWidth="1"/>
  </cols>
  <sheetData>
    <row r="1" spans="1:30" ht="36" customHeight="1">
      <c r="A1" s="316" t="s">
        <v>1378</v>
      </c>
      <c r="B1" s="283"/>
      <c r="C1" s="283"/>
      <c r="D1" s="283"/>
      <c r="E1" s="283"/>
      <c r="F1" s="283"/>
      <c r="G1" s="317"/>
      <c r="I1" s="288" t="s">
        <v>1379</v>
      </c>
      <c r="J1" s="321"/>
      <c r="K1" s="321"/>
      <c r="L1" s="172"/>
      <c r="N1" s="318" t="s">
        <v>1380</v>
      </c>
      <c r="O1" s="318"/>
      <c r="P1" s="318"/>
      <c r="S1" s="318" t="s">
        <v>1381</v>
      </c>
      <c r="T1" s="318"/>
      <c r="U1" s="318"/>
      <c r="V1" s="173"/>
      <c r="W1" s="319" t="s">
        <v>1382</v>
      </c>
      <c r="X1" s="319"/>
      <c r="Y1" s="319"/>
      <c r="AB1" s="175" t="s">
        <v>1109</v>
      </c>
      <c r="AC1" s="176" t="s">
        <v>1110</v>
      </c>
      <c r="AD1" s="177" t="s">
        <v>1111</v>
      </c>
    </row>
    <row r="2" spans="1:30" ht="18" customHeight="1">
      <c r="A2" s="178" t="s">
        <v>1383</v>
      </c>
      <c r="B2" s="178" t="s">
        <v>1383</v>
      </c>
      <c r="C2" s="178" t="s">
        <v>1384</v>
      </c>
      <c r="D2" s="178" t="s">
        <v>1385</v>
      </c>
      <c r="E2" s="178" t="s">
        <v>1386</v>
      </c>
      <c r="F2" s="178" t="s">
        <v>1387</v>
      </c>
      <c r="G2" s="178" t="s">
        <v>1388</v>
      </c>
      <c r="I2" t="s">
        <v>1389</v>
      </c>
      <c r="J2" t="s">
        <v>1389</v>
      </c>
      <c r="K2" t="s">
        <v>1390</v>
      </c>
      <c r="N2" t="s">
        <v>1391</v>
      </c>
      <c r="O2" s="179" t="s">
        <v>1392</v>
      </c>
      <c r="P2" s="180">
        <v>50</v>
      </c>
      <c r="S2" s="181" t="s">
        <v>1393</v>
      </c>
      <c r="T2" s="182" t="s">
        <v>1394</v>
      </c>
      <c r="U2" s="183" t="s">
        <v>1395</v>
      </c>
      <c r="V2" s="173"/>
      <c r="W2" s="184" t="s">
        <v>1396</v>
      </c>
      <c r="X2" s="185">
        <f>600</f>
        <v>600</v>
      </c>
      <c r="AB2" s="186" t="s">
        <v>1397</v>
      </c>
      <c r="AC2" s="187">
        <v>1</v>
      </c>
      <c r="AD2" s="188">
        <f t="shared" ref="AD2:AD256" si="0">AC2-AE2</f>
        <v>1</v>
      </c>
    </row>
    <row r="3" spans="1:30" ht="18" customHeight="1">
      <c r="A3" s="189">
        <v>1</v>
      </c>
      <c r="B3" s="189" t="s">
        <v>1398</v>
      </c>
      <c r="C3" s="190">
        <v>1528.12</v>
      </c>
      <c r="D3" s="190">
        <v>120</v>
      </c>
      <c r="E3" s="190">
        <v>0</v>
      </c>
      <c r="F3" s="190"/>
      <c r="G3" s="190"/>
      <c r="I3" t="s">
        <v>1399</v>
      </c>
      <c r="J3" s="180">
        <v>600</v>
      </c>
      <c r="K3">
        <v>10</v>
      </c>
      <c r="N3" t="s">
        <v>1400</v>
      </c>
      <c r="O3" s="191">
        <f>70+20+50</f>
        <v>140</v>
      </c>
      <c r="P3" s="180">
        <v>500</v>
      </c>
      <c r="S3" s="192" t="s">
        <v>1401</v>
      </c>
      <c r="T3" s="180">
        <v>537.49</v>
      </c>
      <c r="U3" s="180">
        <v>227.95</v>
      </c>
      <c r="W3" s="193" t="s">
        <v>1402</v>
      </c>
      <c r="X3" s="194">
        <f>X2-X13</f>
        <v>390</v>
      </c>
      <c r="AB3" s="195" t="s">
        <v>416</v>
      </c>
      <c r="AC3" s="196">
        <v>2</v>
      </c>
      <c r="AD3" s="197">
        <f t="shared" si="0"/>
        <v>2</v>
      </c>
    </row>
    <row r="4" spans="1:30" ht="18" customHeight="1">
      <c r="A4" s="189">
        <v>2</v>
      </c>
      <c r="B4" s="189" t="s">
        <v>1403</v>
      </c>
      <c r="C4" s="190">
        <v>1018.94</v>
      </c>
      <c r="D4" s="190">
        <v>0</v>
      </c>
      <c r="E4" s="190">
        <v>0</v>
      </c>
      <c r="F4" s="190"/>
      <c r="G4" s="190"/>
      <c r="I4" t="s">
        <v>1404</v>
      </c>
      <c r="J4" s="180">
        <v>100</v>
      </c>
      <c r="K4">
        <v>10</v>
      </c>
      <c r="O4" s="191"/>
      <c r="P4" s="180"/>
      <c r="S4" s="192" t="s">
        <v>1405</v>
      </c>
      <c r="T4" s="180">
        <v>394.89</v>
      </c>
      <c r="U4" s="180">
        <v>177.71</v>
      </c>
      <c r="W4" s="193" t="s">
        <v>1406</v>
      </c>
      <c r="X4" s="193" t="s">
        <v>1407</v>
      </c>
      <c r="AB4" s="186" t="s">
        <v>1408</v>
      </c>
      <c r="AC4" s="187">
        <v>1</v>
      </c>
      <c r="AD4" s="188">
        <f t="shared" si="0"/>
        <v>1</v>
      </c>
    </row>
    <row r="5" spans="1:30" ht="18.75" customHeight="1">
      <c r="A5" s="189">
        <v>3</v>
      </c>
      <c r="B5" s="189" t="s">
        <v>1409</v>
      </c>
      <c r="C5" s="190">
        <v>300.48</v>
      </c>
      <c r="D5" s="190">
        <v>0</v>
      </c>
      <c r="E5" s="190">
        <v>50</v>
      </c>
      <c r="F5" s="190"/>
      <c r="G5" s="190"/>
      <c r="I5" t="s">
        <v>1410</v>
      </c>
      <c r="J5" s="180">
        <v>100</v>
      </c>
      <c r="K5">
        <v>10</v>
      </c>
      <c r="N5" t="s">
        <v>1411</v>
      </c>
      <c r="O5" s="191">
        <f>O3-500</f>
        <v>-360</v>
      </c>
      <c r="P5" s="180"/>
      <c r="S5" s="192" t="s">
        <v>1412</v>
      </c>
      <c r="T5" s="180">
        <v>7046.09</v>
      </c>
      <c r="U5" s="180">
        <v>3107.47</v>
      </c>
      <c r="W5" s="320" t="s">
        <v>1413</v>
      </c>
      <c r="X5" s="320"/>
      <c r="AB5" s="195" t="s">
        <v>389</v>
      </c>
      <c r="AC5" s="196">
        <v>2</v>
      </c>
      <c r="AD5" s="197">
        <f t="shared" si="0"/>
        <v>2</v>
      </c>
    </row>
    <row r="6" spans="1:30" ht="18" customHeight="1">
      <c r="A6" s="189">
        <v>4</v>
      </c>
      <c r="B6" s="189" t="s">
        <v>1414</v>
      </c>
      <c r="C6" s="190">
        <v>481.53</v>
      </c>
      <c r="D6" s="190">
        <v>350</v>
      </c>
      <c r="E6" s="190">
        <f>SUM(2500+30+55+40+65+1805)</f>
        <v>4495</v>
      </c>
      <c r="F6" s="190"/>
      <c r="G6" s="190"/>
      <c r="I6" t="s">
        <v>1415</v>
      </c>
      <c r="J6" s="180">
        <v>545.16</v>
      </c>
      <c r="K6">
        <v>15</v>
      </c>
      <c r="S6" s="192">
        <v>99</v>
      </c>
      <c r="T6" s="180">
        <v>11194.34</v>
      </c>
      <c r="U6" s="180">
        <v>11194.34</v>
      </c>
      <c r="W6" s="198" t="s">
        <v>1416</v>
      </c>
      <c r="X6" s="180">
        <v>65</v>
      </c>
      <c r="AB6" s="186" t="s">
        <v>1129</v>
      </c>
      <c r="AC6" s="187">
        <v>1</v>
      </c>
      <c r="AD6" s="188">
        <f t="shared" si="0"/>
        <v>1</v>
      </c>
    </row>
    <row r="7" spans="1:30" ht="18" customHeight="1">
      <c r="A7" s="189">
        <v>5</v>
      </c>
      <c r="B7" s="189" t="s">
        <v>1417</v>
      </c>
      <c r="C7" s="190">
        <v>201.6</v>
      </c>
      <c r="D7" s="190">
        <v>0</v>
      </c>
      <c r="E7" s="190">
        <f>SUM(60+20+650)</f>
        <v>730</v>
      </c>
      <c r="F7" s="190"/>
      <c r="G7" s="190"/>
      <c r="I7" t="s">
        <v>1418</v>
      </c>
      <c r="J7" s="180">
        <v>10</v>
      </c>
      <c r="K7">
        <v>15</v>
      </c>
      <c r="S7" s="192" t="s">
        <v>1419</v>
      </c>
      <c r="T7" s="180">
        <v>27027.55</v>
      </c>
      <c r="U7" s="180">
        <v>13427.4</v>
      </c>
      <c r="W7" t="s">
        <v>1420</v>
      </c>
      <c r="X7" s="180">
        <v>30</v>
      </c>
      <c r="AB7" s="195" t="s">
        <v>1421</v>
      </c>
      <c r="AC7" s="196">
        <v>1</v>
      </c>
      <c r="AD7" s="197">
        <f t="shared" si="0"/>
        <v>1</v>
      </c>
    </row>
    <row r="8" spans="1:30" ht="18" customHeight="1">
      <c r="A8" s="189">
        <v>6</v>
      </c>
      <c r="B8" s="189" t="s">
        <v>1422</v>
      </c>
      <c r="C8" s="190">
        <v>291.79000000000002</v>
      </c>
      <c r="D8" s="190">
        <v>0</v>
      </c>
      <c r="E8" s="190">
        <f>SUM(14+5+50+45+25+2+360+60+44+3+4+3+20+200)</f>
        <v>835</v>
      </c>
      <c r="F8" s="190"/>
      <c r="G8" s="190"/>
      <c r="I8" t="s">
        <v>1423</v>
      </c>
      <c r="J8" s="180"/>
      <c r="S8" s="192" t="s">
        <v>1424</v>
      </c>
      <c r="T8" s="180">
        <f>1021.42+14105.35</f>
        <v>15126.77</v>
      </c>
      <c r="U8" s="180">
        <f>532.34+7388.86</f>
        <v>7921.2</v>
      </c>
      <c r="W8" t="s">
        <v>1425</v>
      </c>
      <c r="X8" s="180">
        <v>35</v>
      </c>
      <c r="AB8" s="186" t="s">
        <v>354</v>
      </c>
      <c r="AC8" s="187">
        <v>7</v>
      </c>
      <c r="AD8" s="188">
        <f t="shared" si="0"/>
        <v>7</v>
      </c>
    </row>
    <row r="9" spans="1:30" ht="18" customHeight="1">
      <c r="A9" s="189">
        <v>7</v>
      </c>
      <c r="B9" s="189" t="s">
        <v>1426</v>
      </c>
      <c r="C9" s="190">
        <v>444.24</v>
      </c>
      <c r="D9" s="190">
        <v>0</v>
      </c>
      <c r="E9" s="190">
        <f>SUM(7+95+2+2500+30+70+30+50+330+15+18+45+10+2+150+10+10+15)</f>
        <v>3389</v>
      </c>
      <c r="F9" s="190"/>
      <c r="G9" s="190"/>
      <c r="I9" t="s">
        <v>1427</v>
      </c>
      <c r="J9" s="180">
        <v>220.8</v>
      </c>
      <c r="K9">
        <v>20</v>
      </c>
      <c r="S9" s="192" t="s">
        <v>1428</v>
      </c>
      <c r="T9" s="180">
        <v>3303.72</v>
      </c>
      <c r="U9" s="180">
        <v>2758.75</v>
      </c>
      <c r="W9" t="s">
        <v>1429</v>
      </c>
      <c r="X9" s="180">
        <v>80</v>
      </c>
      <c r="AB9" s="199" t="s">
        <v>1430</v>
      </c>
      <c r="AC9" s="200">
        <v>2</v>
      </c>
      <c r="AD9" s="197">
        <f t="shared" si="0"/>
        <v>2</v>
      </c>
    </row>
    <row r="10" spans="1:30" ht="18" customHeight="1">
      <c r="A10" s="189">
        <v>8</v>
      </c>
      <c r="B10" s="189" t="s">
        <v>1431</v>
      </c>
      <c r="C10" s="190">
        <v>552.75</v>
      </c>
      <c r="D10" s="190">
        <v>0</v>
      </c>
      <c r="E10" s="190">
        <f>SUM(2+10+6+22.5+3+2+5+2+11)</f>
        <v>63.5</v>
      </c>
      <c r="F10" s="190"/>
      <c r="G10" s="190"/>
      <c r="I10" t="s">
        <v>1432</v>
      </c>
      <c r="J10" s="180">
        <v>220.8</v>
      </c>
      <c r="K10">
        <v>20</v>
      </c>
      <c r="S10" s="192" t="s">
        <v>1433</v>
      </c>
      <c r="T10" s="180">
        <v>2434.54</v>
      </c>
      <c r="U10" s="180">
        <v>1544.43</v>
      </c>
      <c r="AB10" s="186" t="s">
        <v>1434</v>
      </c>
      <c r="AC10" s="187">
        <v>2</v>
      </c>
      <c r="AD10" s="188">
        <f t="shared" si="0"/>
        <v>2</v>
      </c>
    </row>
    <row r="11" spans="1:30" ht="18" customHeight="1">
      <c r="A11" s="189">
        <v>9</v>
      </c>
      <c r="B11" s="189" t="s">
        <v>1435</v>
      </c>
      <c r="C11" s="190">
        <v>234.8</v>
      </c>
      <c r="D11" s="190">
        <v>0</v>
      </c>
      <c r="E11" s="190">
        <f>SUM(50+2+42+30+10+5)</f>
        <v>139</v>
      </c>
      <c r="F11" s="190"/>
      <c r="G11" s="190"/>
      <c r="I11" t="s">
        <v>1436</v>
      </c>
      <c r="J11" s="180">
        <v>81</v>
      </c>
      <c r="K11">
        <v>20</v>
      </c>
      <c r="AB11" s="195" t="s">
        <v>329</v>
      </c>
      <c r="AC11" s="196">
        <v>3</v>
      </c>
      <c r="AD11" s="197">
        <f t="shared" si="0"/>
        <v>3</v>
      </c>
    </row>
    <row r="12" spans="1:30" ht="18" customHeight="1">
      <c r="A12" s="189">
        <v>10</v>
      </c>
      <c r="B12" s="189" t="s">
        <v>1437</v>
      </c>
      <c r="C12" s="190">
        <v>312.44</v>
      </c>
      <c r="D12" s="190">
        <v>0</v>
      </c>
      <c r="E12" s="190">
        <f>SUM(30+10)</f>
        <v>40</v>
      </c>
      <c r="F12" s="190"/>
      <c r="G12" s="190"/>
      <c r="I12" t="s">
        <v>1438</v>
      </c>
      <c r="J12" s="180">
        <v>54.47</v>
      </c>
      <c r="K12">
        <v>20</v>
      </c>
      <c r="S12" t="s">
        <v>1108</v>
      </c>
      <c r="T12" s="180">
        <f t="shared" ref="T12:U12" si="1">SUM(T3:T11)</f>
        <v>67065.39</v>
      </c>
      <c r="U12" s="180">
        <f t="shared" si="1"/>
        <v>40359.25</v>
      </c>
      <c r="AB12" s="186" t="s">
        <v>585</v>
      </c>
      <c r="AC12" s="187">
        <v>3</v>
      </c>
      <c r="AD12" s="188">
        <f t="shared" si="0"/>
        <v>3</v>
      </c>
    </row>
    <row r="13" spans="1:30" ht="18" customHeight="1">
      <c r="A13" s="189">
        <v>11</v>
      </c>
      <c r="B13" s="189" t="s">
        <v>1439</v>
      </c>
      <c r="C13" s="190">
        <v>564.38</v>
      </c>
      <c r="D13" s="190">
        <v>0</v>
      </c>
      <c r="E13" s="190"/>
      <c r="F13" s="190"/>
      <c r="G13" s="190">
        <v>669.7</v>
      </c>
      <c r="I13" t="s">
        <v>1440</v>
      </c>
      <c r="J13" s="180">
        <v>100</v>
      </c>
      <c r="K13">
        <v>21</v>
      </c>
      <c r="W13" t="s">
        <v>1441</v>
      </c>
      <c r="X13" s="180">
        <f>SUM(X6:X12)</f>
        <v>210</v>
      </c>
      <c r="AB13" s="195" t="s">
        <v>1146</v>
      </c>
      <c r="AC13" s="196">
        <v>1</v>
      </c>
      <c r="AD13" s="197">
        <f t="shared" si="0"/>
        <v>1</v>
      </c>
    </row>
    <row r="14" spans="1:30" ht="18" customHeight="1">
      <c r="A14" s="189">
        <v>12</v>
      </c>
      <c r="B14" s="189" t="s">
        <v>1442</v>
      </c>
      <c r="C14" s="190">
        <v>3223.22</v>
      </c>
      <c r="D14" s="190"/>
      <c r="E14" s="190"/>
      <c r="F14" s="190"/>
      <c r="G14" s="190"/>
      <c r="I14" t="s">
        <v>1443</v>
      </c>
      <c r="J14" s="180">
        <v>100</v>
      </c>
      <c r="K14">
        <v>21</v>
      </c>
      <c r="AB14" s="186" t="s">
        <v>454</v>
      </c>
      <c r="AC14" s="187">
        <v>1</v>
      </c>
      <c r="AD14" s="188">
        <f t="shared" si="0"/>
        <v>1</v>
      </c>
    </row>
    <row r="15" spans="1:30" ht="18" customHeight="1">
      <c r="A15" s="316" t="s">
        <v>1444</v>
      </c>
      <c r="B15" s="317"/>
      <c r="C15" s="178">
        <f t="shared" ref="C15:G32" si="2">SUM(C3:C14)</f>
        <v>9154.2899999999991</v>
      </c>
      <c r="D15" s="178">
        <f t="shared" si="2"/>
        <v>470</v>
      </c>
      <c r="E15" s="178">
        <v>9759.5</v>
      </c>
      <c r="F15" s="178">
        <f t="shared" si="2"/>
        <v>0</v>
      </c>
      <c r="G15" s="178">
        <f t="shared" si="2"/>
        <v>669.7</v>
      </c>
      <c r="I15" t="s">
        <v>1445</v>
      </c>
      <c r="J15" s="180">
        <v>100</v>
      </c>
      <c r="K15">
        <v>27</v>
      </c>
      <c r="S15" s="192"/>
      <c r="AB15" s="195" t="s">
        <v>1152</v>
      </c>
      <c r="AC15" s="200">
        <v>1</v>
      </c>
      <c r="AD15" s="197">
        <f t="shared" si="0"/>
        <v>1</v>
      </c>
    </row>
    <row r="16" spans="1:30" ht="18" customHeight="1">
      <c r="A16" s="316" t="s">
        <v>1108</v>
      </c>
      <c r="B16" s="317"/>
      <c r="C16" s="178">
        <f t="shared" ref="C16:C33" si="3">SUM(C15:G15)</f>
        <v>20053.490000000002</v>
      </c>
      <c r="D16" s="178" t="s">
        <v>1446</v>
      </c>
      <c r="E16" s="178">
        <f t="shared" ref="E16:E33" si="4">81000-C16</f>
        <v>60946.509999999995</v>
      </c>
      <c r="F16" s="178"/>
      <c r="G16" s="178"/>
      <c r="AB16" s="186" t="s">
        <v>228</v>
      </c>
      <c r="AC16" s="187">
        <v>2</v>
      </c>
      <c r="AD16" s="188">
        <f t="shared" si="0"/>
        <v>2</v>
      </c>
    </row>
    <row r="17" spans="1:30" ht="18" customHeight="1">
      <c r="I17" t="s">
        <v>1447</v>
      </c>
      <c r="J17" s="201">
        <f>SUM(J3:J15)</f>
        <v>2232.2299999999996</v>
      </c>
      <c r="AB17" s="195" t="s">
        <v>1448</v>
      </c>
      <c r="AC17" s="196">
        <v>0</v>
      </c>
      <c r="AD17" s="197">
        <f t="shared" si="0"/>
        <v>0</v>
      </c>
    </row>
    <row r="18" spans="1:30" ht="18" customHeight="1">
      <c r="A18" s="316" t="s">
        <v>1378</v>
      </c>
      <c r="B18" s="283"/>
      <c r="C18" s="283"/>
      <c r="D18" s="283"/>
      <c r="E18" s="283"/>
      <c r="F18" s="283"/>
      <c r="G18" s="317"/>
      <c r="AB18" s="186" t="s">
        <v>244</v>
      </c>
      <c r="AC18" s="187">
        <v>2</v>
      </c>
      <c r="AD18" s="188">
        <f t="shared" si="0"/>
        <v>2</v>
      </c>
    </row>
    <row r="19" spans="1:30" ht="18" customHeight="1">
      <c r="A19" s="178" t="s">
        <v>1383</v>
      </c>
      <c r="B19" s="178" t="s">
        <v>1383</v>
      </c>
      <c r="C19" s="178" t="s">
        <v>1384</v>
      </c>
      <c r="D19" s="178" t="s">
        <v>1385</v>
      </c>
      <c r="E19" s="178" t="s">
        <v>1449</v>
      </c>
      <c r="F19" s="178"/>
      <c r="G19" s="178"/>
      <c r="AB19" s="195" t="s">
        <v>338</v>
      </c>
      <c r="AC19" s="196">
        <v>1</v>
      </c>
      <c r="AD19" s="197">
        <f t="shared" si="0"/>
        <v>1</v>
      </c>
    </row>
    <row r="20" spans="1:30" ht="18" customHeight="1">
      <c r="A20" s="189">
        <v>1</v>
      </c>
      <c r="B20" s="189" t="s">
        <v>1398</v>
      </c>
      <c r="C20" s="190"/>
      <c r="D20" s="190"/>
      <c r="E20" s="190"/>
      <c r="F20" s="190"/>
      <c r="G20" s="190"/>
      <c r="AB20" s="186" t="s">
        <v>1158</v>
      </c>
      <c r="AC20" s="202">
        <v>3</v>
      </c>
      <c r="AD20" s="188">
        <f t="shared" si="0"/>
        <v>3</v>
      </c>
    </row>
    <row r="21" spans="1:30" ht="18" customHeight="1">
      <c r="A21" s="189">
        <v>2</v>
      </c>
      <c r="B21" s="189" t="s">
        <v>1403</v>
      </c>
      <c r="C21" s="190"/>
      <c r="D21" s="190"/>
      <c r="E21" s="190"/>
      <c r="F21" s="190"/>
      <c r="G21" s="190"/>
      <c r="AB21" s="195" t="s">
        <v>222</v>
      </c>
      <c r="AC21" s="200">
        <v>1</v>
      </c>
      <c r="AD21" s="197">
        <f t="shared" si="0"/>
        <v>1</v>
      </c>
    </row>
    <row r="22" spans="1:30" ht="18" customHeight="1">
      <c r="A22" s="189">
        <v>3</v>
      </c>
      <c r="B22" s="189" t="s">
        <v>1409</v>
      </c>
      <c r="C22" s="190"/>
      <c r="D22" s="190"/>
      <c r="E22" s="190"/>
      <c r="F22" s="190"/>
      <c r="G22" s="190"/>
      <c r="AB22" s="186" t="s">
        <v>222</v>
      </c>
      <c r="AC22" s="187">
        <v>5</v>
      </c>
      <c r="AD22" s="188">
        <f t="shared" si="0"/>
        <v>5</v>
      </c>
    </row>
    <row r="23" spans="1:30" ht="18" customHeight="1">
      <c r="A23" s="189">
        <v>4</v>
      </c>
      <c r="B23" s="189" t="s">
        <v>1414</v>
      </c>
      <c r="C23" s="190"/>
      <c r="D23" s="190"/>
      <c r="E23" s="190"/>
      <c r="F23" s="190"/>
      <c r="G23" s="190"/>
      <c r="AB23" s="195" t="s">
        <v>288</v>
      </c>
      <c r="AC23" s="196">
        <v>1</v>
      </c>
      <c r="AD23" s="197">
        <f t="shared" si="0"/>
        <v>1</v>
      </c>
    </row>
    <row r="24" spans="1:30" ht="18" customHeight="1">
      <c r="A24" s="189">
        <v>5</v>
      </c>
      <c r="B24" s="189" t="s">
        <v>1417</v>
      </c>
      <c r="C24" s="190"/>
      <c r="D24" s="190"/>
      <c r="E24" s="190"/>
      <c r="F24" s="190"/>
      <c r="G24" s="190"/>
      <c r="I24" s="203"/>
      <c r="AB24" s="186" t="s">
        <v>151</v>
      </c>
      <c r="AC24" s="187">
        <v>1</v>
      </c>
      <c r="AD24" s="188">
        <f t="shared" si="0"/>
        <v>1</v>
      </c>
    </row>
    <row r="25" spans="1:30" ht="18" customHeight="1">
      <c r="A25" s="189">
        <v>6</v>
      </c>
      <c r="B25" s="189" t="s">
        <v>1422</v>
      </c>
      <c r="C25" s="190"/>
      <c r="D25" s="190"/>
      <c r="E25" s="190"/>
      <c r="F25" s="190"/>
      <c r="G25" s="190"/>
      <c r="AB25" s="199" t="s">
        <v>162</v>
      </c>
      <c r="AC25" s="200">
        <v>2</v>
      </c>
      <c r="AD25" s="197">
        <f t="shared" si="0"/>
        <v>2</v>
      </c>
    </row>
    <row r="26" spans="1:30" ht="18" customHeight="1">
      <c r="A26" s="189">
        <v>7</v>
      </c>
      <c r="B26" s="189" t="s">
        <v>1426</v>
      </c>
      <c r="C26" s="190"/>
      <c r="D26" s="190"/>
      <c r="E26" s="190"/>
      <c r="F26" s="190"/>
      <c r="G26" s="190"/>
      <c r="I26" s="203"/>
      <c r="AB26" s="186" t="s">
        <v>114</v>
      </c>
      <c r="AC26" s="187">
        <v>1</v>
      </c>
      <c r="AD26" s="188">
        <f t="shared" si="0"/>
        <v>1</v>
      </c>
    </row>
    <row r="27" spans="1:30" ht="18" customHeight="1">
      <c r="A27" s="189">
        <v>8</v>
      </c>
      <c r="B27" s="189" t="s">
        <v>1431</v>
      </c>
      <c r="C27" s="190"/>
      <c r="D27" s="190"/>
      <c r="E27" s="190"/>
      <c r="F27" s="190"/>
      <c r="G27" s="190"/>
      <c r="AB27" s="195" t="s">
        <v>1450</v>
      </c>
      <c r="AC27" s="196">
        <v>0</v>
      </c>
      <c r="AD27" s="197">
        <f t="shared" si="0"/>
        <v>0</v>
      </c>
    </row>
    <row r="28" spans="1:30" ht="18" customHeight="1">
      <c r="A28" s="189">
        <v>9</v>
      </c>
      <c r="B28" s="189" t="s">
        <v>1435</v>
      </c>
      <c r="C28" s="190"/>
      <c r="D28" s="190"/>
      <c r="E28" s="190"/>
      <c r="F28" s="190"/>
      <c r="G28" s="190"/>
      <c r="AB28" s="186" t="s">
        <v>315</v>
      </c>
      <c r="AC28" s="187">
        <v>1</v>
      </c>
      <c r="AD28" s="188">
        <f t="shared" si="0"/>
        <v>1</v>
      </c>
    </row>
    <row r="29" spans="1:30" ht="18" customHeight="1">
      <c r="A29" s="189">
        <v>10</v>
      </c>
      <c r="B29" s="189" t="s">
        <v>1437</v>
      </c>
      <c r="C29" s="190"/>
      <c r="D29" s="190"/>
      <c r="E29" s="190"/>
      <c r="F29" s="190"/>
      <c r="G29" s="190"/>
      <c r="AB29" s="204" t="s">
        <v>352</v>
      </c>
      <c r="AC29" s="200">
        <v>3</v>
      </c>
      <c r="AD29" s="197">
        <f t="shared" si="0"/>
        <v>3</v>
      </c>
    </row>
    <row r="30" spans="1:30" ht="18" customHeight="1">
      <c r="A30" s="189">
        <v>11</v>
      </c>
      <c r="B30" s="189" t="s">
        <v>1439</v>
      </c>
      <c r="C30" s="190"/>
      <c r="D30" s="190"/>
      <c r="E30" s="190"/>
      <c r="F30" s="190"/>
      <c r="G30" s="190"/>
      <c r="AB30" s="186" t="s">
        <v>1451</v>
      </c>
      <c r="AC30" s="187">
        <v>1</v>
      </c>
      <c r="AD30" s="188">
        <f t="shared" si="0"/>
        <v>1</v>
      </c>
    </row>
    <row r="31" spans="1:30" ht="18" customHeight="1">
      <c r="A31" s="189">
        <v>12</v>
      </c>
      <c r="B31" s="189" t="s">
        <v>1442</v>
      </c>
      <c r="C31" s="190"/>
      <c r="D31" s="190"/>
      <c r="E31" s="190"/>
      <c r="F31" s="190"/>
      <c r="G31" s="190"/>
      <c r="AB31" s="195" t="s">
        <v>218</v>
      </c>
      <c r="AC31" s="196">
        <v>5</v>
      </c>
      <c r="AD31" s="197">
        <f t="shared" si="0"/>
        <v>5</v>
      </c>
    </row>
    <row r="32" spans="1:30" ht="18" customHeight="1">
      <c r="A32" s="316" t="s">
        <v>1444</v>
      </c>
      <c r="B32" s="317"/>
      <c r="C32" s="178">
        <f t="shared" si="2"/>
        <v>0</v>
      </c>
      <c r="D32" s="178">
        <f t="shared" si="2"/>
        <v>0</v>
      </c>
      <c r="E32" s="178">
        <f t="shared" si="2"/>
        <v>0</v>
      </c>
      <c r="F32" s="178">
        <f t="shared" si="2"/>
        <v>0</v>
      </c>
      <c r="G32" s="178">
        <f t="shared" si="2"/>
        <v>0</v>
      </c>
      <c r="AB32" s="186" t="s">
        <v>654</v>
      </c>
      <c r="AC32" s="187">
        <v>1</v>
      </c>
      <c r="AD32" s="188">
        <f t="shared" si="0"/>
        <v>1</v>
      </c>
    </row>
    <row r="33" spans="1:30" ht="18" customHeight="1">
      <c r="A33" s="316" t="s">
        <v>1108</v>
      </c>
      <c r="B33" s="317"/>
      <c r="C33" s="178">
        <f t="shared" si="3"/>
        <v>0</v>
      </c>
      <c r="D33" s="178" t="s">
        <v>1446</v>
      </c>
      <c r="E33" s="178">
        <f t="shared" si="4"/>
        <v>81000</v>
      </c>
      <c r="F33" s="178"/>
      <c r="G33" s="178"/>
      <c r="AB33" s="199" t="s">
        <v>1452</v>
      </c>
      <c r="AC33" s="200">
        <v>7</v>
      </c>
      <c r="AD33" s="197">
        <f t="shared" si="0"/>
        <v>7</v>
      </c>
    </row>
    <row r="34" spans="1:30" ht="18" customHeight="1">
      <c r="AB34" s="186" t="s">
        <v>154</v>
      </c>
      <c r="AC34" s="202">
        <v>3</v>
      </c>
      <c r="AD34" s="188">
        <f t="shared" si="0"/>
        <v>3</v>
      </c>
    </row>
    <row r="35" spans="1:30" ht="18" customHeight="1">
      <c r="AB35" s="199" t="s">
        <v>514</v>
      </c>
      <c r="AC35" s="200">
        <v>1</v>
      </c>
      <c r="AD35" s="197">
        <f t="shared" si="0"/>
        <v>1</v>
      </c>
    </row>
    <row r="36" spans="1:30" ht="18" customHeight="1">
      <c r="AB36" s="186" t="s">
        <v>536</v>
      </c>
      <c r="AC36" s="187">
        <v>1</v>
      </c>
      <c r="AD36" s="188">
        <f t="shared" si="0"/>
        <v>1</v>
      </c>
    </row>
    <row r="37" spans="1:30" ht="18" customHeight="1">
      <c r="AB37" s="195" t="s">
        <v>1171</v>
      </c>
      <c r="AC37" s="196">
        <v>1</v>
      </c>
      <c r="AD37" s="197">
        <f t="shared" si="0"/>
        <v>1</v>
      </c>
    </row>
    <row r="38" spans="1:30" ht="18" customHeight="1">
      <c r="AB38" s="205" t="s">
        <v>182</v>
      </c>
      <c r="AC38" s="202">
        <v>2</v>
      </c>
      <c r="AD38" s="188">
        <f t="shared" si="0"/>
        <v>2</v>
      </c>
    </row>
    <row r="39" spans="1:30" ht="18" customHeight="1">
      <c r="AB39" s="195" t="s">
        <v>319</v>
      </c>
      <c r="AC39" s="196">
        <v>1</v>
      </c>
      <c r="AD39" s="197">
        <f t="shared" si="0"/>
        <v>1</v>
      </c>
    </row>
    <row r="40" spans="1:30" ht="18" customHeight="1">
      <c r="AB40" s="205" t="s">
        <v>410</v>
      </c>
      <c r="AC40" s="202">
        <v>1</v>
      </c>
      <c r="AD40" s="188">
        <f t="shared" si="0"/>
        <v>1</v>
      </c>
    </row>
    <row r="41" spans="1:30" ht="18" customHeight="1">
      <c r="AB41" s="195" t="s">
        <v>371</v>
      </c>
      <c r="AC41" s="196">
        <v>2</v>
      </c>
      <c r="AD41" s="197">
        <f t="shared" si="0"/>
        <v>2</v>
      </c>
    </row>
    <row r="42" spans="1:30" ht="18" customHeight="1">
      <c r="AB42" s="205" t="s">
        <v>488</v>
      </c>
      <c r="AC42" s="202">
        <v>3</v>
      </c>
      <c r="AD42" s="188">
        <f t="shared" si="0"/>
        <v>3</v>
      </c>
    </row>
    <row r="43" spans="1:30" ht="18" customHeight="1">
      <c r="AB43" s="195" t="s">
        <v>364</v>
      </c>
      <c r="AC43" s="196">
        <v>5</v>
      </c>
      <c r="AD43" s="197">
        <f t="shared" si="0"/>
        <v>5</v>
      </c>
    </row>
    <row r="44" spans="1:30" ht="18" customHeight="1">
      <c r="AB44" s="186" t="s">
        <v>278</v>
      </c>
      <c r="AC44" s="187">
        <v>2</v>
      </c>
      <c r="AD44" s="188">
        <f t="shared" si="0"/>
        <v>2</v>
      </c>
    </row>
    <row r="45" spans="1:30" ht="18" customHeight="1">
      <c r="AB45" s="199" t="s">
        <v>1453</v>
      </c>
      <c r="AC45" s="200">
        <v>1</v>
      </c>
      <c r="AD45" s="197">
        <f t="shared" si="0"/>
        <v>1</v>
      </c>
    </row>
    <row r="46" spans="1:30" ht="18" customHeight="1">
      <c r="AB46" s="205" t="s">
        <v>16</v>
      </c>
      <c r="AC46" s="202">
        <v>9</v>
      </c>
      <c r="AD46" s="188">
        <f t="shared" si="0"/>
        <v>9</v>
      </c>
    </row>
    <row r="47" spans="1:30" ht="18" customHeight="1">
      <c r="AB47" s="199" t="s">
        <v>581</v>
      </c>
      <c r="AC47" s="200">
        <v>2</v>
      </c>
      <c r="AD47" s="197">
        <f t="shared" si="0"/>
        <v>2</v>
      </c>
    </row>
    <row r="48" spans="1:30" ht="18" customHeight="1">
      <c r="AB48" s="205" t="s">
        <v>214</v>
      </c>
      <c r="AC48" s="202">
        <v>7</v>
      </c>
      <c r="AD48" s="188">
        <f t="shared" si="0"/>
        <v>7</v>
      </c>
    </row>
    <row r="49" spans="28:30" ht="18" customHeight="1">
      <c r="AB49" s="195" t="s">
        <v>1180</v>
      </c>
      <c r="AC49" s="196">
        <v>1</v>
      </c>
      <c r="AD49" s="197">
        <f t="shared" si="0"/>
        <v>1</v>
      </c>
    </row>
    <row r="50" spans="28:30" ht="18" customHeight="1">
      <c r="AB50" s="205" t="s">
        <v>246</v>
      </c>
      <c r="AC50" s="202">
        <v>4</v>
      </c>
      <c r="AD50" s="188">
        <f t="shared" si="0"/>
        <v>4</v>
      </c>
    </row>
    <row r="51" spans="28:30" ht="18" customHeight="1">
      <c r="AB51" s="199" t="s">
        <v>1183</v>
      </c>
      <c r="AC51" s="200">
        <v>0</v>
      </c>
      <c r="AD51" s="197">
        <f t="shared" si="0"/>
        <v>0</v>
      </c>
    </row>
    <row r="52" spans="28:30" ht="18" customHeight="1">
      <c r="AB52" s="186" t="s">
        <v>302</v>
      </c>
      <c r="AC52" s="187">
        <v>1</v>
      </c>
      <c r="AD52" s="188">
        <f t="shared" si="0"/>
        <v>1</v>
      </c>
    </row>
    <row r="53" spans="28:30" ht="18" customHeight="1">
      <c r="AB53" s="204" t="s">
        <v>216</v>
      </c>
      <c r="AC53" s="200">
        <v>2</v>
      </c>
      <c r="AD53" s="197">
        <f t="shared" si="0"/>
        <v>2</v>
      </c>
    </row>
    <row r="54" spans="28:30" ht="18" customHeight="1">
      <c r="AB54" s="186" t="s">
        <v>533</v>
      </c>
      <c r="AC54" s="187">
        <v>1</v>
      </c>
      <c r="AD54" s="188">
        <f t="shared" si="0"/>
        <v>1</v>
      </c>
    </row>
    <row r="55" spans="28:30" ht="18" customHeight="1">
      <c r="AB55" s="195" t="s">
        <v>188</v>
      </c>
      <c r="AC55" s="196">
        <v>4</v>
      </c>
      <c r="AD55" s="197">
        <f t="shared" si="0"/>
        <v>4</v>
      </c>
    </row>
    <row r="56" spans="28:30" ht="18" customHeight="1">
      <c r="AB56" s="186" t="s">
        <v>1454</v>
      </c>
      <c r="AC56" s="202">
        <v>5</v>
      </c>
      <c r="AD56" s="188">
        <f t="shared" si="0"/>
        <v>5</v>
      </c>
    </row>
    <row r="57" spans="28:30" ht="18" customHeight="1">
      <c r="AB57" s="195" t="s">
        <v>1455</v>
      </c>
      <c r="AC57" s="196">
        <v>0</v>
      </c>
      <c r="AD57" s="197">
        <f t="shared" si="0"/>
        <v>0</v>
      </c>
    </row>
    <row r="58" spans="28:30" ht="18" customHeight="1">
      <c r="AB58" s="186" t="s">
        <v>210</v>
      </c>
      <c r="AC58" s="187">
        <v>2</v>
      </c>
      <c r="AD58" s="188">
        <f t="shared" si="0"/>
        <v>2</v>
      </c>
    </row>
    <row r="59" spans="28:30" ht="18" customHeight="1">
      <c r="AB59" s="199" t="s">
        <v>225</v>
      </c>
      <c r="AC59" s="200">
        <v>2</v>
      </c>
      <c r="AD59" s="197">
        <f t="shared" si="0"/>
        <v>2</v>
      </c>
    </row>
    <row r="60" spans="28:30" ht="18" customHeight="1">
      <c r="AB60" s="186" t="s">
        <v>356</v>
      </c>
      <c r="AC60" s="187">
        <v>4</v>
      </c>
      <c r="AD60" s="188">
        <f t="shared" si="0"/>
        <v>4</v>
      </c>
    </row>
    <row r="61" spans="28:30" ht="18" customHeight="1">
      <c r="AB61" s="195" t="s">
        <v>1456</v>
      </c>
      <c r="AC61" s="196">
        <v>0</v>
      </c>
      <c r="AD61" s="197">
        <f t="shared" si="0"/>
        <v>0</v>
      </c>
    </row>
    <row r="62" spans="28:30" ht="18" customHeight="1">
      <c r="AB62" s="186" t="s">
        <v>254</v>
      </c>
      <c r="AC62" s="187">
        <v>1</v>
      </c>
      <c r="AD62" s="188">
        <f t="shared" si="0"/>
        <v>1</v>
      </c>
    </row>
    <row r="63" spans="28:30" ht="18" customHeight="1">
      <c r="AB63" s="199" t="s">
        <v>375</v>
      </c>
      <c r="AC63" s="200">
        <v>4</v>
      </c>
      <c r="AD63" s="197">
        <f t="shared" si="0"/>
        <v>4</v>
      </c>
    </row>
    <row r="64" spans="28:30" ht="18" customHeight="1">
      <c r="AB64" s="206" t="s">
        <v>305</v>
      </c>
      <c r="AC64" s="202">
        <v>2</v>
      </c>
      <c r="AD64" s="188">
        <f t="shared" si="0"/>
        <v>2</v>
      </c>
    </row>
    <row r="65" spans="28:30" ht="18" customHeight="1">
      <c r="AB65" s="195" t="s">
        <v>196</v>
      </c>
      <c r="AC65" s="200">
        <v>2</v>
      </c>
      <c r="AD65" s="197">
        <f t="shared" si="0"/>
        <v>2</v>
      </c>
    </row>
    <row r="66" spans="28:30" ht="18" customHeight="1">
      <c r="AB66" s="206" t="s">
        <v>755</v>
      </c>
      <c r="AC66" s="202">
        <v>1</v>
      </c>
      <c r="AD66" s="188">
        <f t="shared" si="0"/>
        <v>1</v>
      </c>
    </row>
    <row r="67" spans="28:30" ht="18" customHeight="1">
      <c r="AB67" s="195" t="s">
        <v>1191</v>
      </c>
      <c r="AC67" s="200">
        <v>3</v>
      </c>
      <c r="AD67" s="197">
        <f t="shared" si="0"/>
        <v>3</v>
      </c>
    </row>
    <row r="68" spans="28:30" ht="18" customHeight="1">
      <c r="AB68" s="186" t="s">
        <v>224</v>
      </c>
      <c r="AC68" s="187">
        <v>2</v>
      </c>
      <c r="AD68" s="188">
        <f t="shared" si="0"/>
        <v>2</v>
      </c>
    </row>
    <row r="69" spans="28:30" ht="18" customHeight="1">
      <c r="AB69" s="195" t="s">
        <v>336</v>
      </c>
      <c r="AC69" s="196">
        <v>1</v>
      </c>
      <c r="AD69" s="197">
        <f t="shared" si="0"/>
        <v>1</v>
      </c>
    </row>
    <row r="70" spans="28:30" ht="18" customHeight="1">
      <c r="AB70" s="186" t="s">
        <v>1192</v>
      </c>
      <c r="AC70" s="202">
        <v>2</v>
      </c>
      <c r="AD70" s="188">
        <f t="shared" si="0"/>
        <v>2</v>
      </c>
    </row>
    <row r="71" spans="28:30" ht="18" customHeight="1">
      <c r="AB71" s="195" t="s">
        <v>1193</v>
      </c>
      <c r="AC71" s="200">
        <v>2</v>
      </c>
      <c r="AD71" s="197">
        <f t="shared" si="0"/>
        <v>2</v>
      </c>
    </row>
    <row r="72" spans="28:30" ht="18" customHeight="1">
      <c r="AB72" s="205" t="s">
        <v>1457</v>
      </c>
      <c r="AC72" s="202">
        <v>1</v>
      </c>
      <c r="AD72" s="188">
        <f t="shared" si="0"/>
        <v>1</v>
      </c>
    </row>
    <row r="73" spans="28:30" ht="18" customHeight="1">
      <c r="AB73" s="195" t="s">
        <v>762</v>
      </c>
      <c r="AC73" s="200">
        <v>6</v>
      </c>
      <c r="AD73" s="197">
        <f t="shared" si="0"/>
        <v>6</v>
      </c>
    </row>
    <row r="74" spans="28:30" ht="18" customHeight="1">
      <c r="AB74" s="186" t="s">
        <v>1194</v>
      </c>
      <c r="AC74" s="187">
        <v>5</v>
      </c>
      <c r="AD74" s="188">
        <f t="shared" si="0"/>
        <v>5</v>
      </c>
    </row>
    <row r="75" spans="28:30" ht="18" customHeight="1">
      <c r="AB75" s="195" t="s">
        <v>1194</v>
      </c>
      <c r="AC75" s="196">
        <v>10</v>
      </c>
      <c r="AD75" s="197">
        <f t="shared" si="0"/>
        <v>10</v>
      </c>
    </row>
    <row r="76" spans="28:30" ht="18" customHeight="1">
      <c r="AB76" s="186" t="s">
        <v>55</v>
      </c>
      <c r="AC76" s="187">
        <v>11</v>
      </c>
      <c r="AD76" s="188">
        <f t="shared" si="0"/>
        <v>11</v>
      </c>
    </row>
    <row r="77" spans="28:30" ht="18" customHeight="1">
      <c r="AB77" s="199" t="s">
        <v>112</v>
      </c>
      <c r="AC77" s="200">
        <v>5</v>
      </c>
      <c r="AD77" s="197">
        <f t="shared" si="0"/>
        <v>5</v>
      </c>
    </row>
    <row r="78" spans="28:30" ht="18" customHeight="1">
      <c r="AB78" s="186" t="s">
        <v>378</v>
      </c>
      <c r="AC78" s="187">
        <v>5</v>
      </c>
      <c r="AD78" s="188">
        <f t="shared" si="0"/>
        <v>5</v>
      </c>
    </row>
    <row r="79" spans="28:30" ht="18" customHeight="1">
      <c r="AB79" s="199" t="s">
        <v>358</v>
      </c>
      <c r="AC79" s="207">
        <v>4</v>
      </c>
      <c r="AD79" s="197">
        <f t="shared" si="0"/>
        <v>4</v>
      </c>
    </row>
    <row r="80" spans="28:30" ht="18" customHeight="1">
      <c r="AB80" s="205" t="s">
        <v>258</v>
      </c>
      <c r="AC80" s="202">
        <v>4</v>
      </c>
      <c r="AD80" s="188">
        <f t="shared" si="0"/>
        <v>4</v>
      </c>
    </row>
    <row r="81" spans="28:30" ht="18" customHeight="1">
      <c r="AB81" s="199" t="s">
        <v>258</v>
      </c>
      <c r="AC81" s="207">
        <v>5</v>
      </c>
      <c r="AD81" s="197">
        <f t="shared" si="0"/>
        <v>5</v>
      </c>
    </row>
    <row r="82" spans="28:30" ht="18" customHeight="1">
      <c r="AB82" s="186" t="s">
        <v>631</v>
      </c>
      <c r="AC82" s="187">
        <v>1</v>
      </c>
      <c r="AD82" s="188">
        <f t="shared" si="0"/>
        <v>1</v>
      </c>
    </row>
    <row r="83" spans="28:30" ht="18" customHeight="1">
      <c r="AB83" s="195" t="s">
        <v>341</v>
      </c>
      <c r="AC83" s="200">
        <v>3</v>
      </c>
      <c r="AD83" s="197">
        <f t="shared" si="0"/>
        <v>3</v>
      </c>
    </row>
    <row r="84" spans="28:30" ht="18" customHeight="1">
      <c r="AB84" s="186" t="s">
        <v>527</v>
      </c>
      <c r="AC84" s="187">
        <v>1</v>
      </c>
      <c r="AD84" s="188">
        <f t="shared" si="0"/>
        <v>1</v>
      </c>
    </row>
    <row r="85" spans="28:30" ht="18" customHeight="1">
      <c r="AB85" s="199" t="s">
        <v>359</v>
      </c>
      <c r="AC85" s="200">
        <v>4</v>
      </c>
      <c r="AD85" s="197">
        <f t="shared" si="0"/>
        <v>4</v>
      </c>
    </row>
    <row r="86" spans="28:30" ht="18" customHeight="1">
      <c r="AB86" s="186" t="s">
        <v>1458</v>
      </c>
      <c r="AC86" s="187">
        <v>1</v>
      </c>
      <c r="AD86" s="188">
        <f t="shared" si="0"/>
        <v>1</v>
      </c>
    </row>
    <row r="87" spans="28:30" ht="18" customHeight="1">
      <c r="AB87" s="199" t="s">
        <v>240</v>
      </c>
      <c r="AC87" s="200">
        <v>2</v>
      </c>
      <c r="AD87" s="197">
        <f t="shared" si="0"/>
        <v>2</v>
      </c>
    </row>
    <row r="88" spans="28:30" ht="18" customHeight="1">
      <c r="AB88" s="186" t="s">
        <v>688</v>
      </c>
      <c r="AC88" s="187">
        <v>2</v>
      </c>
      <c r="AD88" s="188">
        <f t="shared" si="0"/>
        <v>2</v>
      </c>
    </row>
    <row r="89" spans="28:30" ht="18" customHeight="1">
      <c r="AB89" s="195" t="s">
        <v>1459</v>
      </c>
      <c r="AC89" s="196">
        <v>2</v>
      </c>
      <c r="AD89" s="197">
        <f t="shared" si="0"/>
        <v>2</v>
      </c>
    </row>
    <row r="90" spans="28:30" ht="18" customHeight="1">
      <c r="AB90" s="186" t="s">
        <v>262</v>
      </c>
      <c r="AC90" s="187">
        <v>1</v>
      </c>
      <c r="AD90" s="188">
        <f t="shared" si="0"/>
        <v>1</v>
      </c>
    </row>
    <row r="91" spans="28:30" ht="18" customHeight="1">
      <c r="AB91" s="195" t="s">
        <v>1460</v>
      </c>
      <c r="AC91" s="196">
        <v>1</v>
      </c>
      <c r="AD91" s="197">
        <f t="shared" si="0"/>
        <v>1</v>
      </c>
    </row>
    <row r="92" spans="28:30" ht="18" customHeight="1">
      <c r="AB92" s="186" t="s">
        <v>362</v>
      </c>
      <c r="AC92" s="207">
        <v>2</v>
      </c>
      <c r="AD92" s="188">
        <f t="shared" si="0"/>
        <v>2</v>
      </c>
    </row>
    <row r="93" spans="28:30" ht="18" customHeight="1">
      <c r="AB93" s="195" t="s">
        <v>250</v>
      </c>
      <c r="AC93" s="207">
        <v>3</v>
      </c>
      <c r="AD93" s="197">
        <f t="shared" si="0"/>
        <v>3</v>
      </c>
    </row>
    <row r="94" spans="28:30" ht="18" customHeight="1">
      <c r="AB94" s="206" t="s">
        <v>366</v>
      </c>
      <c r="AC94" s="207">
        <v>4</v>
      </c>
      <c r="AD94" s="188">
        <f t="shared" si="0"/>
        <v>4</v>
      </c>
    </row>
    <row r="95" spans="28:30" ht="18" customHeight="1">
      <c r="AB95" s="195" t="s">
        <v>1461</v>
      </c>
      <c r="AC95" s="208">
        <v>1</v>
      </c>
      <c r="AD95" s="197">
        <f t="shared" si="0"/>
        <v>1</v>
      </c>
    </row>
    <row r="96" spans="28:30" ht="18" customHeight="1">
      <c r="AB96" s="186" t="s">
        <v>25</v>
      </c>
      <c r="AC96" s="207">
        <v>6</v>
      </c>
      <c r="AD96" s="188">
        <f t="shared" si="0"/>
        <v>6</v>
      </c>
    </row>
    <row r="97" spans="28:30" ht="18" customHeight="1">
      <c r="AB97" s="195" t="s">
        <v>1462</v>
      </c>
      <c r="AC97" s="207">
        <v>5</v>
      </c>
      <c r="AD97" s="197">
        <f t="shared" si="0"/>
        <v>5</v>
      </c>
    </row>
    <row r="98" spans="28:30" ht="18" customHeight="1">
      <c r="AB98" s="186" t="s">
        <v>417</v>
      </c>
      <c r="AC98" s="187">
        <v>1</v>
      </c>
      <c r="AD98" s="188">
        <f t="shared" si="0"/>
        <v>1</v>
      </c>
    </row>
    <row r="99" spans="28:30" ht="18" customHeight="1">
      <c r="AB99" s="199" t="s">
        <v>252</v>
      </c>
      <c r="AC99" s="200">
        <v>1</v>
      </c>
      <c r="AD99" s="197">
        <f t="shared" si="0"/>
        <v>1</v>
      </c>
    </row>
    <row r="100" spans="28:30" ht="18" customHeight="1">
      <c r="AB100" s="186" t="s">
        <v>1212</v>
      </c>
      <c r="AC100" s="187">
        <v>1</v>
      </c>
      <c r="AD100" s="188">
        <f t="shared" si="0"/>
        <v>1</v>
      </c>
    </row>
    <row r="101" spans="28:30" ht="18" customHeight="1">
      <c r="AB101" s="195" t="s">
        <v>157</v>
      </c>
      <c r="AC101" s="196">
        <v>2</v>
      </c>
      <c r="AD101" s="197">
        <f t="shared" si="0"/>
        <v>2</v>
      </c>
    </row>
    <row r="102" spans="28:30" ht="18" customHeight="1">
      <c r="AB102" s="186" t="s">
        <v>287</v>
      </c>
      <c r="AC102" s="202">
        <v>4</v>
      </c>
      <c r="AD102" s="188">
        <f t="shared" si="0"/>
        <v>4</v>
      </c>
    </row>
    <row r="103" spans="28:30" ht="18" customHeight="1">
      <c r="AB103" s="195" t="s">
        <v>1213</v>
      </c>
      <c r="AC103" s="200">
        <v>3</v>
      </c>
      <c r="AD103" s="197">
        <f t="shared" si="0"/>
        <v>3</v>
      </c>
    </row>
    <row r="104" spans="28:30" ht="18" customHeight="1">
      <c r="AB104" s="186" t="s">
        <v>629</v>
      </c>
      <c r="AC104" s="187">
        <v>1</v>
      </c>
      <c r="AD104" s="188">
        <f t="shared" si="0"/>
        <v>1</v>
      </c>
    </row>
    <row r="105" spans="28:30" ht="18" customHeight="1">
      <c r="AB105" s="195" t="s">
        <v>32</v>
      </c>
      <c r="AC105" s="196">
        <v>10</v>
      </c>
      <c r="AD105" s="197">
        <f t="shared" si="0"/>
        <v>10</v>
      </c>
    </row>
    <row r="106" spans="28:30" ht="18" customHeight="1">
      <c r="AB106" s="186" t="s">
        <v>227</v>
      </c>
      <c r="AC106" s="187">
        <v>2</v>
      </c>
      <c r="AD106" s="188">
        <f t="shared" si="0"/>
        <v>2</v>
      </c>
    </row>
    <row r="107" spans="28:30" ht="18" customHeight="1">
      <c r="AB107" s="195" t="s">
        <v>1216</v>
      </c>
      <c r="AC107" s="196">
        <v>1</v>
      </c>
      <c r="AD107" s="197">
        <f t="shared" si="0"/>
        <v>1</v>
      </c>
    </row>
    <row r="108" spans="28:30" ht="18" customHeight="1">
      <c r="AB108" s="186" t="s">
        <v>376</v>
      </c>
      <c r="AC108" s="187">
        <v>1</v>
      </c>
      <c r="AD108" s="188">
        <f t="shared" si="0"/>
        <v>1</v>
      </c>
    </row>
    <row r="109" spans="28:30" ht="18" customHeight="1">
      <c r="AB109" s="195" t="s">
        <v>327</v>
      </c>
      <c r="AC109" s="200">
        <v>1</v>
      </c>
      <c r="AD109" s="197">
        <f t="shared" si="0"/>
        <v>1</v>
      </c>
    </row>
    <row r="110" spans="28:30" ht="18" customHeight="1">
      <c r="AB110" s="186" t="s">
        <v>211</v>
      </c>
      <c r="AC110" s="187">
        <v>1</v>
      </c>
      <c r="AD110" s="188">
        <f t="shared" si="0"/>
        <v>1</v>
      </c>
    </row>
    <row r="111" spans="28:30" ht="18" customHeight="1">
      <c r="AB111" s="204" t="s">
        <v>140</v>
      </c>
      <c r="AC111" s="200">
        <v>2</v>
      </c>
      <c r="AD111" s="197">
        <f t="shared" si="0"/>
        <v>2</v>
      </c>
    </row>
    <row r="112" spans="28:30" ht="18" customHeight="1">
      <c r="AB112" s="186" t="s">
        <v>158</v>
      </c>
      <c r="AC112" s="187">
        <v>1</v>
      </c>
      <c r="AD112" s="188">
        <f t="shared" si="0"/>
        <v>1</v>
      </c>
    </row>
    <row r="113" spans="28:30" ht="18" customHeight="1">
      <c r="AB113" s="195" t="s">
        <v>1463</v>
      </c>
      <c r="AC113" s="196">
        <v>1</v>
      </c>
      <c r="AD113" s="197">
        <f t="shared" si="0"/>
        <v>1</v>
      </c>
    </row>
    <row r="114" spans="28:30" ht="18" customHeight="1">
      <c r="AB114" s="186" t="s">
        <v>300</v>
      </c>
      <c r="AC114" s="187">
        <v>1</v>
      </c>
      <c r="AD114" s="188">
        <f t="shared" si="0"/>
        <v>1</v>
      </c>
    </row>
    <row r="115" spans="28:30" ht="18" customHeight="1">
      <c r="AB115" s="199" t="s">
        <v>183</v>
      </c>
      <c r="AC115" s="200">
        <v>4</v>
      </c>
      <c r="AD115" s="197">
        <f t="shared" si="0"/>
        <v>4</v>
      </c>
    </row>
    <row r="116" spans="28:30" ht="18" customHeight="1">
      <c r="AB116" s="186" t="s">
        <v>610</v>
      </c>
      <c r="AC116" s="187">
        <v>1</v>
      </c>
      <c r="AD116" s="188">
        <f t="shared" si="0"/>
        <v>1</v>
      </c>
    </row>
    <row r="117" spans="28:30" ht="18" customHeight="1">
      <c r="AB117" s="195" t="s">
        <v>1464</v>
      </c>
      <c r="AC117" s="196">
        <v>1</v>
      </c>
      <c r="AD117" s="197">
        <f t="shared" si="0"/>
        <v>1</v>
      </c>
    </row>
    <row r="118" spans="28:30" ht="18" customHeight="1">
      <c r="AB118" s="186" t="s">
        <v>257</v>
      </c>
      <c r="AC118" s="187">
        <v>1</v>
      </c>
      <c r="AD118" s="188">
        <f t="shared" si="0"/>
        <v>1</v>
      </c>
    </row>
    <row r="119" spans="28:30" ht="18" customHeight="1">
      <c r="AB119" s="199" t="s">
        <v>236</v>
      </c>
      <c r="AC119" s="200">
        <v>3</v>
      </c>
      <c r="AD119" s="197">
        <f t="shared" si="0"/>
        <v>3</v>
      </c>
    </row>
    <row r="120" spans="28:30" ht="18" customHeight="1">
      <c r="AB120" s="205" t="s">
        <v>1465</v>
      </c>
      <c r="AC120" s="202">
        <v>2</v>
      </c>
      <c r="AD120" s="188">
        <f t="shared" si="0"/>
        <v>2</v>
      </c>
    </row>
    <row r="121" spans="28:30" ht="18" customHeight="1">
      <c r="AB121" s="195" t="s">
        <v>614</v>
      </c>
      <c r="AC121" s="196">
        <v>20</v>
      </c>
      <c r="AD121" s="197">
        <f t="shared" si="0"/>
        <v>20</v>
      </c>
    </row>
    <row r="122" spans="28:30" ht="18" customHeight="1">
      <c r="AB122" s="186" t="s">
        <v>1223</v>
      </c>
      <c r="AC122" s="202">
        <v>2</v>
      </c>
      <c r="AD122" s="188">
        <f t="shared" si="0"/>
        <v>2</v>
      </c>
    </row>
    <row r="123" spans="28:30" ht="18" customHeight="1">
      <c r="AB123" s="195" t="s">
        <v>732</v>
      </c>
      <c r="AC123" s="200">
        <v>1</v>
      </c>
      <c r="AD123" s="197">
        <f t="shared" si="0"/>
        <v>1</v>
      </c>
    </row>
    <row r="124" spans="28:30" ht="18" customHeight="1">
      <c r="AB124" s="206" t="s">
        <v>1466</v>
      </c>
      <c r="AC124" s="202">
        <v>1</v>
      </c>
      <c r="AD124" s="188">
        <f t="shared" si="0"/>
        <v>1</v>
      </c>
    </row>
    <row r="125" spans="28:30" ht="18" customHeight="1">
      <c r="AB125" s="199" t="s">
        <v>167</v>
      </c>
      <c r="AC125" s="200">
        <v>3</v>
      </c>
      <c r="AD125" s="197">
        <f t="shared" si="0"/>
        <v>3</v>
      </c>
    </row>
    <row r="126" spans="28:30" ht="18" customHeight="1">
      <c r="AB126" s="186" t="s">
        <v>1467</v>
      </c>
      <c r="AC126" s="187">
        <v>2</v>
      </c>
      <c r="AD126" s="188">
        <f t="shared" si="0"/>
        <v>2</v>
      </c>
    </row>
    <row r="127" spans="28:30" ht="18" customHeight="1">
      <c r="AB127" s="195" t="s">
        <v>1226</v>
      </c>
      <c r="AC127" s="196">
        <v>1</v>
      </c>
      <c r="AD127" s="197">
        <f t="shared" si="0"/>
        <v>1</v>
      </c>
    </row>
    <row r="128" spans="28:30" ht="18" customHeight="1">
      <c r="AB128" s="186" t="s">
        <v>367</v>
      </c>
      <c r="AC128" s="187">
        <v>999</v>
      </c>
      <c r="AD128" s="188">
        <f t="shared" si="0"/>
        <v>999</v>
      </c>
    </row>
    <row r="129" spans="28:30" ht="18" customHeight="1">
      <c r="AB129" s="199" t="s">
        <v>241</v>
      </c>
      <c r="AC129" s="200">
        <v>1</v>
      </c>
      <c r="AD129" s="197">
        <f t="shared" si="0"/>
        <v>1</v>
      </c>
    </row>
    <row r="130" spans="28:30" ht="18" customHeight="1">
      <c r="AB130" s="205" t="s">
        <v>1468</v>
      </c>
      <c r="AC130" s="202">
        <v>0</v>
      </c>
      <c r="AD130" s="188">
        <f t="shared" si="0"/>
        <v>0</v>
      </c>
    </row>
    <row r="131" spans="28:30" ht="18" customHeight="1">
      <c r="AB131" s="199" t="s">
        <v>1469</v>
      </c>
      <c r="AC131" s="196">
        <v>0</v>
      </c>
      <c r="AD131" s="197">
        <f t="shared" si="0"/>
        <v>0</v>
      </c>
    </row>
    <row r="132" spans="28:30" ht="18" customHeight="1">
      <c r="AB132" s="205" t="s">
        <v>169</v>
      </c>
      <c r="AC132" s="202">
        <v>4</v>
      </c>
      <c r="AD132" s="188">
        <f t="shared" si="0"/>
        <v>4</v>
      </c>
    </row>
    <row r="133" spans="28:30" ht="18" customHeight="1">
      <c r="AB133" s="199" t="s">
        <v>249</v>
      </c>
      <c r="AC133" s="196">
        <v>1</v>
      </c>
      <c r="AD133" s="197">
        <f t="shared" si="0"/>
        <v>1</v>
      </c>
    </row>
    <row r="134" spans="28:30" ht="18" customHeight="1">
      <c r="AB134" s="186" t="s">
        <v>1470</v>
      </c>
      <c r="AC134" s="187">
        <v>10</v>
      </c>
      <c r="AD134" s="188">
        <f t="shared" si="0"/>
        <v>10</v>
      </c>
    </row>
    <row r="135" spans="28:30" ht="18" customHeight="1">
      <c r="AB135" s="195" t="s">
        <v>232</v>
      </c>
      <c r="AC135" s="196">
        <v>1</v>
      </c>
      <c r="AD135" s="197">
        <f t="shared" si="0"/>
        <v>1</v>
      </c>
    </row>
    <row r="136" spans="28:30" ht="18" customHeight="1">
      <c r="AB136" s="186" t="s">
        <v>206</v>
      </c>
      <c r="AC136" s="187">
        <v>2</v>
      </c>
      <c r="AD136" s="188">
        <f t="shared" si="0"/>
        <v>2</v>
      </c>
    </row>
    <row r="137" spans="28:30" ht="18" customHeight="1">
      <c r="AB137" s="195" t="s">
        <v>1471</v>
      </c>
      <c r="AC137" s="200">
        <v>0</v>
      </c>
      <c r="AD137" s="197">
        <f t="shared" si="0"/>
        <v>0</v>
      </c>
    </row>
    <row r="138" spans="28:30" ht="18" customHeight="1">
      <c r="AB138" s="186" t="s">
        <v>373</v>
      </c>
      <c r="AC138" s="187">
        <v>1</v>
      </c>
      <c r="AD138" s="188">
        <f t="shared" si="0"/>
        <v>1</v>
      </c>
    </row>
    <row r="139" spans="28:30" ht="18" customHeight="1">
      <c r="AB139" s="199" t="s">
        <v>149</v>
      </c>
      <c r="AC139" s="200">
        <v>3</v>
      </c>
      <c r="AD139" s="197">
        <f t="shared" si="0"/>
        <v>3</v>
      </c>
    </row>
    <row r="140" spans="28:30" ht="18" customHeight="1">
      <c r="AB140" s="186" t="s">
        <v>1472</v>
      </c>
      <c r="AC140" s="187">
        <v>1</v>
      </c>
      <c r="AD140" s="188">
        <f t="shared" si="0"/>
        <v>1</v>
      </c>
    </row>
    <row r="141" spans="28:30" ht="18" customHeight="1">
      <c r="AB141" s="199" t="s">
        <v>476</v>
      </c>
      <c r="AC141" s="200">
        <v>2</v>
      </c>
      <c r="AD141" s="197">
        <f t="shared" si="0"/>
        <v>2</v>
      </c>
    </row>
    <row r="142" spans="28:30" ht="18" customHeight="1">
      <c r="AB142" s="186" t="s">
        <v>231</v>
      </c>
      <c r="AC142" s="202">
        <v>1</v>
      </c>
      <c r="AD142" s="188">
        <f t="shared" si="0"/>
        <v>1</v>
      </c>
    </row>
    <row r="143" spans="28:30" ht="18" customHeight="1">
      <c r="AB143" s="195" t="s">
        <v>177</v>
      </c>
      <c r="AC143" s="200">
        <v>6</v>
      </c>
      <c r="AD143" s="197">
        <f t="shared" si="0"/>
        <v>6</v>
      </c>
    </row>
    <row r="144" spans="28:30" ht="18" customHeight="1">
      <c r="AB144" s="205" t="s">
        <v>599</v>
      </c>
      <c r="AC144" s="202">
        <v>4</v>
      </c>
      <c r="AD144" s="188">
        <f t="shared" si="0"/>
        <v>4</v>
      </c>
    </row>
    <row r="145" spans="28:30" ht="18" customHeight="1">
      <c r="AB145" s="195" t="s">
        <v>289</v>
      </c>
      <c r="AC145" s="196">
        <v>1</v>
      </c>
      <c r="AD145" s="197">
        <f t="shared" si="0"/>
        <v>1</v>
      </c>
    </row>
    <row r="146" spans="28:30" ht="18" customHeight="1">
      <c r="AB146" s="186" t="s">
        <v>377</v>
      </c>
      <c r="AC146" s="187">
        <v>3</v>
      </c>
      <c r="AD146" s="188">
        <f t="shared" si="0"/>
        <v>3</v>
      </c>
    </row>
    <row r="147" spans="28:30" ht="18" customHeight="1">
      <c r="AB147" s="199" t="s">
        <v>253</v>
      </c>
      <c r="AC147" s="200">
        <v>3</v>
      </c>
      <c r="AD147" s="197">
        <f t="shared" si="0"/>
        <v>3</v>
      </c>
    </row>
    <row r="148" spans="28:30" ht="18" customHeight="1">
      <c r="AB148" s="205" t="s">
        <v>463</v>
      </c>
      <c r="AC148" s="202">
        <v>2</v>
      </c>
      <c r="AD148" s="188">
        <f t="shared" si="0"/>
        <v>2</v>
      </c>
    </row>
    <row r="149" spans="28:30" ht="18" customHeight="1">
      <c r="AB149" s="204" t="s">
        <v>1238</v>
      </c>
      <c r="AC149" s="200">
        <v>0</v>
      </c>
      <c r="AD149" s="197">
        <f t="shared" si="0"/>
        <v>0</v>
      </c>
    </row>
    <row r="150" spans="28:30" ht="18" customHeight="1">
      <c r="AB150" s="186" t="s">
        <v>430</v>
      </c>
      <c r="AC150" s="187">
        <v>1</v>
      </c>
      <c r="AD150" s="188">
        <f t="shared" si="0"/>
        <v>1</v>
      </c>
    </row>
    <row r="151" spans="28:30" ht="18" customHeight="1">
      <c r="AB151" s="195" t="s">
        <v>462</v>
      </c>
      <c r="AC151" s="196">
        <v>1</v>
      </c>
      <c r="AD151" s="197">
        <f t="shared" si="0"/>
        <v>1</v>
      </c>
    </row>
    <row r="152" spans="28:30" ht="18" customHeight="1">
      <c r="AB152" s="205" t="s">
        <v>1242</v>
      </c>
      <c r="AC152" s="202">
        <v>1</v>
      </c>
      <c r="AD152" s="188">
        <f t="shared" si="0"/>
        <v>1</v>
      </c>
    </row>
    <row r="153" spans="28:30" ht="18" customHeight="1">
      <c r="AB153" s="199" t="s">
        <v>1243</v>
      </c>
      <c r="AC153" s="200">
        <v>1</v>
      </c>
      <c r="AD153" s="197">
        <f t="shared" si="0"/>
        <v>1</v>
      </c>
    </row>
    <row r="154" spans="28:30" ht="18" customHeight="1">
      <c r="AB154" s="205" t="s">
        <v>1244</v>
      </c>
      <c r="AC154" s="202">
        <v>2</v>
      </c>
      <c r="AD154" s="188">
        <f t="shared" si="0"/>
        <v>2</v>
      </c>
    </row>
    <row r="155" spans="28:30" ht="18" customHeight="1">
      <c r="AB155" s="195" t="s">
        <v>238</v>
      </c>
      <c r="AC155" s="196">
        <v>3</v>
      </c>
      <c r="AD155" s="197">
        <f t="shared" si="0"/>
        <v>3</v>
      </c>
    </row>
    <row r="156" spans="28:30" ht="18" customHeight="1">
      <c r="AB156" s="205" t="s">
        <v>1250</v>
      </c>
      <c r="AC156" s="207">
        <v>4</v>
      </c>
      <c r="AD156" s="188">
        <f t="shared" si="0"/>
        <v>4</v>
      </c>
    </row>
    <row r="157" spans="28:30" ht="18" customHeight="1">
      <c r="AB157" s="199" t="s">
        <v>509</v>
      </c>
      <c r="AC157" s="207">
        <v>4</v>
      </c>
      <c r="AD157" s="197">
        <f t="shared" si="0"/>
        <v>4</v>
      </c>
    </row>
    <row r="158" spans="28:30" ht="18" customHeight="1">
      <c r="AB158" s="205" t="s">
        <v>1251</v>
      </c>
      <c r="AC158" s="207">
        <v>2</v>
      </c>
      <c r="AD158" s="188">
        <f t="shared" si="0"/>
        <v>2</v>
      </c>
    </row>
    <row r="159" spans="28:30" ht="18" customHeight="1">
      <c r="AB159" s="195" t="s">
        <v>223</v>
      </c>
      <c r="AC159" s="196">
        <v>10</v>
      </c>
      <c r="AD159" s="197">
        <f t="shared" si="0"/>
        <v>10</v>
      </c>
    </row>
    <row r="160" spans="28:30" ht="18" customHeight="1">
      <c r="AB160" s="186" t="s">
        <v>163</v>
      </c>
      <c r="AC160" s="187">
        <v>1</v>
      </c>
      <c r="AD160" s="188">
        <f t="shared" si="0"/>
        <v>1</v>
      </c>
    </row>
    <row r="161" spans="28:30" ht="18" customHeight="1">
      <c r="AB161" s="195" t="s">
        <v>153</v>
      </c>
      <c r="AC161" s="200">
        <v>4</v>
      </c>
      <c r="AD161" s="197">
        <f t="shared" si="0"/>
        <v>4</v>
      </c>
    </row>
    <row r="162" spans="28:30" ht="18" customHeight="1">
      <c r="AB162" s="186" t="s">
        <v>217</v>
      </c>
      <c r="AC162" s="187">
        <v>6</v>
      </c>
      <c r="AD162" s="188">
        <f t="shared" si="0"/>
        <v>6</v>
      </c>
    </row>
    <row r="163" spans="28:30" ht="18" customHeight="1">
      <c r="AB163" s="199" t="s">
        <v>159</v>
      </c>
      <c r="AC163" s="200">
        <v>4</v>
      </c>
      <c r="AD163" s="197">
        <f t="shared" si="0"/>
        <v>4</v>
      </c>
    </row>
    <row r="164" spans="28:30" ht="18" customHeight="1">
      <c r="AB164" s="205" t="s">
        <v>1253</v>
      </c>
      <c r="AC164" s="202">
        <v>1</v>
      </c>
      <c r="AD164" s="188">
        <f t="shared" si="0"/>
        <v>1</v>
      </c>
    </row>
    <row r="165" spans="28:30" ht="18" customHeight="1">
      <c r="AB165" s="195" t="s">
        <v>326</v>
      </c>
      <c r="AC165" s="196">
        <v>3</v>
      </c>
      <c r="AD165" s="197">
        <f t="shared" si="0"/>
        <v>3</v>
      </c>
    </row>
    <row r="166" spans="28:30" ht="18" customHeight="1">
      <c r="AB166" s="186" t="s">
        <v>304</v>
      </c>
      <c r="AC166" s="187">
        <v>2</v>
      </c>
      <c r="AD166" s="188">
        <f t="shared" si="0"/>
        <v>2</v>
      </c>
    </row>
    <row r="167" spans="28:30" ht="18" customHeight="1">
      <c r="AB167" s="195" t="s">
        <v>187</v>
      </c>
      <c r="AC167" s="200">
        <v>4</v>
      </c>
      <c r="AD167" s="197">
        <f t="shared" si="0"/>
        <v>4</v>
      </c>
    </row>
    <row r="168" spans="28:30" ht="18" customHeight="1">
      <c r="AB168" s="205" t="s">
        <v>293</v>
      </c>
      <c r="AC168" s="202">
        <v>2</v>
      </c>
      <c r="AD168" s="188">
        <f t="shared" si="0"/>
        <v>2</v>
      </c>
    </row>
    <row r="169" spans="28:30" ht="18" customHeight="1">
      <c r="AB169" s="204" t="s">
        <v>313</v>
      </c>
      <c r="AC169" s="196">
        <v>2</v>
      </c>
      <c r="AD169" s="197">
        <f t="shared" si="0"/>
        <v>2</v>
      </c>
    </row>
    <row r="170" spans="28:30" ht="18" customHeight="1">
      <c r="AB170" s="206" t="s">
        <v>480</v>
      </c>
      <c r="AC170" s="187">
        <v>1</v>
      </c>
      <c r="AD170" s="188">
        <f t="shared" si="0"/>
        <v>1</v>
      </c>
    </row>
    <row r="171" spans="28:30" ht="18" customHeight="1">
      <c r="AB171" s="199" t="s">
        <v>1258</v>
      </c>
      <c r="AC171" s="196">
        <v>3</v>
      </c>
      <c r="AD171" s="197">
        <f t="shared" si="0"/>
        <v>3</v>
      </c>
    </row>
    <row r="172" spans="28:30" ht="18" customHeight="1">
      <c r="AB172" s="209" t="s">
        <v>1263</v>
      </c>
      <c r="AC172" s="187">
        <v>500</v>
      </c>
      <c r="AD172" s="188">
        <f t="shared" si="0"/>
        <v>500</v>
      </c>
    </row>
    <row r="173" spans="28:30" ht="18" customHeight="1">
      <c r="AB173" s="204" t="s">
        <v>146</v>
      </c>
      <c r="AC173" s="196">
        <v>500</v>
      </c>
      <c r="AD173" s="197">
        <f t="shared" si="0"/>
        <v>500</v>
      </c>
    </row>
    <row r="174" spans="28:30" ht="18" customHeight="1">
      <c r="AB174" s="205" t="s">
        <v>166</v>
      </c>
      <c r="AC174" s="202">
        <v>5</v>
      </c>
      <c r="AD174" s="188">
        <f t="shared" si="0"/>
        <v>5</v>
      </c>
    </row>
    <row r="175" spans="28:30" ht="18" customHeight="1">
      <c r="AB175" s="195" t="s">
        <v>577</v>
      </c>
      <c r="AC175" s="200">
        <v>1</v>
      </c>
      <c r="AD175" s="197">
        <f t="shared" si="0"/>
        <v>1</v>
      </c>
    </row>
    <row r="176" spans="28:30" ht="18" customHeight="1">
      <c r="AB176" s="206" t="s">
        <v>1265</v>
      </c>
      <c r="AC176" s="202">
        <v>3</v>
      </c>
      <c r="AD176" s="188">
        <f t="shared" si="0"/>
        <v>3</v>
      </c>
    </row>
    <row r="177" spans="28:30" ht="18" customHeight="1">
      <c r="AB177" s="199" t="s">
        <v>213</v>
      </c>
      <c r="AC177" s="196">
        <v>1</v>
      </c>
      <c r="AD177" s="197">
        <f t="shared" si="0"/>
        <v>1</v>
      </c>
    </row>
    <row r="178" spans="28:30" ht="18" customHeight="1">
      <c r="AB178" s="205" t="s">
        <v>185</v>
      </c>
      <c r="AC178" s="202">
        <v>2</v>
      </c>
      <c r="AD178" s="188">
        <f t="shared" si="0"/>
        <v>2</v>
      </c>
    </row>
    <row r="179" spans="28:30" ht="18" customHeight="1">
      <c r="AB179" s="195" t="s">
        <v>1269</v>
      </c>
      <c r="AC179" s="196">
        <v>2</v>
      </c>
      <c r="AD179" s="197">
        <f t="shared" si="0"/>
        <v>2</v>
      </c>
    </row>
    <row r="180" spans="28:30" ht="18" customHeight="1">
      <c r="AB180" s="186" t="s">
        <v>1271</v>
      </c>
      <c r="AC180" s="187">
        <v>3</v>
      </c>
      <c r="AD180" s="188">
        <f t="shared" si="0"/>
        <v>3</v>
      </c>
    </row>
    <row r="181" spans="28:30" ht="18" customHeight="1">
      <c r="AB181" s="195" t="s">
        <v>1273</v>
      </c>
      <c r="AC181" s="200">
        <v>4</v>
      </c>
      <c r="AD181" s="197">
        <f t="shared" si="0"/>
        <v>4</v>
      </c>
    </row>
    <row r="182" spans="28:30" ht="18" customHeight="1">
      <c r="AB182" s="186" t="s">
        <v>1274</v>
      </c>
      <c r="AC182" s="202">
        <v>1</v>
      </c>
      <c r="AD182" s="188">
        <f t="shared" si="0"/>
        <v>1</v>
      </c>
    </row>
    <row r="183" spans="28:30" ht="18" customHeight="1">
      <c r="AB183" s="195" t="s">
        <v>299</v>
      </c>
      <c r="AC183" s="196">
        <v>1</v>
      </c>
      <c r="AD183" s="197">
        <f t="shared" si="0"/>
        <v>1</v>
      </c>
    </row>
    <row r="184" spans="28:30" ht="18" customHeight="1">
      <c r="AB184" s="186" t="s">
        <v>1276</v>
      </c>
      <c r="AC184" s="202">
        <v>1</v>
      </c>
      <c r="AD184" s="188">
        <f t="shared" si="0"/>
        <v>1</v>
      </c>
    </row>
    <row r="185" spans="28:30" ht="18" customHeight="1">
      <c r="AB185" s="199" t="s">
        <v>1277</v>
      </c>
      <c r="AC185" s="200">
        <v>0</v>
      </c>
      <c r="AD185" s="197">
        <f t="shared" si="0"/>
        <v>0</v>
      </c>
    </row>
    <row r="186" spans="28:30" ht="18" customHeight="1">
      <c r="AB186" s="186" t="s">
        <v>1278</v>
      </c>
      <c r="AC186" s="202">
        <v>2</v>
      </c>
      <c r="AD186" s="188">
        <f t="shared" si="0"/>
        <v>2</v>
      </c>
    </row>
    <row r="187" spans="28:30" ht="18" customHeight="1">
      <c r="AB187" s="199" t="s">
        <v>448</v>
      </c>
      <c r="AC187" s="200">
        <v>2</v>
      </c>
      <c r="AD187" s="197">
        <f t="shared" si="0"/>
        <v>2</v>
      </c>
    </row>
    <row r="188" spans="28:30" ht="18" customHeight="1">
      <c r="AB188" s="186" t="s">
        <v>1281</v>
      </c>
      <c r="AC188" s="202">
        <v>2</v>
      </c>
      <c r="AD188" s="188">
        <f t="shared" si="0"/>
        <v>2</v>
      </c>
    </row>
    <row r="189" spans="28:30" ht="18" customHeight="1">
      <c r="AB189" s="195" t="s">
        <v>297</v>
      </c>
      <c r="AC189" s="196">
        <v>1</v>
      </c>
      <c r="AD189" s="197">
        <f t="shared" si="0"/>
        <v>1</v>
      </c>
    </row>
    <row r="190" spans="28:30" ht="18" customHeight="1">
      <c r="AB190" s="205" t="s">
        <v>261</v>
      </c>
      <c r="AC190" s="187">
        <v>1</v>
      </c>
      <c r="AD190" s="188">
        <f t="shared" si="0"/>
        <v>1</v>
      </c>
    </row>
    <row r="191" spans="28:30" ht="18" customHeight="1">
      <c r="AB191" s="195" t="s">
        <v>1284</v>
      </c>
      <c r="AC191" s="196">
        <v>3</v>
      </c>
      <c r="AD191" s="197">
        <f t="shared" si="0"/>
        <v>3</v>
      </c>
    </row>
    <row r="192" spans="28:30" ht="18" customHeight="1">
      <c r="AB192" s="186" t="s">
        <v>271</v>
      </c>
      <c r="AC192" s="187">
        <v>2</v>
      </c>
      <c r="AD192" s="188">
        <f t="shared" si="0"/>
        <v>2</v>
      </c>
    </row>
    <row r="193" spans="28:30" ht="18" customHeight="1">
      <c r="AB193" s="195" t="s">
        <v>512</v>
      </c>
      <c r="AC193" s="200">
        <v>2</v>
      </c>
      <c r="AD193" s="197">
        <f t="shared" si="0"/>
        <v>2</v>
      </c>
    </row>
    <row r="194" spans="28:30" ht="18" customHeight="1">
      <c r="AB194" s="205" t="s">
        <v>332</v>
      </c>
      <c r="AC194" s="202">
        <v>1</v>
      </c>
      <c r="AD194" s="188">
        <f t="shared" si="0"/>
        <v>1</v>
      </c>
    </row>
    <row r="195" spans="28:30" ht="18" customHeight="1">
      <c r="AB195" s="195" t="s">
        <v>270</v>
      </c>
      <c r="AC195" s="200">
        <v>3</v>
      </c>
      <c r="AD195" s="197">
        <f t="shared" si="0"/>
        <v>3</v>
      </c>
    </row>
    <row r="196" spans="28:30" ht="18" customHeight="1">
      <c r="AB196" s="186" t="s">
        <v>1473</v>
      </c>
      <c r="AC196" s="202">
        <v>0</v>
      </c>
      <c r="AD196" s="188">
        <f t="shared" si="0"/>
        <v>0</v>
      </c>
    </row>
    <row r="197" spans="28:30" ht="18" customHeight="1">
      <c r="AB197" s="195" t="s">
        <v>202</v>
      </c>
      <c r="AC197" s="200">
        <v>3</v>
      </c>
      <c r="AD197" s="197">
        <f t="shared" si="0"/>
        <v>3</v>
      </c>
    </row>
    <row r="198" spans="28:30" ht="18" customHeight="1">
      <c r="AB198" s="186" t="s">
        <v>1474</v>
      </c>
      <c r="AC198" s="187">
        <v>2</v>
      </c>
      <c r="AD198" s="188">
        <f t="shared" si="0"/>
        <v>2</v>
      </c>
    </row>
    <row r="199" spans="28:30" ht="18" customHeight="1">
      <c r="AB199" s="195" t="s">
        <v>156</v>
      </c>
      <c r="AC199" s="196">
        <v>2</v>
      </c>
      <c r="AD199" s="197">
        <f t="shared" si="0"/>
        <v>2</v>
      </c>
    </row>
    <row r="200" spans="28:30" ht="18" customHeight="1">
      <c r="AB200" s="186" t="s">
        <v>290</v>
      </c>
      <c r="AC200" s="202">
        <v>2</v>
      </c>
      <c r="AD200" s="188">
        <f t="shared" si="0"/>
        <v>2</v>
      </c>
    </row>
    <row r="201" spans="28:30" ht="18" customHeight="1">
      <c r="AB201" s="195" t="s">
        <v>368</v>
      </c>
      <c r="AC201" s="196">
        <v>1</v>
      </c>
      <c r="AD201" s="197">
        <f t="shared" si="0"/>
        <v>1</v>
      </c>
    </row>
    <row r="202" spans="28:30" ht="18" customHeight="1">
      <c r="AB202" s="186" t="s">
        <v>205</v>
      </c>
      <c r="AC202" s="187">
        <v>1</v>
      </c>
      <c r="AD202" s="188">
        <f t="shared" si="0"/>
        <v>1</v>
      </c>
    </row>
    <row r="203" spans="28:30" ht="18" customHeight="1">
      <c r="AB203" s="195" t="s">
        <v>1292</v>
      </c>
      <c r="AC203" s="196">
        <v>0</v>
      </c>
      <c r="AD203" s="197">
        <f t="shared" si="0"/>
        <v>0</v>
      </c>
    </row>
    <row r="204" spans="28:30" ht="18" customHeight="1">
      <c r="AB204" s="186" t="s">
        <v>397</v>
      </c>
      <c r="AC204" s="187">
        <v>2</v>
      </c>
      <c r="AD204" s="188">
        <f t="shared" si="0"/>
        <v>2</v>
      </c>
    </row>
    <row r="205" spans="28:30" ht="18" customHeight="1">
      <c r="AB205" s="195" t="s">
        <v>1294</v>
      </c>
      <c r="AC205" s="200">
        <v>3</v>
      </c>
      <c r="AD205" s="197">
        <f t="shared" si="0"/>
        <v>3</v>
      </c>
    </row>
    <row r="206" spans="28:30" ht="18" customHeight="1">
      <c r="AB206" s="205" t="s">
        <v>1295</v>
      </c>
      <c r="AC206" s="202">
        <v>3</v>
      </c>
      <c r="AD206" s="188">
        <f t="shared" si="0"/>
        <v>3</v>
      </c>
    </row>
    <row r="207" spans="28:30" ht="18" customHeight="1">
      <c r="AB207" s="195" t="s">
        <v>1296</v>
      </c>
      <c r="AC207" s="200">
        <v>1</v>
      </c>
      <c r="AD207" s="197">
        <f t="shared" si="0"/>
        <v>1</v>
      </c>
    </row>
    <row r="208" spans="28:30" ht="18" customHeight="1">
      <c r="AB208" s="186" t="s">
        <v>1297</v>
      </c>
      <c r="AC208" s="187">
        <v>0</v>
      </c>
      <c r="AD208" s="188">
        <f t="shared" si="0"/>
        <v>0</v>
      </c>
    </row>
    <row r="209" spans="28:30" ht="18" customHeight="1">
      <c r="AB209" s="195" t="s">
        <v>243</v>
      </c>
      <c r="AC209" s="196">
        <v>12</v>
      </c>
      <c r="AD209" s="197">
        <f t="shared" si="0"/>
        <v>12</v>
      </c>
    </row>
    <row r="210" spans="28:30" ht="18" customHeight="1">
      <c r="AB210" s="205" t="s">
        <v>1475</v>
      </c>
      <c r="AC210" s="202">
        <v>3</v>
      </c>
      <c r="AD210" s="188">
        <f t="shared" si="0"/>
        <v>3</v>
      </c>
    </row>
    <row r="211" spans="28:30" ht="18" customHeight="1">
      <c r="AB211" s="199" t="s">
        <v>1476</v>
      </c>
      <c r="AC211" s="200">
        <v>2</v>
      </c>
      <c r="AD211" s="197">
        <f t="shared" si="0"/>
        <v>2</v>
      </c>
    </row>
    <row r="212" spans="28:30" ht="18" customHeight="1">
      <c r="AB212" s="205" t="s">
        <v>1477</v>
      </c>
      <c r="AC212" s="202">
        <v>3</v>
      </c>
      <c r="AD212" s="188">
        <f t="shared" si="0"/>
        <v>3</v>
      </c>
    </row>
    <row r="213" spans="28:30" ht="18" customHeight="1">
      <c r="AB213" s="199" t="s">
        <v>283</v>
      </c>
      <c r="AC213" s="200">
        <v>8</v>
      </c>
      <c r="AD213" s="197">
        <f t="shared" si="0"/>
        <v>8</v>
      </c>
    </row>
    <row r="214" spans="28:30" ht="18" customHeight="1">
      <c r="AB214" s="186" t="s">
        <v>1303</v>
      </c>
      <c r="AC214" s="202">
        <v>0</v>
      </c>
      <c r="AD214" s="188">
        <f t="shared" si="0"/>
        <v>0</v>
      </c>
    </row>
    <row r="215" spans="28:30" ht="18" customHeight="1">
      <c r="AB215" s="195" t="s">
        <v>1304</v>
      </c>
      <c r="AC215" s="196">
        <v>1</v>
      </c>
      <c r="AD215" s="197">
        <f t="shared" si="0"/>
        <v>1</v>
      </c>
    </row>
    <row r="216" spans="28:30" ht="18" customHeight="1">
      <c r="AB216" s="186" t="s">
        <v>285</v>
      </c>
      <c r="AC216" s="187">
        <v>1</v>
      </c>
      <c r="AD216" s="188">
        <f t="shared" si="0"/>
        <v>1</v>
      </c>
    </row>
    <row r="217" spans="28:30" ht="18" customHeight="1">
      <c r="AB217" s="195" t="s">
        <v>272</v>
      </c>
      <c r="AC217" s="196">
        <v>1</v>
      </c>
      <c r="AD217" s="197">
        <f t="shared" si="0"/>
        <v>1</v>
      </c>
    </row>
    <row r="218" spans="28:30" ht="18" customHeight="1">
      <c r="AB218" s="186" t="s">
        <v>651</v>
      </c>
      <c r="AC218" s="202">
        <v>0</v>
      </c>
      <c r="AD218" s="188">
        <f t="shared" si="0"/>
        <v>0</v>
      </c>
    </row>
    <row r="219" spans="28:30" ht="18" customHeight="1">
      <c r="AB219" s="195" t="s">
        <v>174</v>
      </c>
      <c r="AC219" s="196">
        <v>4</v>
      </c>
      <c r="AD219" s="197">
        <f t="shared" si="0"/>
        <v>4</v>
      </c>
    </row>
    <row r="220" spans="28:30" ht="18" customHeight="1">
      <c r="AB220" s="186" t="s">
        <v>1310</v>
      </c>
      <c r="AC220" s="202">
        <v>3</v>
      </c>
      <c r="AD220" s="188">
        <f t="shared" si="0"/>
        <v>3</v>
      </c>
    </row>
    <row r="221" spans="28:30" ht="18" customHeight="1">
      <c r="AB221" s="195" t="s">
        <v>191</v>
      </c>
      <c r="AC221" s="200">
        <v>2</v>
      </c>
      <c r="AD221" s="197">
        <f t="shared" si="0"/>
        <v>2</v>
      </c>
    </row>
    <row r="222" spans="28:30" ht="18" customHeight="1">
      <c r="AB222" s="186" t="s">
        <v>150</v>
      </c>
      <c r="AC222" s="187">
        <v>2</v>
      </c>
      <c r="AD222" s="188">
        <f t="shared" si="0"/>
        <v>2</v>
      </c>
    </row>
    <row r="223" spans="28:30" ht="18" customHeight="1">
      <c r="AB223" s="195" t="s">
        <v>370</v>
      </c>
      <c r="AC223" s="196">
        <v>1</v>
      </c>
      <c r="AD223" s="197">
        <f t="shared" si="0"/>
        <v>1</v>
      </c>
    </row>
    <row r="224" spans="28:30" ht="18" customHeight="1">
      <c r="AB224" s="205" t="s">
        <v>296</v>
      </c>
      <c r="AC224" s="202">
        <v>2</v>
      </c>
      <c r="AD224" s="188">
        <f t="shared" si="0"/>
        <v>2</v>
      </c>
    </row>
    <row r="225" spans="28:30" ht="18" customHeight="1">
      <c r="AB225" s="195" t="s">
        <v>309</v>
      </c>
      <c r="AC225" s="200">
        <v>5</v>
      </c>
      <c r="AD225" s="197">
        <f t="shared" si="0"/>
        <v>5</v>
      </c>
    </row>
    <row r="226" spans="28:30" ht="18" customHeight="1">
      <c r="AB226" s="205" t="s">
        <v>1313</v>
      </c>
      <c r="AC226" s="202">
        <v>1</v>
      </c>
      <c r="AD226" s="188">
        <f t="shared" si="0"/>
        <v>1</v>
      </c>
    </row>
    <row r="227" spans="28:30" ht="18" customHeight="1">
      <c r="AB227" s="195" t="s">
        <v>1478</v>
      </c>
      <c r="AC227" s="196">
        <v>1</v>
      </c>
      <c r="AD227" s="197">
        <f t="shared" si="0"/>
        <v>1</v>
      </c>
    </row>
    <row r="228" spans="28:30" ht="18" customHeight="1">
      <c r="AB228" s="205" t="s">
        <v>550</v>
      </c>
      <c r="AC228" s="202">
        <v>2</v>
      </c>
      <c r="AD228" s="188">
        <f t="shared" si="0"/>
        <v>2</v>
      </c>
    </row>
    <row r="229" spans="28:30" ht="18" customHeight="1">
      <c r="AB229" s="199" t="s">
        <v>292</v>
      </c>
      <c r="AC229" s="196">
        <v>1</v>
      </c>
      <c r="AD229" s="197">
        <f t="shared" si="0"/>
        <v>1</v>
      </c>
    </row>
    <row r="230" spans="28:30" ht="18" customHeight="1">
      <c r="AB230" s="205" t="s">
        <v>1315</v>
      </c>
      <c r="AC230" s="202">
        <v>1</v>
      </c>
      <c r="AD230" s="188">
        <f t="shared" si="0"/>
        <v>1</v>
      </c>
    </row>
    <row r="231" spans="28:30" ht="18" customHeight="1">
      <c r="AB231" s="199" t="s">
        <v>314</v>
      </c>
      <c r="AC231" s="200">
        <v>2</v>
      </c>
      <c r="AD231" s="197">
        <f t="shared" si="0"/>
        <v>2</v>
      </c>
    </row>
    <row r="232" spans="28:30" ht="18" customHeight="1">
      <c r="AB232" s="205" t="s">
        <v>1316</v>
      </c>
      <c r="AC232" s="202">
        <v>1</v>
      </c>
      <c r="AD232" s="188">
        <f t="shared" si="0"/>
        <v>1</v>
      </c>
    </row>
    <row r="233" spans="28:30" ht="18" customHeight="1">
      <c r="AB233" s="199" t="s">
        <v>195</v>
      </c>
      <c r="AC233" s="200">
        <v>6</v>
      </c>
      <c r="AD233" s="197">
        <f t="shared" si="0"/>
        <v>6</v>
      </c>
    </row>
    <row r="234" spans="28:30" ht="18" customHeight="1">
      <c r="AB234" s="186" t="s">
        <v>1479</v>
      </c>
      <c r="AC234" s="187">
        <v>1</v>
      </c>
      <c r="AD234" s="188">
        <f t="shared" si="0"/>
        <v>1</v>
      </c>
    </row>
    <row r="235" spans="28:30" ht="18" customHeight="1">
      <c r="AB235" s="195" t="s">
        <v>179</v>
      </c>
      <c r="AC235" s="196">
        <v>1</v>
      </c>
      <c r="AD235" s="197">
        <f t="shared" si="0"/>
        <v>1</v>
      </c>
    </row>
    <row r="236" spans="28:30" ht="18" customHeight="1">
      <c r="AB236" s="205" t="s">
        <v>212</v>
      </c>
      <c r="AC236" s="187">
        <v>2</v>
      </c>
      <c r="AD236" s="188">
        <f t="shared" si="0"/>
        <v>2</v>
      </c>
    </row>
    <row r="237" spans="28:30" ht="18" customHeight="1">
      <c r="AB237" s="199" t="s">
        <v>269</v>
      </c>
      <c r="AC237" s="200">
        <v>7</v>
      </c>
      <c r="AD237" s="197">
        <f t="shared" si="0"/>
        <v>7</v>
      </c>
    </row>
    <row r="238" spans="28:30" ht="18" customHeight="1">
      <c r="AB238" s="186" t="s">
        <v>1480</v>
      </c>
      <c r="AC238" s="202">
        <v>2</v>
      </c>
      <c r="AD238" s="188">
        <f t="shared" si="0"/>
        <v>2</v>
      </c>
    </row>
    <row r="239" spans="28:30" ht="18" customHeight="1">
      <c r="AB239" s="199" t="s">
        <v>1325</v>
      </c>
      <c r="AC239" s="200">
        <v>0</v>
      </c>
      <c r="AD239" s="197">
        <f t="shared" si="0"/>
        <v>0</v>
      </c>
    </row>
    <row r="240" spans="28:30" ht="18" customHeight="1">
      <c r="AB240" s="186" t="s">
        <v>97</v>
      </c>
      <c r="AC240" s="202">
        <v>62</v>
      </c>
      <c r="AD240" s="188">
        <f t="shared" si="0"/>
        <v>62</v>
      </c>
    </row>
    <row r="241" spans="28:30" ht="18" customHeight="1">
      <c r="AB241" s="195" t="s">
        <v>259</v>
      </c>
      <c r="AC241" s="196">
        <v>5</v>
      </c>
      <c r="AD241" s="197">
        <f t="shared" si="0"/>
        <v>5</v>
      </c>
    </row>
    <row r="242" spans="28:30" ht="18" customHeight="1">
      <c r="AB242" s="186" t="s">
        <v>1326</v>
      </c>
      <c r="AC242" s="187">
        <v>1</v>
      </c>
      <c r="AD242" s="188">
        <f t="shared" si="0"/>
        <v>1</v>
      </c>
    </row>
    <row r="243" spans="28:30" ht="18" customHeight="1">
      <c r="AB243" s="199" t="s">
        <v>176</v>
      </c>
      <c r="AC243" s="200">
        <v>2</v>
      </c>
      <c r="AD243" s="197">
        <f t="shared" si="0"/>
        <v>2</v>
      </c>
    </row>
    <row r="244" spans="28:30" ht="18" customHeight="1">
      <c r="AB244" s="205" t="s">
        <v>1481</v>
      </c>
      <c r="AC244" s="202">
        <v>0</v>
      </c>
      <c r="AD244" s="188">
        <f t="shared" si="0"/>
        <v>0</v>
      </c>
    </row>
    <row r="245" spans="28:30" ht="18" customHeight="1">
      <c r="AB245" s="195" t="s">
        <v>1482</v>
      </c>
      <c r="AC245" s="200">
        <v>0</v>
      </c>
      <c r="AD245" s="197">
        <f t="shared" si="0"/>
        <v>0</v>
      </c>
    </row>
    <row r="246" spans="28:30" ht="18" customHeight="1">
      <c r="AB246" s="186" t="s">
        <v>1483</v>
      </c>
      <c r="AC246" s="187">
        <v>15</v>
      </c>
      <c r="AD246" s="188">
        <f t="shared" si="0"/>
        <v>15</v>
      </c>
    </row>
    <row r="247" spans="28:30" ht="18" customHeight="1">
      <c r="AB247" s="195" t="s">
        <v>318</v>
      </c>
      <c r="AC247" s="196">
        <v>2</v>
      </c>
      <c r="AD247" s="197">
        <f t="shared" si="0"/>
        <v>2</v>
      </c>
    </row>
    <row r="248" spans="28:30" ht="18" customHeight="1">
      <c r="AB248" s="186" t="s">
        <v>165</v>
      </c>
      <c r="AC248" s="187">
        <v>15</v>
      </c>
      <c r="AD248" s="188">
        <f t="shared" si="0"/>
        <v>15</v>
      </c>
    </row>
    <row r="249" spans="28:30" ht="18" customHeight="1">
      <c r="AB249" s="199" t="s">
        <v>1484</v>
      </c>
      <c r="AC249" s="200">
        <v>1</v>
      </c>
      <c r="AD249" s="197">
        <f t="shared" si="0"/>
        <v>1</v>
      </c>
    </row>
    <row r="250" spans="28:30" ht="18" customHeight="1">
      <c r="AB250" s="205" t="s">
        <v>242</v>
      </c>
      <c r="AC250" s="187">
        <v>2</v>
      </c>
      <c r="AD250" s="188">
        <f t="shared" si="0"/>
        <v>2</v>
      </c>
    </row>
    <row r="251" spans="28:30" ht="18" customHeight="1">
      <c r="AB251" s="195" t="s">
        <v>190</v>
      </c>
      <c r="AC251" s="196">
        <v>3</v>
      </c>
      <c r="AD251" s="197">
        <f t="shared" si="0"/>
        <v>3</v>
      </c>
    </row>
    <row r="252" spans="28:30" ht="18" customHeight="1">
      <c r="AB252" s="186" t="s">
        <v>652</v>
      </c>
      <c r="AC252" s="187">
        <v>2</v>
      </c>
      <c r="AD252" s="188">
        <f t="shared" si="0"/>
        <v>2</v>
      </c>
    </row>
    <row r="253" spans="28:30" ht="18" customHeight="1">
      <c r="AB253" s="199" t="s">
        <v>267</v>
      </c>
      <c r="AC253" s="200">
        <v>4</v>
      </c>
      <c r="AD253" s="197">
        <f t="shared" si="0"/>
        <v>4</v>
      </c>
    </row>
    <row r="254" spans="28:30" ht="18" customHeight="1">
      <c r="AB254" s="205" t="s">
        <v>693</v>
      </c>
      <c r="AC254" s="187">
        <v>2</v>
      </c>
      <c r="AD254" s="188">
        <f t="shared" si="0"/>
        <v>2</v>
      </c>
    </row>
    <row r="255" spans="28:30" ht="18" customHeight="1">
      <c r="AB255" s="195" t="s">
        <v>1485</v>
      </c>
      <c r="AC255" s="196">
        <v>0</v>
      </c>
      <c r="AD255" s="197">
        <f t="shared" si="0"/>
        <v>0</v>
      </c>
    </row>
    <row r="256" spans="28:30" ht="18" customHeight="1">
      <c r="AB256" s="186" t="s">
        <v>27</v>
      </c>
      <c r="AC256" s="187">
        <v>1</v>
      </c>
      <c r="AD256" s="188">
        <f t="shared" si="0"/>
        <v>1</v>
      </c>
    </row>
    <row r="257" spans="28:30" ht="18" customHeight="1">
      <c r="AB257" s="195" t="s">
        <v>155</v>
      </c>
      <c r="AC257" s="200">
        <v>3</v>
      </c>
      <c r="AD257" s="197">
        <f t="shared" ref="AD257:AD474" si="5">AC257-AE257</f>
        <v>3</v>
      </c>
    </row>
    <row r="258" spans="28:30" ht="18" customHeight="1">
      <c r="AB258" s="186" t="s">
        <v>1486</v>
      </c>
      <c r="AC258" s="187">
        <v>1</v>
      </c>
      <c r="AD258" s="188">
        <f t="shared" si="5"/>
        <v>1</v>
      </c>
    </row>
    <row r="259" spans="28:30" ht="18" customHeight="1">
      <c r="AB259" s="195" t="s">
        <v>1487</v>
      </c>
      <c r="AC259" s="196">
        <v>1</v>
      </c>
      <c r="AD259" s="197">
        <f t="shared" si="5"/>
        <v>1</v>
      </c>
    </row>
    <row r="260" spans="28:30" ht="18" customHeight="1">
      <c r="AB260" s="186" t="s">
        <v>198</v>
      </c>
      <c r="AC260" s="187">
        <v>1</v>
      </c>
      <c r="AD260" s="188">
        <f t="shared" si="5"/>
        <v>1</v>
      </c>
    </row>
    <row r="261" spans="28:30" ht="18" customHeight="1">
      <c r="AB261" s="195" t="s">
        <v>193</v>
      </c>
      <c r="AC261" s="200">
        <v>4</v>
      </c>
      <c r="AD261" s="197">
        <f t="shared" si="5"/>
        <v>4</v>
      </c>
    </row>
    <row r="262" spans="28:30" ht="18" customHeight="1">
      <c r="AB262" s="186" t="s">
        <v>1331</v>
      </c>
      <c r="AC262" s="202">
        <v>0</v>
      </c>
      <c r="AD262" s="188">
        <f t="shared" si="5"/>
        <v>0</v>
      </c>
    </row>
    <row r="263" spans="28:30" ht="18" customHeight="1">
      <c r="AB263" s="195" t="s">
        <v>265</v>
      </c>
      <c r="AC263" s="196">
        <v>1</v>
      </c>
      <c r="AD263" s="197">
        <f t="shared" si="5"/>
        <v>1</v>
      </c>
    </row>
    <row r="264" spans="28:30" ht="18" customHeight="1">
      <c r="AB264" s="206" t="s">
        <v>1488</v>
      </c>
      <c r="AC264" s="202">
        <v>1</v>
      </c>
      <c r="AD264" s="188">
        <f t="shared" si="5"/>
        <v>1</v>
      </c>
    </row>
    <row r="265" spans="28:30" ht="18" customHeight="1">
      <c r="AB265" s="195" t="s">
        <v>295</v>
      </c>
      <c r="AC265" s="196">
        <v>1</v>
      </c>
      <c r="AD265" s="197">
        <f t="shared" si="5"/>
        <v>1</v>
      </c>
    </row>
    <row r="266" spans="28:30" ht="18" customHeight="1">
      <c r="AB266" s="186" t="s">
        <v>1489</v>
      </c>
      <c r="AC266" s="187">
        <v>2</v>
      </c>
      <c r="AD266" s="188">
        <f t="shared" si="5"/>
        <v>2</v>
      </c>
    </row>
    <row r="267" spans="28:30" ht="18" customHeight="1">
      <c r="AB267" s="195" t="s">
        <v>282</v>
      </c>
      <c r="AC267" s="200">
        <v>2</v>
      </c>
      <c r="AD267" s="197">
        <f t="shared" si="5"/>
        <v>2</v>
      </c>
    </row>
    <row r="268" spans="28:30" ht="18" customHeight="1">
      <c r="AB268" s="186" t="s">
        <v>709</v>
      </c>
      <c r="AC268" s="202">
        <v>1</v>
      </c>
      <c r="AD268" s="188">
        <f t="shared" si="5"/>
        <v>1</v>
      </c>
    </row>
    <row r="269" spans="28:30" ht="18" customHeight="1">
      <c r="AB269" s="195" t="s">
        <v>235</v>
      </c>
      <c r="AC269" s="196">
        <v>1</v>
      </c>
      <c r="AD269" s="197">
        <f t="shared" si="5"/>
        <v>1</v>
      </c>
    </row>
    <row r="270" spans="28:30" ht="18" customHeight="1">
      <c r="AB270" s="186" t="s">
        <v>708</v>
      </c>
      <c r="AC270" s="202">
        <v>3</v>
      </c>
      <c r="AD270" s="188">
        <f t="shared" si="5"/>
        <v>3</v>
      </c>
    </row>
    <row r="271" spans="28:30" ht="18" customHeight="1">
      <c r="AB271" s="195" t="s">
        <v>184</v>
      </c>
      <c r="AC271" s="200">
        <v>9</v>
      </c>
      <c r="AD271" s="197">
        <f t="shared" si="5"/>
        <v>9</v>
      </c>
    </row>
    <row r="272" spans="28:30" ht="18" customHeight="1">
      <c r="AB272" s="186" t="s">
        <v>248</v>
      </c>
      <c r="AC272" s="187">
        <v>1</v>
      </c>
      <c r="AD272" s="188">
        <f t="shared" si="5"/>
        <v>1</v>
      </c>
    </row>
    <row r="273" spans="28:30" ht="18" customHeight="1">
      <c r="AB273" s="195" t="s">
        <v>1490</v>
      </c>
      <c r="AC273" s="196">
        <v>1</v>
      </c>
      <c r="AD273" s="197">
        <f t="shared" si="5"/>
        <v>1</v>
      </c>
    </row>
    <row r="274" spans="28:30" ht="18" customHeight="1">
      <c r="AB274" s="206" t="s">
        <v>1491</v>
      </c>
      <c r="AC274" s="202">
        <v>0</v>
      </c>
      <c r="AD274" s="188">
        <f t="shared" si="5"/>
        <v>0</v>
      </c>
    </row>
    <row r="275" spans="28:30" ht="18" customHeight="1">
      <c r="AB275" s="199" t="s">
        <v>1492</v>
      </c>
      <c r="AC275" s="200">
        <v>3</v>
      </c>
      <c r="AD275" s="197">
        <f t="shared" si="5"/>
        <v>3</v>
      </c>
    </row>
    <row r="276" spans="28:30" ht="18" customHeight="1">
      <c r="AB276" s="205" t="s">
        <v>1493</v>
      </c>
      <c r="AC276" s="202">
        <v>2</v>
      </c>
      <c r="AD276" s="188">
        <f t="shared" si="5"/>
        <v>2</v>
      </c>
    </row>
    <row r="277" spans="28:30" ht="18" customHeight="1">
      <c r="AB277" s="195" t="s">
        <v>710</v>
      </c>
      <c r="AC277" s="196">
        <v>1</v>
      </c>
      <c r="AD277" s="197">
        <f t="shared" si="5"/>
        <v>1</v>
      </c>
    </row>
    <row r="278" spans="28:30" ht="18" customHeight="1">
      <c r="AB278" s="205" t="s">
        <v>1494</v>
      </c>
      <c r="AC278" s="202">
        <v>1</v>
      </c>
      <c r="AD278" s="188">
        <f t="shared" si="5"/>
        <v>1</v>
      </c>
    </row>
    <row r="279" spans="28:30" ht="18" customHeight="1">
      <c r="AB279" s="199" t="s">
        <v>1333</v>
      </c>
      <c r="AC279" s="200">
        <v>3</v>
      </c>
      <c r="AD279" s="197">
        <f t="shared" si="5"/>
        <v>3</v>
      </c>
    </row>
    <row r="280" spans="28:30" ht="18" customHeight="1">
      <c r="AB280" s="186" t="s">
        <v>347</v>
      </c>
      <c r="AC280" s="187">
        <v>2</v>
      </c>
      <c r="AD280" s="188">
        <f t="shared" si="5"/>
        <v>2</v>
      </c>
    </row>
    <row r="281" spans="28:30" ht="18" customHeight="1">
      <c r="AB281" s="195" t="s">
        <v>1495</v>
      </c>
      <c r="AC281" s="196">
        <v>2</v>
      </c>
      <c r="AD281" s="197">
        <f t="shared" si="5"/>
        <v>2</v>
      </c>
    </row>
    <row r="282" spans="28:30" ht="18" customHeight="1">
      <c r="AB282" s="205" t="s">
        <v>520</v>
      </c>
      <c r="AC282" s="187">
        <v>2</v>
      </c>
      <c r="AD282" s="188">
        <f t="shared" si="5"/>
        <v>2</v>
      </c>
    </row>
    <row r="283" spans="28:30" ht="18" customHeight="1">
      <c r="AB283" s="195" t="s">
        <v>1496</v>
      </c>
      <c r="AC283" s="196">
        <v>2</v>
      </c>
      <c r="AD283" s="197">
        <f t="shared" si="5"/>
        <v>2</v>
      </c>
    </row>
    <row r="284" spans="28:30" ht="18" customHeight="1">
      <c r="AB284" s="205" t="s">
        <v>1497</v>
      </c>
      <c r="AC284" s="187">
        <v>0</v>
      </c>
      <c r="AD284" s="188">
        <f t="shared" si="5"/>
        <v>0</v>
      </c>
    </row>
    <row r="285" spans="28:30" ht="18" customHeight="1">
      <c r="AB285" s="195" t="s">
        <v>233</v>
      </c>
      <c r="AC285" s="196">
        <v>2</v>
      </c>
      <c r="AD285" s="197">
        <f t="shared" si="5"/>
        <v>2</v>
      </c>
    </row>
    <row r="286" spans="28:30" ht="18" customHeight="1">
      <c r="AB286" s="186" t="s">
        <v>1498</v>
      </c>
      <c r="AC286" s="187">
        <v>2</v>
      </c>
      <c r="AD286" s="188">
        <f t="shared" si="5"/>
        <v>2</v>
      </c>
    </row>
    <row r="287" spans="28:30" ht="18" customHeight="1">
      <c r="AB287" s="195" t="s">
        <v>229</v>
      </c>
      <c r="AC287" s="196">
        <v>3</v>
      </c>
      <c r="AD287" s="197">
        <f t="shared" si="5"/>
        <v>3</v>
      </c>
    </row>
    <row r="288" spans="28:30" ht="18" customHeight="1">
      <c r="AB288" s="186" t="s">
        <v>1499</v>
      </c>
      <c r="AC288" s="187">
        <v>1</v>
      </c>
      <c r="AD288" s="188">
        <f t="shared" si="5"/>
        <v>1</v>
      </c>
    </row>
    <row r="289" spans="28:30" ht="18" customHeight="1">
      <c r="AB289" s="195" t="s">
        <v>360</v>
      </c>
      <c r="AC289" s="196">
        <v>1</v>
      </c>
      <c r="AD289" s="197">
        <f t="shared" si="5"/>
        <v>1</v>
      </c>
    </row>
    <row r="290" spans="28:30" ht="18" customHeight="1">
      <c r="AB290" s="186" t="s">
        <v>1500</v>
      </c>
      <c r="AC290" s="187">
        <v>0</v>
      </c>
      <c r="AD290" s="188">
        <f t="shared" si="5"/>
        <v>0</v>
      </c>
    </row>
    <row r="291" spans="28:30" ht="18" customHeight="1">
      <c r="AB291" s="195" t="s">
        <v>274</v>
      </c>
      <c r="AC291" s="196">
        <v>999</v>
      </c>
      <c r="AD291" s="197">
        <f t="shared" si="5"/>
        <v>999</v>
      </c>
    </row>
    <row r="292" spans="28:30" ht="18" customHeight="1">
      <c r="AB292" s="186" t="s">
        <v>279</v>
      </c>
      <c r="AC292" s="187">
        <v>100</v>
      </c>
      <c r="AD292" s="188">
        <f t="shared" si="5"/>
        <v>100</v>
      </c>
    </row>
    <row r="293" spans="28:30" ht="18" customHeight="1">
      <c r="AB293" s="195" t="s">
        <v>372</v>
      </c>
      <c r="AC293" s="196">
        <v>1</v>
      </c>
      <c r="AD293" s="197">
        <f t="shared" si="5"/>
        <v>1</v>
      </c>
    </row>
    <row r="294" spans="28:30" ht="18" customHeight="1">
      <c r="AB294" s="205" t="s">
        <v>1501</v>
      </c>
      <c r="AC294" s="202">
        <v>1</v>
      </c>
      <c r="AD294" s="188">
        <f t="shared" si="5"/>
        <v>1</v>
      </c>
    </row>
    <row r="295" spans="28:30" ht="18" customHeight="1">
      <c r="AB295" s="195" t="s">
        <v>199</v>
      </c>
      <c r="AC295" s="196">
        <v>2</v>
      </c>
      <c r="AD295" s="197">
        <f t="shared" si="5"/>
        <v>2</v>
      </c>
    </row>
    <row r="296" spans="28:30" ht="18" customHeight="1">
      <c r="AB296" s="186" t="s">
        <v>1502</v>
      </c>
      <c r="AC296" s="187">
        <v>0</v>
      </c>
      <c r="AD296" s="188">
        <f t="shared" si="5"/>
        <v>0</v>
      </c>
    </row>
    <row r="297" spans="28:30" ht="18" customHeight="1">
      <c r="AB297" s="199" t="s">
        <v>458</v>
      </c>
      <c r="AC297" s="200">
        <v>10</v>
      </c>
      <c r="AD297" s="197">
        <f t="shared" si="5"/>
        <v>10</v>
      </c>
    </row>
    <row r="298" spans="28:30" ht="18" customHeight="1">
      <c r="AB298" s="210" t="s">
        <v>1503</v>
      </c>
      <c r="AC298" s="187">
        <v>2</v>
      </c>
      <c r="AD298" s="188">
        <f t="shared" si="5"/>
        <v>2</v>
      </c>
    </row>
    <row r="299" spans="28:30" ht="18" customHeight="1">
      <c r="AB299" s="199" t="s">
        <v>1335</v>
      </c>
      <c r="AC299" s="200">
        <v>0</v>
      </c>
      <c r="AD299" s="197">
        <f t="shared" si="5"/>
        <v>0</v>
      </c>
    </row>
    <row r="300" spans="28:30" ht="18" customHeight="1">
      <c r="AB300" s="186" t="s">
        <v>186</v>
      </c>
      <c r="AC300" s="202">
        <v>2</v>
      </c>
      <c r="AD300" s="188">
        <f t="shared" si="5"/>
        <v>2</v>
      </c>
    </row>
    <row r="301" spans="28:30" ht="18" customHeight="1">
      <c r="AB301" s="199" t="s">
        <v>1336</v>
      </c>
      <c r="AC301" s="200">
        <v>1</v>
      </c>
      <c r="AD301" s="197">
        <f t="shared" si="5"/>
        <v>1</v>
      </c>
    </row>
    <row r="302" spans="28:30" ht="18" customHeight="1">
      <c r="AB302" s="205" t="s">
        <v>1337</v>
      </c>
      <c r="AC302" s="202">
        <v>2</v>
      </c>
      <c r="AD302" s="188">
        <f t="shared" si="5"/>
        <v>2</v>
      </c>
    </row>
    <row r="303" spans="28:30" ht="18" customHeight="1">
      <c r="AB303" s="195" t="s">
        <v>260</v>
      </c>
      <c r="AC303" s="196">
        <v>1</v>
      </c>
      <c r="AD303" s="197">
        <f t="shared" si="5"/>
        <v>1</v>
      </c>
    </row>
    <row r="304" spans="28:30" ht="18" customHeight="1">
      <c r="AB304" s="205" t="s">
        <v>1340</v>
      </c>
      <c r="AC304" s="202">
        <v>5</v>
      </c>
      <c r="AD304" s="188">
        <f t="shared" si="5"/>
        <v>5</v>
      </c>
    </row>
    <row r="305" spans="28:30" ht="18" customHeight="1">
      <c r="AB305" s="195" t="s">
        <v>1504</v>
      </c>
      <c r="AC305" s="196">
        <v>1</v>
      </c>
      <c r="AD305" s="197">
        <f t="shared" si="5"/>
        <v>1</v>
      </c>
    </row>
    <row r="306" spans="28:30" ht="18" customHeight="1">
      <c r="AB306" s="186" t="s">
        <v>204</v>
      </c>
      <c r="AC306" s="202">
        <v>5</v>
      </c>
      <c r="AD306" s="188">
        <f t="shared" si="5"/>
        <v>5</v>
      </c>
    </row>
    <row r="307" spans="28:30" ht="18" customHeight="1">
      <c r="AB307" s="195" t="s">
        <v>574</v>
      </c>
      <c r="AC307" s="196">
        <v>1</v>
      </c>
      <c r="AD307" s="197">
        <f t="shared" si="5"/>
        <v>1</v>
      </c>
    </row>
    <row r="308" spans="28:30" ht="18" customHeight="1">
      <c r="AB308" s="186" t="s">
        <v>1343</v>
      </c>
      <c r="AC308" s="202">
        <v>1</v>
      </c>
      <c r="AD308" s="188">
        <f t="shared" si="5"/>
        <v>1</v>
      </c>
    </row>
    <row r="309" spans="28:30" ht="18" customHeight="1">
      <c r="AB309" s="195" t="s">
        <v>382</v>
      </c>
      <c r="AC309" s="196">
        <v>2</v>
      </c>
      <c r="AD309" s="197">
        <f t="shared" si="5"/>
        <v>2</v>
      </c>
    </row>
    <row r="310" spans="28:30" ht="18" customHeight="1">
      <c r="AB310" s="205" t="s">
        <v>333</v>
      </c>
      <c r="AC310" s="202">
        <v>3</v>
      </c>
      <c r="AD310" s="188">
        <f t="shared" si="5"/>
        <v>3</v>
      </c>
    </row>
    <row r="311" spans="28:30" ht="18" customHeight="1">
      <c r="AB311" s="195" t="s">
        <v>230</v>
      </c>
      <c r="AC311" s="196">
        <v>2</v>
      </c>
      <c r="AD311" s="197">
        <f t="shared" si="5"/>
        <v>2</v>
      </c>
    </row>
    <row r="312" spans="28:30" ht="18" customHeight="1">
      <c r="AB312" s="205" t="s">
        <v>1346</v>
      </c>
      <c r="AC312" s="202">
        <v>3</v>
      </c>
      <c r="AD312" s="188">
        <f t="shared" si="5"/>
        <v>3</v>
      </c>
    </row>
    <row r="313" spans="28:30" ht="18" customHeight="1">
      <c r="AB313" s="195" t="s">
        <v>208</v>
      </c>
      <c r="AC313" s="200">
        <v>1</v>
      </c>
      <c r="AD313" s="197">
        <f t="shared" si="5"/>
        <v>1</v>
      </c>
    </row>
    <row r="314" spans="28:30" ht="18" customHeight="1">
      <c r="AB314" s="186" t="s">
        <v>1505</v>
      </c>
      <c r="AC314" s="187">
        <v>1</v>
      </c>
      <c r="AD314" s="188">
        <f t="shared" si="5"/>
        <v>1</v>
      </c>
    </row>
    <row r="315" spans="28:30" ht="18" customHeight="1">
      <c r="AB315" s="195" t="s">
        <v>349</v>
      </c>
      <c r="AC315" s="196">
        <v>1</v>
      </c>
      <c r="AD315" s="197">
        <f t="shared" si="5"/>
        <v>1</v>
      </c>
    </row>
    <row r="316" spans="28:30" ht="18" customHeight="1">
      <c r="AB316" s="186" t="s">
        <v>306</v>
      </c>
      <c r="AC316" s="187">
        <v>1</v>
      </c>
      <c r="AD316" s="188">
        <f t="shared" si="5"/>
        <v>1</v>
      </c>
    </row>
    <row r="317" spans="28:30" ht="18" customHeight="1">
      <c r="AB317" s="195" t="s">
        <v>618</v>
      </c>
      <c r="AC317" s="200">
        <v>1</v>
      </c>
      <c r="AD317" s="197">
        <f t="shared" si="5"/>
        <v>1</v>
      </c>
    </row>
    <row r="318" spans="28:30" ht="18" customHeight="1">
      <c r="AB318" s="186" t="s">
        <v>324</v>
      </c>
      <c r="AC318" s="187">
        <v>1</v>
      </c>
      <c r="AD318" s="188">
        <f t="shared" si="5"/>
        <v>1</v>
      </c>
    </row>
    <row r="319" spans="28:30" ht="18" customHeight="1">
      <c r="AB319" s="195" t="s">
        <v>549</v>
      </c>
      <c r="AC319" s="196">
        <v>1</v>
      </c>
      <c r="AD319" s="197">
        <f t="shared" si="5"/>
        <v>1</v>
      </c>
    </row>
    <row r="320" spans="28:30" ht="18" customHeight="1">
      <c r="AB320" s="186" t="s">
        <v>432</v>
      </c>
      <c r="AC320" s="202">
        <v>2</v>
      </c>
      <c r="AD320" s="188">
        <f t="shared" si="5"/>
        <v>2</v>
      </c>
    </row>
    <row r="321" spans="28:30" ht="18" customHeight="1">
      <c r="AB321" s="195" t="s">
        <v>276</v>
      </c>
      <c r="AC321" s="196">
        <v>2</v>
      </c>
      <c r="AD321" s="197">
        <f t="shared" si="5"/>
        <v>2</v>
      </c>
    </row>
    <row r="322" spans="28:30" ht="18" customHeight="1">
      <c r="AB322" s="206" t="s">
        <v>1506</v>
      </c>
      <c r="AC322" s="202">
        <v>1</v>
      </c>
      <c r="AD322" s="188">
        <f t="shared" si="5"/>
        <v>1</v>
      </c>
    </row>
    <row r="323" spans="28:30" ht="18" customHeight="1">
      <c r="AB323" s="195" t="s">
        <v>1507</v>
      </c>
      <c r="AC323" s="196">
        <v>2</v>
      </c>
      <c r="AD323" s="197">
        <f t="shared" si="5"/>
        <v>2</v>
      </c>
    </row>
    <row r="324" spans="28:30" ht="18" customHeight="1">
      <c r="AB324" s="186" t="s">
        <v>220</v>
      </c>
      <c r="AC324" s="187">
        <v>1</v>
      </c>
      <c r="AD324" s="188">
        <f t="shared" si="5"/>
        <v>1</v>
      </c>
    </row>
    <row r="325" spans="28:30" ht="18" customHeight="1">
      <c r="AB325" s="199" t="s">
        <v>172</v>
      </c>
      <c r="AC325" s="200">
        <v>2</v>
      </c>
      <c r="AD325" s="197">
        <f t="shared" si="5"/>
        <v>2</v>
      </c>
    </row>
    <row r="326" spans="28:30" ht="18" customHeight="1">
      <c r="AB326" s="205" t="s">
        <v>1508</v>
      </c>
      <c r="AC326" s="202">
        <v>0</v>
      </c>
      <c r="AD326" s="188">
        <f t="shared" si="5"/>
        <v>0</v>
      </c>
    </row>
    <row r="327" spans="28:30" ht="18" customHeight="1">
      <c r="AB327" s="195" t="s">
        <v>303</v>
      </c>
      <c r="AC327" s="196">
        <v>500</v>
      </c>
      <c r="AD327" s="197">
        <f t="shared" si="5"/>
        <v>500</v>
      </c>
    </row>
    <row r="328" spans="28:30" ht="18" customHeight="1">
      <c r="AB328" s="186" t="s">
        <v>130</v>
      </c>
      <c r="AC328" s="187">
        <v>500</v>
      </c>
      <c r="AD328" s="188">
        <f t="shared" si="5"/>
        <v>500</v>
      </c>
    </row>
    <row r="329" spans="28:30" ht="18" customHeight="1">
      <c r="AB329" s="195" t="s">
        <v>1509</v>
      </c>
      <c r="AC329" s="196">
        <v>3</v>
      </c>
      <c r="AD329" s="197">
        <f t="shared" si="5"/>
        <v>3</v>
      </c>
    </row>
    <row r="330" spans="28:30" ht="18" customHeight="1">
      <c r="AB330" s="186" t="s">
        <v>1510</v>
      </c>
      <c r="AC330" s="187">
        <v>1</v>
      </c>
      <c r="AD330" s="188">
        <f t="shared" si="5"/>
        <v>1</v>
      </c>
    </row>
    <row r="331" spans="28:30" ht="18" customHeight="1">
      <c r="AB331" s="195" t="s">
        <v>388</v>
      </c>
      <c r="AC331" s="196">
        <v>130</v>
      </c>
      <c r="AD331" s="197">
        <f t="shared" si="5"/>
        <v>130</v>
      </c>
    </row>
    <row r="332" spans="28:30" ht="18" customHeight="1">
      <c r="AB332" s="186" t="s">
        <v>387</v>
      </c>
      <c r="AC332" s="187">
        <v>15</v>
      </c>
      <c r="AD332" s="188">
        <f t="shared" si="5"/>
        <v>15</v>
      </c>
    </row>
    <row r="333" spans="28:30" ht="18" customHeight="1">
      <c r="AB333" s="195" t="s">
        <v>401</v>
      </c>
      <c r="AC333" s="196">
        <v>12</v>
      </c>
      <c r="AD333" s="197">
        <f t="shared" si="5"/>
        <v>12</v>
      </c>
    </row>
    <row r="334" spans="28:30" ht="18" customHeight="1">
      <c r="AB334" s="186" t="s">
        <v>1511</v>
      </c>
      <c r="AC334" s="187">
        <v>1</v>
      </c>
      <c r="AD334" s="188">
        <f t="shared" si="5"/>
        <v>1</v>
      </c>
    </row>
    <row r="335" spans="28:30" ht="18" customHeight="1">
      <c r="AB335" s="195" t="s">
        <v>1512</v>
      </c>
      <c r="AC335" s="196">
        <v>1</v>
      </c>
      <c r="AD335" s="197">
        <f t="shared" si="5"/>
        <v>1</v>
      </c>
    </row>
    <row r="336" spans="28:30" ht="18" customHeight="1">
      <c r="AB336" s="186" t="s">
        <v>426</v>
      </c>
      <c r="AC336" s="187">
        <v>4</v>
      </c>
      <c r="AD336" s="188">
        <f t="shared" si="5"/>
        <v>4</v>
      </c>
    </row>
    <row r="337" spans="28:30" ht="18" customHeight="1">
      <c r="AB337" s="195" t="s">
        <v>408</v>
      </c>
      <c r="AC337" s="196">
        <v>3</v>
      </c>
      <c r="AD337" s="197">
        <f t="shared" si="5"/>
        <v>3</v>
      </c>
    </row>
    <row r="338" spans="28:30" ht="18" customHeight="1">
      <c r="AB338" s="186" t="s">
        <v>1513</v>
      </c>
      <c r="AC338" s="187">
        <v>1</v>
      </c>
      <c r="AD338" s="188">
        <f t="shared" si="5"/>
        <v>1</v>
      </c>
    </row>
    <row r="339" spans="28:30" ht="18" customHeight="1">
      <c r="AB339" s="195" t="s">
        <v>1514</v>
      </c>
      <c r="AC339" s="196">
        <v>1</v>
      </c>
      <c r="AD339" s="197">
        <f t="shared" si="5"/>
        <v>1</v>
      </c>
    </row>
    <row r="340" spans="28:30" ht="18" customHeight="1">
      <c r="AB340" s="186" t="s">
        <v>1515</v>
      </c>
      <c r="AC340" s="187">
        <v>1</v>
      </c>
      <c r="AD340" s="188">
        <f t="shared" si="5"/>
        <v>1</v>
      </c>
    </row>
    <row r="341" spans="28:30" ht="18" customHeight="1">
      <c r="AB341" s="195" t="s">
        <v>384</v>
      </c>
      <c r="AC341" s="196">
        <v>1</v>
      </c>
      <c r="AD341" s="197">
        <f t="shared" si="5"/>
        <v>1</v>
      </c>
    </row>
    <row r="342" spans="28:30" ht="18" customHeight="1">
      <c r="AB342" s="186" t="s">
        <v>390</v>
      </c>
      <c r="AC342" s="187">
        <v>2</v>
      </c>
      <c r="AD342" s="188">
        <f t="shared" si="5"/>
        <v>2</v>
      </c>
    </row>
    <row r="343" spans="28:30" ht="18" customHeight="1">
      <c r="AB343" s="195" t="s">
        <v>1516</v>
      </c>
      <c r="AC343" s="196">
        <v>2</v>
      </c>
      <c r="AD343" s="197">
        <f t="shared" si="5"/>
        <v>2</v>
      </c>
    </row>
    <row r="344" spans="28:30" ht="18" customHeight="1">
      <c r="AB344" s="186" t="s">
        <v>1517</v>
      </c>
      <c r="AC344" s="187">
        <v>4</v>
      </c>
      <c r="AD344" s="188">
        <f t="shared" si="5"/>
        <v>4</v>
      </c>
    </row>
    <row r="345" spans="28:30" ht="18" customHeight="1">
      <c r="AB345" s="195" t="s">
        <v>1518</v>
      </c>
      <c r="AC345" s="196">
        <v>1</v>
      </c>
      <c r="AD345" s="197">
        <f t="shared" si="5"/>
        <v>1</v>
      </c>
    </row>
    <row r="346" spans="28:30" ht="18" customHeight="1">
      <c r="AB346" s="186" t="s">
        <v>1519</v>
      </c>
      <c r="AC346" s="187">
        <v>1</v>
      </c>
      <c r="AD346" s="188">
        <f t="shared" si="5"/>
        <v>1</v>
      </c>
    </row>
    <row r="347" spans="28:30" ht="18" customHeight="1">
      <c r="AB347" s="195" t="s">
        <v>1520</v>
      </c>
      <c r="AC347" s="196">
        <v>1</v>
      </c>
      <c r="AD347" s="197">
        <f t="shared" si="5"/>
        <v>1</v>
      </c>
    </row>
    <row r="348" spans="28:30" ht="18" customHeight="1">
      <c r="AB348" s="186" t="s">
        <v>407</v>
      </c>
      <c r="AC348" s="187">
        <v>1</v>
      </c>
      <c r="AD348" s="188">
        <f t="shared" si="5"/>
        <v>1</v>
      </c>
    </row>
    <row r="349" spans="28:30" ht="18" customHeight="1">
      <c r="AB349" s="195" t="s">
        <v>451</v>
      </c>
      <c r="AC349" s="196">
        <v>1</v>
      </c>
      <c r="AD349" s="197">
        <f t="shared" si="5"/>
        <v>1</v>
      </c>
    </row>
    <row r="350" spans="28:30" ht="18" customHeight="1">
      <c r="AB350" s="186" t="s">
        <v>398</v>
      </c>
      <c r="AC350" s="187">
        <v>100</v>
      </c>
      <c r="AD350" s="188">
        <f t="shared" si="5"/>
        <v>100</v>
      </c>
    </row>
    <row r="351" spans="28:30" ht="18" customHeight="1">
      <c r="AB351" s="195" t="s">
        <v>683</v>
      </c>
      <c r="AC351" s="196">
        <v>4</v>
      </c>
      <c r="AD351" s="197">
        <f t="shared" si="5"/>
        <v>4</v>
      </c>
    </row>
    <row r="352" spans="28:30" ht="18" customHeight="1">
      <c r="AB352" s="186" t="s">
        <v>396</v>
      </c>
      <c r="AC352" s="187">
        <v>10</v>
      </c>
      <c r="AD352" s="188">
        <f t="shared" si="5"/>
        <v>10</v>
      </c>
    </row>
    <row r="353" spans="28:30" ht="18" customHeight="1">
      <c r="AB353" s="195" t="s">
        <v>399</v>
      </c>
      <c r="AC353" s="196">
        <v>1</v>
      </c>
      <c r="AD353" s="197">
        <f t="shared" si="5"/>
        <v>1</v>
      </c>
    </row>
    <row r="354" spans="28:30" ht="18" customHeight="1">
      <c r="AB354" s="186" t="s">
        <v>552</v>
      </c>
      <c r="AC354" s="187">
        <v>1</v>
      </c>
      <c r="AD354" s="188">
        <f t="shared" si="5"/>
        <v>1</v>
      </c>
    </row>
    <row r="355" spans="28:30" ht="18" customHeight="1">
      <c r="AB355" s="211" t="s">
        <v>453</v>
      </c>
      <c r="AC355" s="196">
        <v>50</v>
      </c>
      <c r="AD355" s="197">
        <f t="shared" si="5"/>
        <v>50</v>
      </c>
    </row>
    <row r="356" spans="28:30" ht="18" customHeight="1">
      <c r="AB356" s="186" t="s">
        <v>419</v>
      </c>
      <c r="AC356" s="187">
        <v>70</v>
      </c>
      <c r="AD356" s="188">
        <f t="shared" si="5"/>
        <v>70</v>
      </c>
    </row>
    <row r="357" spans="28:30" ht="18" customHeight="1">
      <c r="AB357" s="195" t="s">
        <v>403</v>
      </c>
      <c r="AC357" s="196">
        <v>1</v>
      </c>
      <c r="AD357" s="197">
        <f t="shared" si="5"/>
        <v>1</v>
      </c>
    </row>
    <row r="358" spans="28:30" ht="18" customHeight="1">
      <c r="AB358" s="186" t="s">
        <v>405</v>
      </c>
      <c r="AC358" s="187">
        <v>1</v>
      </c>
      <c r="AD358" s="188">
        <f t="shared" si="5"/>
        <v>1</v>
      </c>
    </row>
    <row r="359" spans="28:30" ht="18" customHeight="1">
      <c r="AB359" s="195" t="s">
        <v>659</v>
      </c>
      <c r="AC359" s="196">
        <v>5</v>
      </c>
      <c r="AD359" s="197">
        <f t="shared" si="5"/>
        <v>5</v>
      </c>
    </row>
    <row r="360" spans="28:30" ht="18" customHeight="1">
      <c r="AB360" s="186" t="s">
        <v>411</v>
      </c>
      <c r="AC360" s="187">
        <v>1</v>
      </c>
      <c r="AD360" s="188">
        <f t="shared" si="5"/>
        <v>1</v>
      </c>
    </row>
    <row r="361" spans="28:30" ht="18" customHeight="1">
      <c r="AB361" s="195" t="s">
        <v>412</v>
      </c>
      <c r="AC361" s="196">
        <v>1</v>
      </c>
      <c r="AD361" s="197">
        <f t="shared" si="5"/>
        <v>1</v>
      </c>
    </row>
    <row r="362" spans="28:30" ht="18" customHeight="1">
      <c r="AB362" s="186" t="s">
        <v>413</v>
      </c>
      <c r="AC362" s="187">
        <v>2</v>
      </c>
      <c r="AD362" s="188">
        <f t="shared" si="5"/>
        <v>2</v>
      </c>
    </row>
    <row r="363" spans="28:30" ht="18" customHeight="1">
      <c r="AB363" s="195" t="s">
        <v>501</v>
      </c>
      <c r="AC363" s="196">
        <v>10</v>
      </c>
      <c r="AD363" s="197">
        <f t="shared" si="5"/>
        <v>10</v>
      </c>
    </row>
    <row r="364" spans="28:30" ht="18" customHeight="1">
      <c r="AB364" s="186" t="s">
        <v>422</v>
      </c>
      <c r="AC364" s="187">
        <v>3</v>
      </c>
      <c r="AD364" s="188">
        <f t="shared" si="5"/>
        <v>3</v>
      </c>
    </row>
    <row r="365" spans="28:30" ht="18" customHeight="1">
      <c r="AB365" s="195" t="s">
        <v>423</v>
      </c>
      <c r="AC365" s="196">
        <v>4</v>
      </c>
      <c r="AD365" s="197">
        <f t="shared" si="5"/>
        <v>4</v>
      </c>
    </row>
    <row r="366" spans="28:30" ht="18" customHeight="1">
      <c r="AB366" s="186" t="s">
        <v>486</v>
      </c>
      <c r="AC366" s="187">
        <v>2</v>
      </c>
      <c r="AD366" s="188">
        <f t="shared" si="5"/>
        <v>2</v>
      </c>
    </row>
    <row r="367" spans="28:30" ht="18" customHeight="1">
      <c r="AB367" s="195" t="s">
        <v>424</v>
      </c>
      <c r="AC367" s="196">
        <v>4</v>
      </c>
      <c r="AD367" s="197">
        <f t="shared" si="5"/>
        <v>4</v>
      </c>
    </row>
    <row r="368" spans="28:30" ht="18" customHeight="1">
      <c r="AB368" s="186" t="s">
        <v>1521</v>
      </c>
      <c r="AC368" s="187">
        <v>4</v>
      </c>
      <c r="AD368" s="188">
        <f t="shared" si="5"/>
        <v>4</v>
      </c>
    </row>
    <row r="369" spans="28:30" ht="18" customHeight="1">
      <c r="AB369" s="195" t="s">
        <v>427</v>
      </c>
      <c r="AC369" s="196">
        <v>1</v>
      </c>
      <c r="AD369" s="197">
        <f t="shared" si="5"/>
        <v>1</v>
      </c>
    </row>
    <row r="370" spans="28:30" ht="18" customHeight="1">
      <c r="AB370" s="186" t="s">
        <v>434</v>
      </c>
      <c r="AC370" s="187">
        <v>3</v>
      </c>
      <c r="AD370" s="188">
        <f t="shared" si="5"/>
        <v>3</v>
      </c>
    </row>
    <row r="371" spans="28:30" ht="18" customHeight="1">
      <c r="AB371" s="195" t="s">
        <v>437</v>
      </c>
      <c r="AC371" s="196">
        <v>1</v>
      </c>
      <c r="AD371" s="197">
        <f t="shared" si="5"/>
        <v>1</v>
      </c>
    </row>
    <row r="372" spans="28:30" ht="18" customHeight="1">
      <c r="AB372" s="186" t="s">
        <v>439</v>
      </c>
      <c r="AC372" s="187">
        <v>1</v>
      </c>
      <c r="AD372" s="188">
        <f t="shared" si="5"/>
        <v>1</v>
      </c>
    </row>
    <row r="373" spans="28:30" ht="18" customHeight="1">
      <c r="AB373" s="195" t="s">
        <v>441</v>
      </c>
      <c r="AC373" s="196">
        <v>99</v>
      </c>
      <c r="AD373" s="197">
        <f t="shared" si="5"/>
        <v>99</v>
      </c>
    </row>
    <row r="374" spans="28:30" ht="18" customHeight="1">
      <c r="AB374" s="186" t="s">
        <v>442</v>
      </c>
      <c r="AC374" s="187">
        <v>1</v>
      </c>
      <c r="AD374" s="188">
        <f t="shared" si="5"/>
        <v>1</v>
      </c>
    </row>
    <row r="375" spans="28:30" ht="18" customHeight="1">
      <c r="AB375" s="195" t="s">
        <v>443</v>
      </c>
      <c r="AC375" s="196">
        <v>1</v>
      </c>
      <c r="AD375" s="197">
        <f t="shared" si="5"/>
        <v>1</v>
      </c>
    </row>
    <row r="376" spans="28:30" ht="18" customHeight="1">
      <c r="AB376" s="186" t="s">
        <v>450</v>
      </c>
      <c r="AC376" s="187">
        <v>1</v>
      </c>
      <c r="AD376" s="188">
        <f t="shared" si="5"/>
        <v>1</v>
      </c>
    </row>
    <row r="377" spans="28:30" ht="18" customHeight="1">
      <c r="AB377" s="195" t="s">
        <v>1522</v>
      </c>
      <c r="AC377" s="196">
        <v>1</v>
      </c>
      <c r="AD377" s="197">
        <f t="shared" si="5"/>
        <v>1</v>
      </c>
    </row>
    <row r="378" spans="28:30" ht="18" customHeight="1">
      <c r="AB378" s="186" t="s">
        <v>1523</v>
      </c>
      <c r="AC378" s="187">
        <v>99</v>
      </c>
      <c r="AD378" s="188">
        <f t="shared" si="5"/>
        <v>99</v>
      </c>
    </row>
    <row r="379" spans="28:30" ht="18" customHeight="1">
      <c r="AB379" s="195" t="s">
        <v>1524</v>
      </c>
      <c r="AC379" s="196">
        <v>1</v>
      </c>
      <c r="AD379" s="197">
        <f t="shared" si="5"/>
        <v>1</v>
      </c>
    </row>
    <row r="380" spans="28:30" ht="18" customHeight="1">
      <c r="AB380" s="186" t="s">
        <v>466</v>
      </c>
      <c r="AC380" s="187">
        <v>12</v>
      </c>
      <c r="AD380" s="188">
        <f t="shared" si="5"/>
        <v>12</v>
      </c>
    </row>
    <row r="381" spans="28:30" ht="18" customHeight="1">
      <c r="AB381" s="195" t="s">
        <v>468</v>
      </c>
      <c r="AC381" s="196">
        <v>1</v>
      </c>
      <c r="AD381" s="197">
        <f t="shared" si="5"/>
        <v>1</v>
      </c>
    </row>
    <row r="382" spans="28:30" ht="18" customHeight="1">
      <c r="AB382" s="186" t="s">
        <v>469</v>
      </c>
      <c r="AC382" s="187">
        <v>2</v>
      </c>
      <c r="AD382" s="188">
        <f t="shared" si="5"/>
        <v>2</v>
      </c>
    </row>
    <row r="383" spans="28:30" ht="18" customHeight="1">
      <c r="AB383" s="195" t="s">
        <v>470</v>
      </c>
      <c r="AC383" s="196">
        <v>1</v>
      </c>
      <c r="AD383" s="197">
        <f t="shared" si="5"/>
        <v>1</v>
      </c>
    </row>
    <row r="384" spans="28:30" ht="18" customHeight="1">
      <c r="AB384" s="186" t="s">
        <v>472</v>
      </c>
      <c r="AC384" s="187">
        <v>2</v>
      </c>
      <c r="AD384" s="188">
        <f t="shared" si="5"/>
        <v>2</v>
      </c>
    </row>
    <row r="385" spans="28:30" ht="18" customHeight="1">
      <c r="AB385" s="195" t="s">
        <v>1525</v>
      </c>
      <c r="AC385" s="196">
        <v>1</v>
      </c>
      <c r="AD385" s="197">
        <f t="shared" si="5"/>
        <v>1</v>
      </c>
    </row>
    <row r="386" spans="28:30" ht="18" customHeight="1">
      <c r="AB386" s="186" t="s">
        <v>475</v>
      </c>
      <c r="AC386" s="187">
        <v>1</v>
      </c>
      <c r="AD386" s="188">
        <f t="shared" si="5"/>
        <v>1</v>
      </c>
    </row>
    <row r="387" spans="28:30" ht="18" customHeight="1">
      <c r="AB387" s="195" t="s">
        <v>535</v>
      </c>
      <c r="AC387" s="196">
        <v>1</v>
      </c>
      <c r="AD387" s="197">
        <f t="shared" si="5"/>
        <v>1</v>
      </c>
    </row>
    <row r="388" spans="28:30" ht="18" customHeight="1">
      <c r="AB388" s="186" t="s">
        <v>478</v>
      </c>
      <c r="AC388" s="187">
        <v>1</v>
      </c>
      <c r="AD388" s="188">
        <f t="shared" si="5"/>
        <v>1</v>
      </c>
    </row>
    <row r="389" spans="28:30" ht="18" customHeight="1">
      <c r="AB389" s="195" t="s">
        <v>490</v>
      </c>
      <c r="AC389" s="196">
        <v>104</v>
      </c>
      <c r="AD389" s="197">
        <f t="shared" si="5"/>
        <v>104</v>
      </c>
    </row>
    <row r="390" spans="28:30" ht="18" customHeight="1">
      <c r="AB390" s="186" t="s">
        <v>485</v>
      </c>
      <c r="AC390" s="187">
        <v>2</v>
      </c>
      <c r="AD390" s="188">
        <f t="shared" si="5"/>
        <v>2</v>
      </c>
    </row>
    <row r="391" spans="28:30" ht="18" customHeight="1">
      <c r="AB391" s="195" t="s">
        <v>485</v>
      </c>
      <c r="AC391" s="196">
        <v>1</v>
      </c>
      <c r="AD391" s="197">
        <f t="shared" si="5"/>
        <v>1</v>
      </c>
    </row>
    <row r="392" spans="28:30" ht="18" customHeight="1">
      <c r="AB392" s="186" t="s">
        <v>505</v>
      </c>
      <c r="AC392" s="187">
        <v>80</v>
      </c>
      <c r="AD392" s="188">
        <f t="shared" si="5"/>
        <v>80</v>
      </c>
    </row>
    <row r="393" spans="28:30" ht="18" customHeight="1">
      <c r="AB393" s="195" t="s">
        <v>504</v>
      </c>
      <c r="AC393" s="196">
        <v>1</v>
      </c>
      <c r="AD393" s="197">
        <f t="shared" si="5"/>
        <v>1</v>
      </c>
    </row>
    <row r="394" spans="28:30" ht="18" customHeight="1">
      <c r="AB394" s="186" t="s">
        <v>1526</v>
      </c>
      <c r="AC394" s="187">
        <v>2</v>
      </c>
      <c r="AD394" s="188">
        <f t="shared" si="5"/>
        <v>2</v>
      </c>
    </row>
    <row r="395" spans="28:30" ht="18" customHeight="1">
      <c r="AB395" s="195" t="s">
        <v>511</v>
      </c>
      <c r="AC395" s="196">
        <v>1</v>
      </c>
      <c r="AD395" s="197">
        <f t="shared" si="5"/>
        <v>1</v>
      </c>
    </row>
    <row r="396" spans="28:30" ht="18" customHeight="1">
      <c r="AB396" s="186" t="s">
        <v>1527</v>
      </c>
      <c r="AC396" s="187">
        <v>1</v>
      </c>
      <c r="AD396" s="188">
        <f t="shared" si="5"/>
        <v>1</v>
      </c>
    </row>
    <row r="397" spans="28:30" ht="18" customHeight="1">
      <c r="AB397" s="195" t="s">
        <v>494</v>
      </c>
      <c r="AC397" s="196">
        <v>1</v>
      </c>
      <c r="AD397" s="197">
        <f t="shared" si="5"/>
        <v>1</v>
      </c>
    </row>
    <row r="398" spans="28:30" ht="18" customHeight="1">
      <c r="AB398" s="186" t="s">
        <v>510</v>
      </c>
      <c r="AC398" s="187">
        <v>1</v>
      </c>
      <c r="AD398" s="188">
        <f t="shared" si="5"/>
        <v>1</v>
      </c>
    </row>
    <row r="399" spans="28:30" ht="18" customHeight="1">
      <c r="AB399" s="195" t="s">
        <v>496</v>
      </c>
      <c r="AC399" s="196">
        <v>3</v>
      </c>
      <c r="AD399" s="197">
        <f t="shared" si="5"/>
        <v>3</v>
      </c>
    </row>
    <row r="400" spans="28:30" ht="18" customHeight="1">
      <c r="AB400" s="186" t="s">
        <v>498</v>
      </c>
      <c r="AC400" s="187">
        <v>1</v>
      </c>
      <c r="AD400" s="188">
        <f t="shared" si="5"/>
        <v>1</v>
      </c>
    </row>
    <row r="401" spans="28:30" ht="18" customHeight="1">
      <c r="AB401" s="195" t="s">
        <v>515</v>
      </c>
      <c r="AC401" s="196">
        <v>1</v>
      </c>
      <c r="AD401" s="197">
        <f t="shared" si="5"/>
        <v>1</v>
      </c>
    </row>
    <row r="402" spans="28:30" ht="18" customHeight="1">
      <c r="AB402" s="186" t="s">
        <v>516</v>
      </c>
      <c r="AC402" s="187">
        <v>1</v>
      </c>
      <c r="AD402" s="188">
        <f t="shared" si="5"/>
        <v>1</v>
      </c>
    </row>
    <row r="403" spans="28:30" ht="18" customHeight="1">
      <c r="AB403" s="195" t="s">
        <v>526</v>
      </c>
      <c r="AC403" s="196">
        <v>2</v>
      </c>
      <c r="AD403" s="197">
        <f t="shared" si="5"/>
        <v>2</v>
      </c>
    </row>
    <row r="404" spans="28:30" ht="18" customHeight="1">
      <c r="AB404" s="186" t="s">
        <v>530</v>
      </c>
      <c r="AC404" s="187">
        <v>4</v>
      </c>
      <c r="AD404" s="188">
        <f t="shared" si="5"/>
        <v>4</v>
      </c>
    </row>
    <row r="405" spans="28:30" ht="18" customHeight="1">
      <c r="AB405" s="195" t="s">
        <v>542</v>
      </c>
      <c r="AC405" s="196">
        <v>1</v>
      </c>
      <c r="AD405" s="197">
        <f t="shared" si="5"/>
        <v>1</v>
      </c>
    </row>
    <row r="406" spans="28:30" ht="18" customHeight="1">
      <c r="AB406" s="186" t="s">
        <v>568</v>
      </c>
      <c r="AC406" s="187">
        <v>1</v>
      </c>
      <c r="AD406" s="188">
        <f t="shared" si="5"/>
        <v>1</v>
      </c>
    </row>
    <row r="407" spans="28:30" ht="18" customHeight="1">
      <c r="AB407" s="195" t="s">
        <v>532</v>
      </c>
      <c r="AC407" s="196">
        <v>3</v>
      </c>
      <c r="AD407" s="197">
        <f t="shared" si="5"/>
        <v>3</v>
      </c>
    </row>
    <row r="408" spans="28:30" ht="18" customHeight="1">
      <c r="AB408" s="186" t="s">
        <v>531</v>
      </c>
      <c r="AC408" s="187">
        <v>1</v>
      </c>
      <c r="AD408" s="188">
        <f t="shared" si="5"/>
        <v>1</v>
      </c>
    </row>
    <row r="409" spans="28:30" ht="18" customHeight="1">
      <c r="AB409" s="195" t="s">
        <v>537</v>
      </c>
      <c r="AC409" s="196">
        <v>1</v>
      </c>
      <c r="AD409" s="197">
        <f t="shared" si="5"/>
        <v>1</v>
      </c>
    </row>
    <row r="410" spans="28:30" ht="18" customHeight="1">
      <c r="AB410" s="186" t="s">
        <v>538</v>
      </c>
      <c r="AC410" s="187">
        <v>1</v>
      </c>
      <c r="AD410" s="188">
        <f t="shared" si="5"/>
        <v>1</v>
      </c>
    </row>
    <row r="411" spans="28:30" ht="18" customHeight="1">
      <c r="AB411" s="195" t="s">
        <v>619</v>
      </c>
      <c r="AC411" s="196">
        <v>3</v>
      </c>
      <c r="AD411" s="197">
        <f t="shared" si="5"/>
        <v>3</v>
      </c>
    </row>
    <row r="412" spans="28:30" ht="18" customHeight="1">
      <c r="AB412" s="186" t="s">
        <v>1528</v>
      </c>
      <c r="AC412" s="187">
        <v>2</v>
      </c>
      <c r="AD412" s="188">
        <f t="shared" si="5"/>
        <v>2</v>
      </c>
    </row>
    <row r="413" spans="28:30" ht="18" customHeight="1">
      <c r="AB413" s="195" t="s">
        <v>1529</v>
      </c>
      <c r="AC413" s="196">
        <v>1</v>
      </c>
      <c r="AD413" s="197">
        <f t="shared" si="5"/>
        <v>1</v>
      </c>
    </row>
    <row r="414" spans="28:30" ht="18" customHeight="1">
      <c r="AB414" s="186" t="s">
        <v>1530</v>
      </c>
      <c r="AC414" s="187">
        <v>2</v>
      </c>
      <c r="AD414" s="188">
        <f t="shared" si="5"/>
        <v>2</v>
      </c>
    </row>
    <row r="415" spans="28:30" ht="18" customHeight="1">
      <c r="AB415" s="195" t="s">
        <v>580</v>
      </c>
      <c r="AC415" s="196">
        <v>1</v>
      </c>
      <c r="AD415" s="197">
        <f t="shared" si="5"/>
        <v>1</v>
      </c>
    </row>
    <row r="416" spans="28:30" ht="18" customHeight="1">
      <c r="AB416" s="186" t="s">
        <v>564</v>
      </c>
      <c r="AC416" s="187">
        <v>1</v>
      </c>
      <c r="AD416" s="188">
        <f t="shared" si="5"/>
        <v>1</v>
      </c>
    </row>
    <row r="417" spans="28:30" ht="18" customHeight="1">
      <c r="AB417" s="195" t="s">
        <v>547</v>
      </c>
      <c r="AC417" s="196">
        <v>1</v>
      </c>
      <c r="AD417" s="197">
        <f t="shared" si="5"/>
        <v>1</v>
      </c>
    </row>
    <row r="418" spans="28:30" ht="18" customHeight="1">
      <c r="AB418" s="186" t="s">
        <v>1531</v>
      </c>
      <c r="AC418" s="187">
        <v>1</v>
      </c>
      <c r="AD418" s="188">
        <f t="shared" si="5"/>
        <v>1</v>
      </c>
    </row>
    <row r="419" spans="28:30" ht="18" customHeight="1">
      <c r="AB419" s="195" t="s">
        <v>556</v>
      </c>
      <c r="AC419" s="196">
        <v>2</v>
      </c>
      <c r="AD419" s="197">
        <f t="shared" si="5"/>
        <v>2</v>
      </c>
    </row>
    <row r="420" spans="28:30" ht="18" customHeight="1">
      <c r="AB420" s="186" t="s">
        <v>551</v>
      </c>
      <c r="AC420" s="187">
        <v>1</v>
      </c>
      <c r="AD420" s="188">
        <f t="shared" si="5"/>
        <v>1</v>
      </c>
    </row>
    <row r="421" spans="28:30" ht="18" customHeight="1">
      <c r="AB421" s="195" t="s">
        <v>565</v>
      </c>
      <c r="AC421" s="196">
        <v>2</v>
      </c>
      <c r="AD421" s="197">
        <f t="shared" si="5"/>
        <v>2</v>
      </c>
    </row>
    <row r="422" spans="28:30" ht="18" customHeight="1">
      <c r="AB422" s="186" t="s">
        <v>1532</v>
      </c>
      <c r="AC422" s="187">
        <v>1</v>
      </c>
      <c r="AD422" s="188">
        <f t="shared" si="5"/>
        <v>1</v>
      </c>
    </row>
    <row r="423" spans="28:30" ht="18" customHeight="1">
      <c r="AB423" s="195" t="s">
        <v>554</v>
      </c>
      <c r="AC423" s="196">
        <v>1</v>
      </c>
      <c r="AD423" s="197">
        <f t="shared" si="5"/>
        <v>1</v>
      </c>
    </row>
    <row r="424" spans="28:30" ht="18" customHeight="1">
      <c r="AB424" s="186" t="s">
        <v>553</v>
      </c>
      <c r="AC424" s="187">
        <v>1</v>
      </c>
      <c r="AD424" s="188">
        <f t="shared" si="5"/>
        <v>1</v>
      </c>
    </row>
    <row r="425" spans="28:30" ht="18" customHeight="1">
      <c r="AB425" s="195" t="s">
        <v>558</v>
      </c>
      <c r="AC425" s="196">
        <v>1</v>
      </c>
      <c r="AD425" s="197">
        <f t="shared" si="5"/>
        <v>1</v>
      </c>
    </row>
    <row r="426" spans="28:30" ht="18" customHeight="1">
      <c r="AB426" s="186" t="s">
        <v>1533</v>
      </c>
      <c r="AC426" s="187">
        <v>1</v>
      </c>
      <c r="AD426" s="188">
        <f t="shared" si="5"/>
        <v>1</v>
      </c>
    </row>
    <row r="427" spans="28:30" ht="18" customHeight="1">
      <c r="AB427" s="195" t="s">
        <v>575</v>
      </c>
      <c r="AC427" s="196">
        <v>1</v>
      </c>
      <c r="AD427" s="197">
        <f t="shared" si="5"/>
        <v>1</v>
      </c>
    </row>
    <row r="428" spans="28:30" ht="18" customHeight="1">
      <c r="AB428" s="186" t="s">
        <v>570</v>
      </c>
      <c r="AC428" s="187">
        <v>4</v>
      </c>
      <c r="AD428" s="188">
        <f t="shared" si="5"/>
        <v>4</v>
      </c>
    </row>
    <row r="429" spans="28:30" ht="18" customHeight="1">
      <c r="AB429" s="195" t="s">
        <v>572</v>
      </c>
      <c r="AC429" s="196">
        <v>2</v>
      </c>
      <c r="AD429" s="197">
        <f t="shared" si="5"/>
        <v>2</v>
      </c>
    </row>
    <row r="430" spans="28:30" ht="18" customHeight="1">
      <c r="AB430" s="186" t="s">
        <v>578</v>
      </c>
      <c r="AC430" s="187">
        <v>1</v>
      </c>
      <c r="AD430" s="188">
        <f t="shared" si="5"/>
        <v>1</v>
      </c>
    </row>
    <row r="431" spans="28:30" ht="18" customHeight="1">
      <c r="AB431" s="195" t="s">
        <v>582</v>
      </c>
      <c r="AC431" s="196">
        <v>1</v>
      </c>
      <c r="AD431" s="197">
        <f t="shared" si="5"/>
        <v>1</v>
      </c>
    </row>
    <row r="432" spans="28:30" ht="18" customHeight="1">
      <c r="AB432" s="186" t="s">
        <v>586</v>
      </c>
      <c r="AC432" s="187">
        <v>1</v>
      </c>
      <c r="AD432" s="188">
        <f t="shared" si="5"/>
        <v>1</v>
      </c>
    </row>
    <row r="433" spans="28:30" ht="18" customHeight="1">
      <c r="AB433" s="195" t="s">
        <v>589</v>
      </c>
      <c r="AC433" s="196"/>
      <c r="AD433" s="197">
        <f t="shared" si="5"/>
        <v>0</v>
      </c>
    </row>
    <row r="434" spans="28:30" ht="18" customHeight="1">
      <c r="AB434" s="186" t="s">
        <v>597</v>
      </c>
      <c r="AC434" s="187">
        <v>1</v>
      </c>
      <c r="AD434" s="188">
        <f t="shared" si="5"/>
        <v>1</v>
      </c>
    </row>
    <row r="435" spans="28:30" ht="18" customHeight="1">
      <c r="AB435" s="195" t="s">
        <v>598</v>
      </c>
      <c r="AC435" s="196">
        <v>1</v>
      </c>
      <c r="AD435" s="197">
        <f t="shared" si="5"/>
        <v>1</v>
      </c>
    </row>
    <row r="436" spans="28:30" ht="18" customHeight="1">
      <c r="AB436" s="186" t="s">
        <v>602</v>
      </c>
      <c r="AC436" s="187">
        <v>1</v>
      </c>
      <c r="AD436" s="188">
        <f t="shared" si="5"/>
        <v>1</v>
      </c>
    </row>
    <row r="437" spans="28:30" ht="18" customHeight="1">
      <c r="AB437" s="195" t="s">
        <v>606</v>
      </c>
      <c r="AC437" s="196">
        <v>1</v>
      </c>
      <c r="AD437" s="197">
        <f t="shared" si="5"/>
        <v>1</v>
      </c>
    </row>
    <row r="438" spans="28:30" ht="18" customHeight="1">
      <c r="AB438" s="186" t="s">
        <v>607</v>
      </c>
      <c r="AC438" s="187">
        <v>5</v>
      </c>
      <c r="AD438" s="188">
        <f t="shared" si="5"/>
        <v>5</v>
      </c>
    </row>
    <row r="439" spans="28:30" ht="18" customHeight="1">
      <c r="AB439" s="195" t="s">
        <v>723</v>
      </c>
      <c r="AC439" s="196">
        <v>1</v>
      </c>
      <c r="AD439" s="197">
        <f t="shared" si="5"/>
        <v>1</v>
      </c>
    </row>
    <row r="440" spans="28:30" ht="18" customHeight="1">
      <c r="AB440" s="186" t="s">
        <v>699</v>
      </c>
      <c r="AC440" s="187">
        <v>1</v>
      </c>
      <c r="AD440" s="188">
        <f t="shared" si="5"/>
        <v>1</v>
      </c>
    </row>
    <row r="441" spans="28:30" ht="18" customHeight="1">
      <c r="AB441" s="195" t="s">
        <v>622</v>
      </c>
      <c r="AC441" s="196">
        <v>1</v>
      </c>
      <c r="AD441" s="197">
        <f t="shared" si="5"/>
        <v>1</v>
      </c>
    </row>
    <row r="442" spans="28:30" ht="18" customHeight="1">
      <c r="AB442" s="186" t="s">
        <v>638</v>
      </c>
      <c r="AC442" s="187">
        <v>1</v>
      </c>
      <c r="AD442" s="188">
        <f t="shared" si="5"/>
        <v>1</v>
      </c>
    </row>
    <row r="443" spans="28:30" ht="18" customHeight="1">
      <c r="AB443" s="195" t="s">
        <v>628</v>
      </c>
      <c r="AC443" s="196">
        <v>1</v>
      </c>
      <c r="AD443" s="197">
        <f t="shared" si="5"/>
        <v>1</v>
      </c>
    </row>
    <row r="444" spans="28:30" ht="18" customHeight="1">
      <c r="AB444" s="186" t="s">
        <v>1534</v>
      </c>
      <c r="AC444" s="187">
        <v>1</v>
      </c>
      <c r="AD444" s="188">
        <f t="shared" si="5"/>
        <v>1</v>
      </c>
    </row>
    <row r="445" spans="28:30" ht="18" customHeight="1">
      <c r="AB445" s="195" t="s">
        <v>636</v>
      </c>
      <c r="AC445" s="196">
        <v>1</v>
      </c>
      <c r="AD445" s="197">
        <f t="shared" si="5"/>
        <v>1</v>
      </c>
    </row>
    <row r="446" spans="28:30" ht="18" customHeight="1">
      <c r="AB446" s="186" t="s">
        <v>1535</v>
      </c>
      <c r="AC446" s="187">
        <v>2</v>
      </c>
      <c r="AD446" s="188">
        <f t="shared" si="5"/>
        <v>2</v>
      </c>
    </row>
    <row r="447" spans="28:30" ht="18" customHeight="1">
      <c r="AB447" s="195" t="s">
        <v>612</v>
      </c>
      <c r="AC447" s="196">
        <v>1</v>
      </c>
      <c r="AD447" s="197">
        <f t="shared" si="5"/>
        <v>1</v>
      </c>
    </row>
    <row r="448" spans="28:30" ht="18" customHeight="1">
      <c r="AB448" s="186" t="s">
        <v>616</v>
      </c>
      <c r="AC448" s="187">
        <v>1</v>
      </c>
      <c r="AD448" s="188">
        <f t="shared" si="5"/>
        <v>1</v>
      </c>
    </row>
    <row r="449" spans="28:30" ht="18" customHeight="1">
      <c r="AB449" s="195" t="s">
        <v>617</v>
      </c>
      <c r="AC449" s="196">
        <v>1</v>
      </c>
      <c r="AD449" s="197">
        <f t="shared" si="5"/>
        <v>1</v>
      </c>
    </row>
    <row r="450" spans="28:30" ht="18" customHeight="1">
      <c r="AB450" s="186" t="s">
        <v>1536</v>
      </c>
      <c r="AC450" s="187">
        <v>1</v>
      </c>
      <c r="AD450" s="188">
        <f t="shared" si="5"/>
        <v>1</v>
      </c>
    </row>
    <row r="451" spans="28:30" ht="18" customHeight="1">
      <c r="AB451" s="195" t="s">
        <v>621</v>
      </c>
      <c r="AC451" s="196">
        <v>1</v>
      </c>
      <c r="AD451" s="197">
        <f t="shared" si="5"/>
        <v>1</v>
      </c>
    </row>
    <row r="452" spans="28:30" ht="18" customHeight="1">
      <c r="AB452" s="186" t="s">
        <v>672</v>
      </c>
      <c r="AC452" s="187">
        <v>1</v>
      </c>
      <c r="AD452" s="188">
        <f t="shared" si="5"/>
        <v>1</v>
      </c>
    </row>
    <row r="453" spans="28:30" ht="18" customHeight="1">
      <c r="AB453" s="195" t="s">
        <v>624</v>
      </c>
      <c r="AC453" s="196">
        <v>1</v>
      </c>
      <c r="AD453" s="197">
        <f t="shared" si="5"/>
        <v>1</v>
      </c>
    </row>
    <row r="454" spans="28:30" ht="18" customHeight="1">
      <c r="AB454" s="186" t="s">
        <v>632</v>
      </c>
      <c r="AC454" s="187">
        <v>1</v>
      </c>
      <c r="AD454" s="188">
        <f t="shared" si="5"/>
        <v>1</v>
      </c>
    </row>
    <row r="455" spans="28:30" ht="18" customHeight="1">
      <c r="AB455" s="195" t="s">
        <v>655</v>
      </c>
      <c r="AC455" s="196">
        <v>1</v>
      </c>
      <c r="AD455" s="197">
        <f t="shared" si="5"/>
        <v>1</v>
      </c>
    </row>
    <row r="456" spans="28:30" ht="18" customHeight="1">
      <c r="AB456" s="186" t="s">
        <v>633</v>
      </c>
      <c r="AC456" s="187">
        <v>2</v>
      </c>
      <c r="AD456" s="188">
        <f t="shared" si="5"/>
        <v>2</v>
      </c>
    </row>
    <row r="457" spans="28:30" ht="18" customHeight="1">
      <c r="AB457" s="195" t="s">
        <v>639</v>
      </c>
      <c r="AC457" s="196">
        <v>56</v>
      </c>
      <c r="AD457" s="197">
        <f t="shared" si="5"/>
        <v>56</v>
      </c>
    </row>
    <row r="458" spans="28:30" ht="18" customHeight="1">
      <c r="AB458" s="186" t="s">
        <v>1537</v>
      </c>
      <c r="AC458" s="187">
        <v>1</v>
      </c>
      <c r="AD458" s="188">
        <f t="shared" si="5"/>
        <v>1</v>
      </c>
    </row>
    <row r="459" spans="28:30" ht="18" customHeight="1">
      <c r="AB459" s="195" t="s">
        <v>643</v>
      </c>
      <c r="AC459" s="196">
        <v>1</v>
      </c>
      <c r="AD459" s="197">
        <f t="shared" si="5"/>
        <v>1</v>
      </c>
    </row>
    <row r="460" spans="28:30" ht="18" customHeight="1">
      <c r="AB460" s="186" t="s">
        <v>1538</v>
      </c>
      <c r="AC460" s="187">
        <v>2</v>
      </c>
      <c r="AD460" s="188">
        <f t="shared" si="5"/>
        <v>2</v>
      </c>
    </row>
    <row r="461" spans="28:30" ht="18" customHeight="1">
      <c r="AB461" s="195" t="s">
        <v>1539</v>
      </c>
      <c r="AC461" s="196">
        <v>2</v>
      </c>
      <c r="AD461" s="197">
        <f t="shared" si="5"/>
        <v>2</v>
      </c>
    </row>
    <row r="462" spans="28:30" ht="18" customHeight="1">
      <c r="AB462" s="186" t="s">
        <v>648</v>
      </c>
      <c r="AC462" s="187">
        <v>1</v>
      </c>
      <c r="AD462" s="188">
        <f t="shared" si="5"/>
        <v>1</v>
      </c>
    </row>
    <row r="463" spans="28:30" ht="18" customHeight="1">
      <c r="AB463" s="195" t="s">
        <v>665</v>
      </c>
      <c r="AC463" s="196">
        <v>2</v>
      </c>
      <c r="AD463" s="197">
        <f t="shared" si="5"/>
        <v>2</v>
      </c>
    </row>
    <row r="464" spans="28:30" ht="18" customHeight="1">
      <c r="AB464" s="186" t="s">
        <v>1540</v>
      </c>
      <c r="AC464" s="187">
        <v>2</v>
      </c>
      <c r="AD464" s="188">
        <f t="shared" si="5"/>
        <v>2</v>
      </c>
    </row>
    <row r="465" spans="28:30" ht="18" customHeight="1">
      <c r="AB465" s="195" t="s">
        <v>1541</v>
      </c>
      <c r="AC465" s="196">
        <v>1</v>
      </c>
      <c r="AD465" s="197">
        <f t="shared" si="5"/>
        <v>1</v>
      </c>
    </row>
    <row r="466" spans="28:30" ht="18" customHeight="1">
      <c r="AB466" s="186" t="s">
        <v>1134</v>
      </c>
      <c r="AC466" s="187">
        <v>3</v>
      </c>
      <c r="AD466" s="188">
        <f t="shared" si="5"/>
        <v>3</v>
      </c>
    </row>
    <row r="467" spans="28:30" ht="18" customHeight="1">
      <c r="AB467" s="195" t="s">
        <v>667</v>
      </c>
      <c r="AC467" s="196">
        <v>3</v>
      </c>
      <c r="AD467" s="197">
        <f t="shared" si="5"/>
        <v>3</v>
      </c>
    </row>
    <row r="468" spans="28:30" ht="18" customHeight="1">
      <c r="AB468" s="186" t="s">
        <v>1542</v>
      </c>
      <c r="AC468" s="187">
        <v>1</v>
      </c>
      <c r="AD468" s="188">
        <f t="shared" si="5"/>
        <v>1</v>
      </c>
    </row>
    <row r="469" spans="28:30" ht="18" customHeight="1">
      <c r="AB469" s="195" t="s">
        <v>673</v>
      </c>
      <c r="AC469" s="196">
        <v>1</v>
      </c>
      <c r="AD469" s="197">
        <f t="shared" si="5"/>
        <v>1</v>
      </c>
    </row>
    <row r="470" spans="28:30" ht="18" customHeight="1">
      <c r="AB470" s="186" t="s">
        <v>1543</v>
      </c>
      <c r="AC470" s="187">
        <v>1</v>
      </c>
      <c r="AD470" s="188">
        <f t="shared" si="5"/>
        <v>1</v>
      </c>
    </row>
    <row r="471" spans="28:30" ht="18" customHeight="1">
      <c r="AB471" s="195" t="s">
        <v>670</v>
      </c>
      <c r="AC471" s="196">
        <v>100</v>
      </c>
      <c r="AD471" s="197">
        <f t="shared" si="5"/>
        <v>100</v>
      </c>
    </row>
    <row r="472" spans="28:30" ht="18" customHeight="1">
      <c r="AB472" s="186" t="s">
        <v>671</v>
      </c>
      <c r="AC472" s="187">
        <v>100</v>
      </c>
      <c r="AD472" s="188">
        <f t="shared" si="5"/>
        <v>100</v>
      </c>
    </row>
    <row r="473" spans="28:30" ht="18" customHeight="1">
      <c r="AB473" s="195" t="s">
        <v>676</v>
      </c>
      <c r="AC473" s="196">
        <v>100</v>
      </c>
      <c r="AD473" s="197">
        <f t="shared" si="5"/>
        <v>100</v>
      </c>
    </row>
    <row r="474" spans="28:30" ht="18" customHeight="1">
      <c r="AB474" s="186" t="s">
        <v>1544</v>
      </c>
      <c r="AC474" s="187">
        <v>1</v>
      </c>
      <c r="AD474" s="188">
        <f t="shared" si="5"/>
        <v>1</v>
      </c>
    </row>
  </sheetData>
  <autoFilter ref="I2:K10" xr:uid="{00000000-0009-0000-0000-000005000000}">
    <sortState xmlns:xlrd2="http://schemas.microsoft.com/office/spreadsheetml/2017/richdata2" ref="K2:K10">
      <sortCondition ref="K2:K10"/>
    </sortState>
  </autoFilter>
  <mergeCells count="11">
    <mergeCell ref="S1:U1"/>
    <mergeCell ref="W1:Y1"/>
    <mergeCell ref="W5:X5"/>
    <mergeCell ref="N1:P1"/>
    <mergeCell ref="I1:K1"/>
    <mergeCell ref="A33:B33"/>
    <mergeCell ref="A1:G1"/>
    <mergeCell ref="A15:B15"/>
    <mergeCell ref="A16:B16"/>
    <mergeCell ref="A18:G18"/>
    <mergeCell ref="A32:B32"/>
  </mergeCells>
  <conditionalFormatting sqref="AB1:AB474">
    <cfRule type="expression" dxfId="11" priority="1">
      <formula>AD1=0</formula>
    </cfRule>
    <cfRule type="expression" dxfId="10" priority="2" stopIfTrue="1">
      <formula>AH1="loja"</formula>
    </cfRule>
    <cfRule type="expression" dxfId="9" priority="3">
      <formula>AH1="Leo"</formula>
    </cfRule>
  </conditionalFormatting>
  <conditionalFormatting sqref="AD1:AD474">
    <cfRule type="cellIs" dxfId="8" priority="4" operator="lessThanOrEqual">
      <formula>0</formula>
    </cfRule>
  </conditionalFormatting>
  <pageMargins left="0.51" right="0.51" top="0.79" bottom="0.79" header="0.31" footer="0.31"/>
  <pageSetup paperSize="9"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3778-E3B8-A922-5168-CDD57252DA78}">
  <sheetPr>
    <pageSetUpPr fitToPage="1"/>
  </sheetPr>
  <dimension ref="A1:R219"/>
  <sheetViews>
    <sheetView topLeftCell="C1" workbookViewId="0">
      <selection activeCell="J101" sqref="J101"/>
    </sheetView>
  </sheetViews>
  <sheetFormatPr defaultColWidth="9.140625" defaultRowHeight="15" customHeight="1"/>
  <cols>
    <col min="1" max="1" width="43.140625" style="153" customWidth="1"/>
    <col min="2" max="2" width="6.7109375" style="154" customWidth="1"/>
    <col min="3" max="4" width="9.28515625" style="184" customWidth="1"/>
    <col min="5" max="5" width="2" customWidth="1"/>
    <col min="6" max="6" width="29.7109375" style="153" customWidth="1"/>
    <col min="7" max="7" width="10.28515625" style="154" customWidth="1"/>
    <col min="8" max="8" width="9.28515625" style="154" hidden="1" customWidth="1"/>
    <col min="9" max="9" width="5.42578125" customWidth="1"/>
    <col min="10" max="10" width="8.42578125" style="184" customWidth="1"/>
    <col min="12" max="12" width="20" style="184" customWidth="1"/>
    <col min="13" max="13" width="14.28515625" style="184" customWidth="1"/>
    <col min="14" max="14" width="5" customWidth="1"/>
    <col min="15" max="15" width="20" customWidth="1"/>
    <col min="16" max="16" width="4.42578125" customWidth="1"/>
    <col min="17" max="17" width="21.140625" customWidth="1"/>
    <col min="18" max="18" width="130.85546875" customWidth="1"/>
  </cols>
  <sheetData>
    <row r="1" spans="1:18" s="184" customFormat="1" ht="30.75" customHeight="1">
      <c r="A1" s="212" t="s">
        <v>388</v>
      </c>
      <c r="B1" s="212" t="s">
        <v>1545</v>
      </c>
      <c r="C1" s="213" t="s">
        <v>1546</v>
      </c>
      <c r="D1" s="212" t="s">
        <v>1547</v>
      </c>
      <c r="E1"/>
      <c r="F1" s="212" t="s">
        <v>1548</v>
      </c>
      <c r="G1" s="212" t="s">
        <v>1545</v>
      </c>
      <c r="H1" s="212" t="s">
        <v>1546</v>
      </c>
      <c r="J1" s="322" t="s">
        <v>1549</v>
      </c>
      <c r="K1" s="323"/>
      <c r="L1" s="323"/>
      <c r="M1" s="323"/>
      <c r="O1" s="215"/>
      <c r="P1" s="216" t="s">
        <v>1550</v>
      </c>
      <c r="Q1" s="215"/>
      <c r="R1" s="217"/>
    </row>
    <row r="2" spans="1:18" ht="18.75" customHeight="1">
      <c r="A2" s="218" t="s">
        <v>1551</v>
      </c>
      <c r="B2" s="162">
        <f t="shared" ref="B2:B126" si="0">C2-D2</f>
        <v>0</v>
      </c>
      <c r="C2" s="219">
        <v>1</v>
      </c>
      <c r="D2" s="71">
        <v>1</v>
      </c>
      <c r="F2" s="218" t="s">
        <v>1552</v>
      </c>
      <c r="G2" s="162">
        <v>1</v>
      </c>
      <c r="H2" s="162">
        <v>1</v>
      </c>
      <c r="J2" s="220" t="s">
        <v>3</v>
      </c>
      <c r="K2" s="220" t="s">
        <v>1553</v>
      </c>
      <c r="L2" s="220" t="s">
        <v>1554</v>
      </c>
      <c r="M2" s="221" t="s">
        <v>1555</v>
      </c>
      <c r="O2" s="220" t="s">
        <v>1553</v>
      </c>
      <c r="P2" s="220" t="s">
        <v>3</v>
      </c>
      <c r="Q2" s="220" t="s">
        <v>1554</v>
      </c>
      <c r="R2" s="221" t="s">
        <v>1555</v>
      </c>
    </row>
    <row r="3" spans="1:18" ht="15" customHeight="1">
      <c r="A3" s="218" t="s">
        <v>1556</v>
      </c>
      <c r="B3" s="162">
        <f t="shared" si="0"/>
        <v>2</v>
      </c>
      <c r="C3" s="219">
        <v>3</v>
      </c>
      <c r="D3" s="71">
        <v>1</v>
      </c>
      <c r="F3" s="218" t="s">
        <v>1557</v>
      </c>
      <c r="G3" s="162">
        <v>1</v>
      </c>
      <c r="H3" s="162">
        <v>1</v>
      </c>
      <c r="J3" s="71">
        <v>2</v>
      </c>
      <c r="K3" s="222" t="s">
        <v>1558</v>
      </c>
      <c r="L3" s="71" t="s">
        <v>1559</v>
      </c>
      <c r="M3" s="71"/>
      <c r="O3" s="222" t="s">
        <v>1558</v>
      </c>
      <c r="P3" s="71">
        <v>1</v>
      </c>
      <c r="Q3" s="223" t="s">
        <v>1560</v>
      </c>
      <c r="R3" s="222"/>
    </row>
    <row r="4" spans="1:18" ht="15" customHeight="1">
      <c r="A4" s="218" t="s">
        <v>1561</v>
      </c>
      <c r="B4" s="162">
        <f t="shared" si="0"/>
        <v>4</v>
      </c>
      <c r="C4" s="219">
        <v>4</v>
      </c>
      <c r="D4" s="71"/>
      <c r="F4" s="218" t="s">
        <v>1562</v>
      </c>
      <c r="G4" s="162">
        <v>1</v>
      </c>
      <c r="H4" s="162">
        <v>1</v>
      </c>
      <c r="J4" s="71">
        <v>2</v>
      </c>
      <c r="K4" s="222" t="s">
        <v>1558</v>
      </c>
      <c r="L4" s="71" t="s">
        <v>1160</v>
      </c>
      <c r="M4" s="71"/>
      <c r="O4" s="222" t="s">
        <v>1558</v>
      </c>
      <c r="P4" s="71">
        <v>5</v>
      </c>
      <c r="Q4" s="223" t="s">
        <v>1563</v>
      </c>
      <c r="R4" s="222"/>
    </row>
    <row r="5" spans="1:18" ht="15" customHeight="1">
      <c r="A5" s="218" t="s">
        <v>1564</v>
      </c>
      <c r="B5" s="162">
        <f t="shared" si="0"/>
        <v>2</v>
      </c>
      <c r="C5" s="219">
        <v>2</v>
      </c>
      <c r="D5" s="71"/>
      <c r="F5" s="218" t="s">
        <v>1565</v>
      </c>
      <c r="G5" s="162">
        <v>1</v>
      </c>
      <c r="H5" s="162">
        <v>1</v>
      </c>
      <c r="J5" s="71">
        <v>1</v>
      </c>
      <c r="K5" s="222" t="s">
        <v>1558</v>
      </c>
      <c r="L5" s="71">
        <v>13</v>
      </c>
      <c r="M5" s="71"/>
      <c r="O5" s="222" t="s">
        <v>1566</v>
      </c>
      <c r="P5" s="71">
        <v>1</v>
      </c>
      <c r="Q5" s="223" t="s">
        <v>1563</v>
      </c>
      <c r="R5" s="222"/>
    </row>
    <row r="6" spans="1:18" ht="15" customHeight="1">
      <c r="A6" s="218" t="s">
        <v>1567</v>
      </c>
      <c r="B6" s="162">
        <f t="shared" si="0"/>
        <v>2</v>
      </c>
      <c r="C6" s="219">
        <v>2</v>
      </c>
      <c r="D6" s="71"/>
      <c r="F6" s="218" t="s">
        <v>1568</v>
      </c>
      <c r="G6" s="162">
        <v>1</v>
      </c>
      <c r="H6" s="162">
        <v>1</v>
      </c>
      <c r="J6" s="71">
        <v>1</v>
      </c>
      <c r="K6" s="222" t="s">
        <v>1558</v>
      </c>
      <c r="L6" s="71" t="s">
        <v>1569</v>
      </c>
      <c r="M6" s="71"/>
      <c r="O6" s="222" t="s">
        <v>1558</v>
      </c>
      <c r="P6" s="71">
        <v>1</v>
      </c>
      <c r="Q6" s="71" t="s">
        <v>1570</v>
      </c>
      <c r="R6" s="222"/>
    </row>
    <row r="7" spans="1:18" ht="15" customHeight="1">
      <c r="A7" s="218" t="s">
        <v>1571</v>
      </c>
      <c r="B7" s="162">
        <f t="shared" si="0"/>
        <v>1</v>
      </c>
      <c r="C7" s="219">
        <v>1</v>
      </c>
      <c r="D7" s="71"/>
      <c r="F7" s="218" t="s">
        <v>1572</v>
      </c>
      <c r="G7" s="162">
        <v>2</v>
      </c>
      <c r="H7" s="162">
        <v>2</v>
      </c>
      <c r="J7" s="71">
        <v>1</v>
      </c>
      <c r="K7" s="222" t="s">
        <v>1558</v>
      </c>
      <c r="L7" s="71">
        <v>15</v>
      </c>
      <c r="M7" s="71"/>
      <c r="O7" s="222" t="s">
        <v>1566</v>
      </c>
      <c r="P7" s="71">
        <v>4</v>
      </c>
      <c r="Q7" s="71" t="s">
        <v>1570</v>
      </c>
      <c r="R7" s="222"/>
    </row>
    <row r="8" spans="1:18" ht="15" customHeight="1">
      <c r="A8" s="218" t="s">
        <v>1573</v>
      </c>
      <c r="B8" s="162">
        <f t="shared" si="0"/>
        <v>1</v>
      </c>
      <c r="C8" s="219">
        <v>1</v>
      </c>
      <c r="D8" s="71"/>
      <c r="F8" s="218" t="s">
        <v>1574</v>
      </c>
      <c r="G8" s="162">
        <v>1</v>
      </c>
      <c r="H8" s="162">
        <v>2</v>
      </c>
      <c r="J8" s="71">
        <v>1</v>
      </c>
      <c r="K8" s="222" t="s">
        <v>1558</v>
      </c>
      <c r="L8" s="71">
        <v>12</v>
      </c>
      <c r="M8" s="71"/>
      <c r="O8" s="222" t="s">
        <v>1558</v>
      </c>
      <c r="P8" s="71">
        <v>3</v>
      </c>
      <c r="Q8" s="71" t="s">
        <v>1575</v>
      </c>
      <c r="R8" s="222" t="s">
        <v>1576</v>
      </c>
    </row>
    <row r="9" spans="1:18" ht="15" customHeight="1">
      <c r="A9" s="224" t="s">
        <v>1577</v>
      </c>
      <c r="B9" s="225">
        <f t="shared" si="0"/>
        <v>2</v>
      </c>
      <c r="C9" s="162">
        <v>2</v>
      </c>
      <c r="D9" s="226"/>
      <c r="F9" s="218" t="s">
        <v>1578</v>
      </c>
      <c r="G9" s="162">
        <v>1</v>
      </c>
      <c r="H9" s="162">
        <v>1</v>
      </c>
      <c r="J9" s="71">
        <v>1</v>
      </c>
      <c r="K9" s="222" t="s">
        <v>1579</v>
      </c>
      <c r="L9" s="71" t="s">
        <v>1580</v>
      </c>
      <c r="M9" s="71"/>
      <c r="O9" s="222" t="s">
        <v>1566</v>
      </c>
      <c r="P9" s="71">
        <v>1</v>
      </c>
      <c r="Q9" s="71" t="s">
        <v>1581</v>
      </c>
      <c r="R9" s="222"/>
    </row>
    <row r="10" spans="1:18" ht="15" customHeight="1">
      <c r="A10" s="218" t="s">
        <v>1582</v>
      </c>
      <c r="B10" s="162">
        <f t="shared" si="0"/>
        <v>3</v>
      </c>
      <c r="C10" s="219">
        <v>3</v>
      </c>
      <c r="D10" s="71"/>
      <c r="F10" s="218" t="s">
        <v>1583</v>
      </c>
      <c r="G10" s="162">
        <v>1</v>
      </c>
      <c r="H10" s="162">
        <v>1</v>
      </c>
      <c r="J10" s="71">
        <v>1</v>
      </c>
      <c r="K10" s="222" t="s">
        <v>1579</v>
      </c>
      <c r="L10" s="71" t="s">
        <v>1584</v>
      </c>
      <c r="M10" s="71"/>
      <c r="O10" s="222" t="s">
        <v>1558</v>
      </c>
      <c r="P10" s="71">
        <v>1</v>
      </c>
      <c r="Q10" s="71" t="s">
        <v>1581</v>
      </c>
      <c r="R10" s="222"/>
    </row>
    <row r="11" spans="1:18" ht="15" customHeight="1">
      <c r="A11" s="224" t="s">
        <v>1585</v>
      </c>
      <c r="B11" s="225">
        <f t="shared" si="0"/>
        <v>1</v>
      </c>
      <c r="C11" s="162">
        <v>1</v>
      </c>
      <c r="D11" s="226"/>
      <c r="F11" s="218" t="s">
        <v>1586</v>
      </c>
      <c r="G11" s="162">
        <v>1</v>
      </c>
      <c r="H11" s="162">
        <v>1</v>
      </c>
      <c r="J11" s="71">
        <v>1</v>
      </c>
      <c r="K11" s="222" t="s">
        <v>1579</v>
      </c>
      <c r="L11" s="71" t="s">
        <v>1587</v>
      </c>
      <c r="M11" s="71"/>
      <c r="O11" s="222" t="s">
        <v>1558</v>
      </c>
      <c r="P11" s="71">
        <v>2</v>
      </c>
      <c r="Q11" s="71" t="s">
        <v>1588</v>
      </c>
      <c r="R11" s="222" t="s">
        <v>1589</v>
      </c>
    </row>
    <row r="12" spans="1:18" ht="15" customHeight="1">
      <c r="A12" s="218" t="s">
        <v>1590</v>
      </c>
      <c r="B12" s="162">
        <f t="shared" si="0"/>
        <v>2</v>
      </c>
      <c r="C12" s="219">
        <v>2</v>
      </c>
      <c r="D12" s="71"/>
      <c r="F12" s="218" t="s">
        <v>1591</v>
      </c>
      <c r="G12" s="162">
        <v>1</v>
      </c>
      <c r="H12" s="162">
        <v>1</v>
      </c>
      <c r="J12" s="71">
        <v>1</v>
      </c>
      <c r="K12" s="222" t="s">
        <v>1579</v>
      </c>
      <c r="L12" s="71" t="s">
        <v>1592</v>
      </c>
      <c r="M12" s="71"/>
      <c r="O12" s="222" t="s">
        <v>1558</v>
      </c>
      <c r="P12" s="71">
        <v>1</v>
      </c>
      <c r="Q12" s="71">
        <v>12</v>
      </c>
      <c r="R12" s="222" t="s">
        <v>1593</v>
      </c>
    </row>
    <row r="13" spans="1:18" ht="15" customHeight="1">
      <c r="A13" s="218" t="s">
        <v>1594</v>
      </c>
      <c r="B13" s="162">
        <f t="shared" si="0"/>
        <v>1</v>
      </c>
      <c r="C13" s="219">
        <v>7</v>
      </c>
      <c r="D13" s="71">
        <v>6</v>
      </c>
      <c r="F13" s="218" t="s">
        <v>1595</v>
      </c>
      <c r="G13" s="162">
        <v>2</v>
      </c>
      <c r="H13" s="162">
        <v>2</v>
      </c>
      <c r="J13" s="71">
        <v>1</v>
      </c>
      <c r="K13" s="222" t="s">
        <v>1579</v>
      </c>
      <c r="L13" s="71" t="s">
        <v>1596</v>
      </c>
      <c r="M13" s="71"/>
      <c r="O13" s="222" t="s">
        <v>1558</v>
      </c>
      <c r="P13" s="71">
        <v>1</v>
      </c>
      <c r="Q13" s="71" t="s">
        <v>1597</v>
      </c>
      <c r="R13" s="222"/>
    </row>
    <row r="14" spans="1:18" ht="15" customHeight="1">
      <c r="A14" s="218" t="s">
        <v>1598</v>
      </c>
      <c r="B14" s="162">
        <f t="shared" si="0"/>
        <v>1</v>
      </c>
      <c r="C14" s="219">
        <v>1</v>
      </c>
      <c r="D14" s="71"/>
      <c r="F14" s="218" t="s">
        <v>1599</v>
      </c>
      <c r="G14" s="162">
        <v>1</v>
      </c>
      <c r="H14" s="162">
        <v>1</v>
      </c>
      <c r="J14" s="71">
        <v>1</v>
      </c>
      <c r="K14" s="222" t="s">
        <v>1579</v>
      </c>
      <c r="L14" s="71" t="s">
        <v>1600</v>
      </c>
      <c r="M14" s="71"/>
      <c r="O14" s="222" t="s">
        <v>1558</v>
      </c>
      <c r="P14" s="71">
        <v>2</v>
      </c>
      <c r="Q14" s="71" t="s">
        <v>1601</v>
      </c>
      <c r="R14" s="222"/>
    </row>
    <row r="15" spans="1:18" ht="15" customHeight="1">
      <c r="A15" s="218" t="s">
        <v>1602</v>
      </c>
      <c r="B15" s="162">
        <f t="shared" si="0"/>
        <v>2</v>
      </c>
      <c r="C15" s="219">
        <v>2</v>
      </c>
      <c r="D15" s="71"/>
      <c r="F15" s="218" t="s">
        <v>1603</v>
      </c>
      <c r="G15" s="162">
        <v>1</v>
      </c>
      <c r="H15" s="162">
        <v>1</v>
      </c>
      <c r="J15" s="71">
        <v>1</v>
      </c>
      <c r="K15" s="222" t="s">
        <v>1579</v>
      </c>
      <c r="L15" s="71" t="s">
        <v>1604</v>
      </c>
      <c r="M15" s="71"/>
      <c r="O15" s="222" t="s">
        <v>1558</v>
      </c>
      <c r="P15" s="71">
        <v>2</v>
      </c>
      <c r="Q15" s="71" t="s">
        <v>1605</v>
      </c>
      <c r="R15" s="222" t="s">
        <v>1606</v>
      </c>
    </row>
    <row r="16" spans="1:18" ht="15" customHeight="1">
      <c r="A16" s="218" t="s">
        <v>1607</v>
      </c>
      <c r="B16" s="162">
        <f t="shared" si="0"/>
        <v>0</v>
      </c>
      <c r="C16" s="219">
        <v>0</v>
      </c>
      <c r="D16" s="71"/>
      <c r="F16" s="218" t="s">
        <v>1608</v>
      </c>
      <c r="G16" s="162">
        <v>1</v>
      </c>
      <c r="H16" s="162"/>
      <c r="J16" s="71">
        <v>1</v>
      </c>
      <c r="K16" s="222" t="s">
        <v>1579</v>
      </c>
      <c r="L16" s="71" t="s">
        <v>1609</v>
      </c>
      <c r="M16" s="71"/>
      <c r="O16" s="222" t="s">
        <v>1558</v>
      </c>
      <c r="P16" s="71">
        <v>6</v>
      </c>
      <c r="Q16" s="71" t="s">
        <v>1610</v>
      </c>
      <c r="R16" s="222"/>
    </row>
    <row r="17" spans="1:18" ht="15" customHeight="1">
      <c r="A17" s="218" t="s">
        <v>1611</v>
      </c>
      <c r="B17" s="162">
        <f t="shared" si="0"/>
        <v>3</v>
      </c>
      <c r="C17" s="219">
        <v>3</v>
      </c>
      <c r="D17" s="71"/>
      <c r="F17" s="218" t="s">
        <v>1612</v>
      </c>
      <c r="G17" s="162">
        <v>1</v>
      </c>
      <c r="H17" s="162"/>
      <c r="J17" s="71">
        <v>1</v>
      </c>
      <c r="K17" s="222" t="s">
        <v>1579</v>
      </c>
      <c r="L17" s="71" t="s">
        <v>1613</v>
      </c>
      <c r="M17" s="71"/>
      <c r="O17" s="222" t="s">
        <v>1566</v>
      </c>
      <c r="P17" s="71">
        <v>2</v>
      </c>
      <c r="Q17" s="71" t="s">
        <v>1614</v>
      </c>
      <c r="R17" s="222"/>
    </row>
    <row r="18" spans="1:18" ht="15" customHeight="1">
      <c r="A18" s="218" t="s">
        <v>1615</v>
      </c>
      <c r="B18" s="162">
        <f t="shared" si="0"/>
        <v>2</v>
      </c>
      <c r="C18" s="219">
        <v>2</v>
      </c>
      <c r="D18" s="71"/>
      <c r="F18" s="218" t="s">
        <v>1616</v>
      </c>
      <c r="G18" s="162">
        <v>1</v>
      </c>
      <c r="H18" s="162">
        <v>1</v>
      </c>
      <c r="J18" s="71">
        <v>1</v>
      </c>
      <c r="K18" s="222" t="s">
        <v>1579</v>
      </c>
      <c r="L18" s="71" t="s">
        <v>1617</v>
      </c>
      <c r="M18" s="71"/>
      <c r="O18" s="222" t="s">
        <v>1558</v>
      </c>
      <c r="P18" s="71">
        <v>1</v>
      </c>
      <c r="Q18" s="71" t="s">
        <v>1618</v>
      </c>
      <c r="R18" s="222" t="s">
        <v>1619</v>
      </c>
    </row>
    <row r="19" spans="1:18" ht="15" customHeight="1">
      <c r="A19" s="218" t="s">
        <v>1620</v>
      </c>
      <c r="B19" s="162">
        <f t="shared" si="0"/>
        <v>1</v>
      </c>
      <c r="C19" s="219">
        <v>1</v>
      </c>
      <c r="D19" s="71"/>
      <c r="F19" s="218" t="s">
        <v>1621</v>
      </c>
      <c r="G19" s="162">
        <v>1</v>
      </c>
      <c r="H19" s="162">
        <v>1</v>
      </c>
      <c r="J19" s="71">
        <v>1</v>
      </c>
      <c r="K19" s="222" t="s">
        <v>1579</v>
      </c>
      <c r="L19" s="71" t="s">
        <v>1622</v>
      </c>
      <c r="M19" s="71"/>
      <c r="O19" s="222" t="s">
        <v>1566</v>
      </c>
      <c r="P19" s="71">
        <v>1</v>
      </c>
      <c r="Q19" s="71" t="s">
        <v>1618</v>
      </c>
      <c r="R19" s="222" t="s">
        <v>1619</v>
      </c>
    </row>
    <row r="20" spans="1:18" ht="15" customHeight="1">
      <c r="A20" s="218" t="s">
        <v>1623</v>
      </c>
      <c r="B20" s="162">
        <f t="shared" si="0"/>
        <v>2</v>
      </c>
      <c r="C20" s="219">
        <v>2</v>
      </c>
      <c r="D20" s="71"/>
      <c r="F20" s="218" t="s">
        <v>1624</v>
      </c>
      <c r="G20" s="162">
        <v>1</v>
      </c>
      <c r="H20" s="162">
        <v>1</v>
      </c>
      <c r="J20" s="71">
        <v>1</v>
      </c>
      <c r="K20" s="222" t="s">
        <v>1579</v>
      </c>
      <c r="L20" s="71" t="s">
        <v>1625</v>
      </c>
      <c r="M20" s="71"/>
      <c r="O20" s="222" t="s">
        <v>1566</v>
      </c>
      <c r="P20" s="71">
        <v>1</v>
      </c>
      <c r="Q20" s="71" t="s">
        <v>1626</v>
      </c>
      <c r="R20" s="222" t="s">
        <v>1627</v>
      </c>
    </row>
    <row r="21" spans="1:18" ht="15" customHeight="1">
      <c r="A21" s="218" t="s">
        <v>1628</v>
      </c>
      <c r="B21" s="162">
        <f t="shared" si="0"/>
        <v>0</v>
      </c>
      <c r="C21" s="219">
        <v>4</v>
      </c>
      <c r="D21" s="71">
        <v>4</v>
      </c>
      <c r="F21" s="218" t="s">
        <v>1629</v>
      </c>
      <c r="G21" s="162">
        <v>1</v>
      </c>
      <c r="H21" s="162">
        <v>1</v>
      </c>
      <c r="J21" s="71">
        <v>1</v>
      </c>
      <c r="K21" s="222" t="s">
        <v>1630</v>
      </c>
      <c r="L21" s="71" t="s">
        <v>1631</v>
      </c>
      <c r="M21" s="71"/>
      <c r="O21" s="222" t="s">
        <v>1558</v>
      </c>
      <c r="P21" s="71">
        <v>3</v>
      </c>
      <c r="Q21" s="71" t="s">
        <v>1626</v>
      </c>
      <c r="R21" s="222" t="s">
        <v>1627</v>
      </c>
    </row>
    <row r="22" spans="1:18" ht="15" customHeight="1">
      <c r="A22" s="218" t="s">
        <v>1632</v>
      </c>
      <c r="B22" s="162">
        <f t="shared" si="0"/>
        <v>1</v>
      </c>
      <c r="C22" s="219">
        <v>5</v>
      </c>
      <c r="D22" s="71">
        <v>4</v>
      </c>
      <c r="F22" s="218" t="s">
        <v>1633</v>
      </c>
      <c r="G22" s="162">
        <v>1</v>
      </c>
      <c r="H22" s="162"/>
      <c r="J22" s="71">
        <v>1</v>
      </c>
      <c r="K22" s="222" t="s">
        <v>1630</v>
      </c>
      <c r="L22" s="71" t="s">
        <v>1634</v>
      </c>
      <c r="M22" s="71"/>
      <c r="O22" s="222" t="s">
        <v>1558</v>
      </c>
      <c r="P22" s="71">
        <v>5</v>
      </c>
      <c r="Q22" s="71">
        <v>15</v>
      </c>
      <c r="R22" s="222" t="s">
        <v>1635</v>
      </c>
    </row>
    <row r="23" spans="1:18" ht="15" customHeight="1">
      <c r="A23" s="218" t="s">
        <v>1636</v>
      </c>
      <c r="B23" s="162">
        <f t="shared" si="0"/>
        <v>1</v>
      </c>
      <c r="C23" s="219">
        <v>3</v>
      </c>
      <c r="D23" s="71">
        <v>2</v>
      </c>
      <c r="F23" s="218" t="s">
        <v>1637</v>
      </c>
      <c r="G23" s="162">
        <v>1</v>
      </c>
      <c r="H23" s="162">
        <v>1</v>
      </c>
      <c r="J23" s="71">
        <v>1</v>
      </c>
      <c r="K23" s="222" t="s">
        <v>1630</v>
      </c>
      <c r="L23" s="71" t="s">
        <v>1638</v>
      </c>
      <c r="M23" s="71"/>
      <c r="O23" s="222" t="s">
        <v>1558</v>
      </c>
      <c r="P23" s="71">
        <v>1</v>
      </c>
      <c r="Q23" s="71" t="s">
        <v>1639</v>
      </c>
      <c r="R23" s="222" t="s">
        <v>1627</v>
      </c>
    </row>
    <row r="24" spans="1:18" ht="15" customHeight="1">
      <c r="A24" s="218" t="s">
        <v>1640</v>
      </c>
      <c r="B24" s="162">
        <f t="shared" si="0"/>
        <v>5</v>
      </c>
      <c r="C24" s="219">
        <v>5</v>
      </c>
      <c r="D24" s="71"/>
      <c r="F24" s="218" t="s">
        <v>1641</v>
      </c>
      <c r="G24" s="162">
        <v>1</v>
      </c>
      <c r="H24" s="162">
        <v>1</v>
      </c>
      <c r="J24" s="71">
        <v>1</v>
      </c>
      <c r="K24" s="222" t="s">
        <v>1630</v>
      </c>
      <c r="L24" s="71" t="s">
        <v>1642</v>
      </c>
      <c r="M24" s="71"/>
      <c r="O24" s="222" t="s">
        <v>1643</v>
      </c>
      <c r="P24" s="71">
        <v>2</v>
      </c>
      <c r="Q24" s="71" t="s">
        <v>1644</v>
      </c>
      <c r="R24" s="222"/>
    </row>
    <row r="25" spans="1:18" ht="15" customHeight="1">
      <c r="A25" s="218" t="s">
        <v>1645</v>
      </c>
      <c r="B25" s="162">
        <f t="shared" si="0"/>
        <v>2</v>
      </c>
      <c r="C25" s="219">
        <v>3</v>
      </c>
      <c r="D25" s="71">
        <v>1</v>
      </c>
      <c r="F25" s="218" t="s">
        <v>1646</v>
      </c>
      <c r="G25" s="162">
        <v>1</v>
      </c>
      <c r="H25" s="162">
        <v>1</v>
      </c>
      <c r="J25" s="71">
        <v>1</v>
      </c>
      <c r="K25" s="222" t="s">
        <v>1647</v>
      </c>
      <c r="L25" s="71" t="s">
        <v>1648</v>
      </c>
      <c r="M25" s="71"/>
      <c r="O25" s="222" t="s">
        <v>1643</v>
      </c>
      <c r="P25" s="71">
        <v>2</v>
      </c>
      <c r="Q25" s="71" t="s">
        <v>1649</v>
      </c>
      <c r="R25" s="222" t="s">
        <v>1650</v>
      </c>
    </row>
    <row r="26" spans="1:18" ht="15" customHeight="1">
      <c r="A26" s="218" t="s">
        <v>1651</v>
      </c>
      <c r="B26" s="162">
        <f t="shared" si="0"/>
        <v>3</v>
      </c>
      <c r="C26" s="219">
        <v>3</v>
      </c>
      <c r="D26" s="71"/>
      <c r="F26" s="218" t="s">
        <v>1652</v>
      </c>
      <c r="G26" s="162">
        <v>2</v>
      </c>
      <c r="H26" s="162">
        <v>1</v>
      </c>
      <c r="J26" s="71">
        <v>1</v>
      </c>
      <c r="K26" s="222" t="s">
        <v>1647</v>
      </c>
      <c r="L26" s="71" t="s">
        <v>1653</v>
      </c>
      <c r="M26" s="71"/>
      <c r="O26" s="222" t="s">
        <v>1643</v>
      </c>
      <c r="P26" s="71">
        <v>6</v>
      </c>
      <c r="Q26" s="71" t="s">
        <v>1587</v>
      </c>
      <c r="R26" s="222" t="s">
        <v>1654</v>
      </c>
    </row>
    <row r="27" spans="1:18" ht="15" customHeight="1">
      <c r="A27" s="218" t="s">
        <v>1655</v>
      </c>
      <c r="B27" s="162">
        <f t="shared" si="0"/>
        <v>1</v>
      </c>
      <c r="C27" s="219">
        <v>1</v>
      </c>
      <c r="D27" s="71"/>
      <c r="F27" s="218" t="s">
        <v>1656</v>
      </c>
      <c r="G27" s="162">
        <v>1</v>
      </c>
      <c r="H27" s="162">
        <v>1</v>
      </c>
      <c r="J27" s="71">
        <v>1</v>
      </c>
      <c r="K27" s="222" t="s">
        <v>1647</v>
      </c>
      <c r="L27" s="71" t="s">
        <v>1657</v>
      </c>
      <c r="M27" s="71"/>
      <c r="O27" s="222" t="s">
        <v>1643</v>
      </c>
      <c r="P27" s="71">
        <v>1</v>
      </c>
      <c r="Q27" s="71" t="s">
        <v>1658</v>
      </c>
      <c r="R27" s="222" t="s">
        <v>1659</v>
      </c>
    </row>
    <row r="28" spans="1:18" ht="15" customHeight="1">
      <c r="A28" s="224" t="s">
        <v>1660</v>
      </c>
      <c r="B28" s="225">
        <f t="shared" si="0"/>
        <v>0</v>
      </c>
      <c r="C28" s="219">
        <v>0</v>
      </c>
      <c r="D28" s="226"/>
      <c r="F28" s="218" t="s">
        <v>1661</v>
      </c>
      <c r="G28" s="162">
        <v>1</v>
      </c>
      <c r="H28" s="162">
        <v>1</v>
      </c>
      <c r="J28" s="71">
        <v>1</v>
      </c>
      <c r="K28" s="222" t="s">
        <v>1647</v>
      </c>
      <c r="L28" s="71" t="s">
        <v>1662</v>
      </c>
      <c r="M28" s="71"/>
      <c r="O28" s="222" t="s">
        <v>1643</v>
      </c>
      <c r="P28" s="71">
        <v>2</v>
      </c>
      <c r="Q28" s="71" t="s">
        <v>1663</v>
      </c>
      <c r="R28" s="222" t="s">
        <v>1664</v>
      </c>
    </row>
    <row r="29" spans="1:18" ht="15" customHeight="1">
      <c r="A29" s="218" t="s">
        <v>1665</v>
      </c>
      <c r="B29" s="162">
        <f t="shared" si="0"/>
        <v>0</v>
      </c>
      <c r="C29" s="219">
        <v>2</v>
      </c>
      <c r="D29" s="71">
        <v>2</v>
      </c>
      <c r="F29" s="218" t="s">
        <v>1666</v>
      </c>
      <c r="G29" s="162">
        <v>1</v>
      </c>
      <c r="H29" s="162">
        <v>1</v>
      </c>
      <c r="J29" s="71"/>
      <c r="K29" s="222"/>
      <c r="L29" s="71"/>
      <c r="M29" s="71"/>
      <c r="O29" s="222" t="s">
        <v>1643</v>
      </c>
      <c r="P29" s="71">
        <v>1</v>
      </c>
      <c r="Q29" s="71" t="s">
        <v>1604</v>
      </c>
      <c r="R29" s="222" t="s">
        <v>1667</v>
      </c>
    </row>
    <row r="30" spans="1:18" ht="15" customHeight="1">
      <c r="A30" s="218" t="s">
        <v>1668</v>
      </c>
      <c r="B30" s="162">
        <f t="shared" si="0"/>
        <v>1</v>
      </c>
      <c r="C30" s="219">
        <v>1</v>
      </c>
      <c r="D30" s="71"/>
      <c r="F30" s="218" t="s">
        <v>1669</v>
      </c>
      <c r="G30" s="162">
        <v>1</v>
      </c>
      <c r="H30" s="162">
        <v>1</v>
      </c>
      <c r="J30" s="71"/>
      <c r="K30" s="222"/>
      <c r="L30" s="71"/>
      <c r="M30" s="71"/>
      <c r="O30" s="222" t="s">
        <v>1643</v>
      </c>
      <c r="P30" s="71">
        <v>1</v>
      </c>
      <c r="Q30" s="71" t="s">
        <v>1670</v>
      </c>
      <c r="R30" s="222"/>
    </row>
    <row r="31" spans="1:18" ht="15" customHeight="1">
      <c r="A31" s="218" t="s">
        <v>1671</v>
      </c>
      <c r="B31" s="162">
        <f t="shared" si="0"/>
        <v>1</v>
      </c>
      <c r="C31" s="219">
        <v>2</v>
      </c>
      <c r="D31" s="71">
        <v>1</v>
      </c>
      <c r="F31" s="218" t="s">
        <v>1672</v>
      </c>
      <c r="G31" s="162">
        <v>1</v>
      </c>
      <c r="H31" s="162">
        <v>1</v>
      </c>
      <c r="J31" s="71"/>
      <c r="K31" s="222"/>
      <c r="L31" s="71"/>
      <c r="M31" s="71"/>
      <c r="O31" s="222" t="s">
        <v>1643</v>
      </c>
      <c r="P31" s="71">
        <v>2</v>
      </c>
      <c r="Q31" s="71" t="s">
        <v>1673</v>
      </c>
      <c r="R31" s="222" t="s">
        <v>1674</v>
      </c>
    </row>
    <row r="32" spans="1:18" ht="15" customHeight="1">
      <c r="A32" s="224" t="s">
        <v>1675</v>
      </c>
      <c r="B32" s="225">
        <f t="shared" si="0"/>
        <v>5</v>
      </c>
      <c r="C32" s="162">
        <v>7</v>
      </c>
      <c r="D32" s="226">
        <v>2</v>
      </c>
      <c r="F32" s="218" t="s">
        <v>1676</v>
      </c>
      <c r="G32" s="162">
        <v>1</v>
      </c>
      <c r="H32" s="162">
        <v>2</v>
      </c>
      <c r="J32" s="71"/>
      <c r="K32" s="222"/>
      <c r="L32" s="71"/>
      <c r="M32" s="71"/>
      <c r="O32" s="222" t="s">
        <v>1643</v>
      </c>
      <c r="P32" s="71">
        <v>1</v>
      </c>
      <c r="Q32" s="71" t="s">
        <v>1677</v>
      </c>
      <c r="R32" s="222" t="s">
        <v>1678</v>
      </c>
    </row>
    <row r="33" spans="1:18" ht="15" customHeight="1">
      <c r="A33" s="218" t="s">
        <v>1679</v>
      </c>
      <c r="B33" s="162">
        <f t="shared" si="0"/>
        <v>1</v>
      </c>
      <c r="C33" s="219">
        <v>3</v>
      </c>
      <c r="D33" s="71">
        <v>2</v>
      </c>
      <c r="F33" s="218" t="s">
        <v>1680</v>
      </c>
      <c r="G33" s="162">
        <v>1</v>
      </c>
      <c r="H33" s="162"/>
      <c r="J33" s="71"/>
      <c r="K33" s="222"/>
      <c r="L33" s="71"/>
      <c r="M33" s="71"/>
      <c r="O33" s="222" t="s">
        <v>1643</v>
      </c>
      <c r="P33" s="71">
        <v>2</v>
      </c>
      <c r="Q33" s="71" t="s">
        <v>1681</v>
      </c>
      <c r="R33" s="222" t="s">
        <v>1682</v>
      </c>
    </row>
    <row r="34" spans="1:18" ht="15" customHeight="1">
      <c r="A34" s="218" t="s">
        <v>1683</v>
      </c>
      <c r="B34" s="162">
        <f t="shared" si="0"/>
        <v>4</v>
      </c>
      <c r="C34" s="219">
        <v>5</v>
      </c>
      <c r="D34" s="71">
        <v>1</v>
      </c>
      <c r="F34" s="218" t="s">
        <v>1684</v>
      </c>
      <c r="G34" s="162">
        <v>1</v>
      </c>
      <c r="H34" s="162">
        <v>1</v>
      </c>
      <c r="J34" s="71"/>
      <c r="K34" s="222"/>
      <c r="L34" s="71"/>
      <c r="M34" s="71"/>
      <c r="O34" s="222" t="s">
        <v>1643</v>
      </c>
      <c r="P34" s="71">
        <v>2</v>
      </c>
      <c r="Q34" s="71" t="s">
        <v>1685</v>
      </c>
      <c r="R34" s="222" t="s">
        <v>1686</v>
      </c>
    </row>
    <row r="35" spans="1:18" ht="15" customHeight="1">
      <c r="A35" s="218" t="s">
        <v>1687</v>
      </c>
      <c r="B35" s="162">
        <f t="shared" si="0"/>
        <v>4</v>
      </c>
      <c r="C35" s="219">
        <v>4</v>
      </c>
      <c r="D35" s="71"/>
      <c r="F35" s="218" t="s">
        <v>1688</v>
      </c>
      <c r="G35" s="162">
        <v>1</v>
      </c>
      <c r="H35" s="162">
        <v>1</v>
      </c>
      <c r="J35" s="71"/>
      <c r="K35" s="222"/>
      <c r="L35" s="71"/>
      <c r="M35" s="71"/>
      <c r="O35" s="222" t="s">
        <v>1643</v>
      </c>
      <c r="P35" s="71">
        <v>1</v>
      </c>
      <c r="Q35" s="71" t="s">
        <v>1689</v>
      </c>
      <c r="R35" s="222" t="s">
        <v>1690</v>
      </c>
    </row>
    <row r="36" spans="1:18" ht="15" customHeight="1">
      <c r="A36" s="218" t="s">
        <v>1691</v>
      </c>
      <c r="B36" s="162">
        <f t="shared" si="0"/>
        <v>1</v>
      </c>
      <c r="C36" s="219">
        <v>1</v>
      </c>
      <c r="D36" s="71"/>
      <c r="F36" s="218" t="s">
        <v>1692</v>
      </c>
      <c r="G36" s="162">
        <v>1</v>
      </c>
      <c r="H36" s="162">
        <v>1</v>
      </c>
      <c r="J36" s="71"/>
      <c r="K36" s="222"/>
      <c r="L36" s="71"/>
      <c r="M36" s="71"/>
      <c r="O36" s="222" t="s">
        <v>1643</v>
      </c>
      <c r="P36" s="71">
        <v>1</v>
      </c>
      <c r="Q36" s="71" t="s">
        <v>1693</v>
      </c>
      <c r="R36" s="222"/>
    </row>
    <row r="37" spans="1:18" ht="15" customHeight="1">
      <c r="A37" s="218" t="s">
        <v>1694</v>
      </c>
      <c r="B37" s="162">
        <f t="shared" si="0"/>
        <v>1</v>
      </c>
      <c r="C37" s="219">
        <v>1</v>
      </c>
      <c r="D37" s="71"/>
      <c r="F37" s="218" t="s">
        <v>1695</v>
      </c>
      <c r="G37" s="162">
        <v>1</v>
      </c>
      <c r="H37" s="162">
        <v>1</v>
      </c>
      <c r="J37" s="71"/>
      <c r="K37" s="222"/>
      <c r="L37" s="71"/>
      <c r="M37" s="71"/>
      <c r="O37" s="222" t="s">
        <v>1643</v>
      </c>
      <c r="P37" s="71">
        <v>2</v>
      </c>
      <c r="Q37" s="71" t="s">
        <v>1696</v>
      </c>
      <c r="R37" s="222" t="s">
        <v>1697</v>
      </c>
    </row>
    <row r="38" spans="1:18" ht="15" customHeight="1">
      <c r="A38" s="218" t="s">
        <v>1698</v>
      </c>
      <c r="B38" s="162">
        <f t="shared" si="0"/>
        <v>3</v>
      </c>
      <c r="C38" s="219">
        <v>3</v>
      </c>
      <c r="D38" s="71"/>
      <c r="F38" s="218" t="s">
        <v>1699</v>
      </c>
      <c r="G38" s="162">
        <v>1</v>
      </c>
      <c r="H38" s="162">
        <v>1</v>
      </c>
      <c r="J38" s="71"/>
      <c r="K38" s="222"/>
      <c r="L38" s="71"/>
      <c r="M38" s="71"/>
      <c r="O38" s="222" t="s">
        <v>1643</v>
      </c>
      <c r="P38" s="71">
        <v>3</v>
      </c>
      <c r="Q38" s="71" t="s">
        <v>1700</v>
      </c>
      <c r="R38" s="222" t="s">
        <v>1701</v>
      </c>
    </row>
    <row r="39" spans="1:18" ht="15" customHeight="1">
      <c r="A39" s="218" t="s">
        <v>1702</v>
      </c>
      <c r="B39" s="162">
        <f t="shared" si="0"/>
        <v>1</v>
      </c>
      <c r="C39" s="219">
        <v>1</v>
      </c>
      <c r="D39" s="71"/>
      <c r="F39" s="218" t="s">
        <v>1703</v>
      </c>
      <c r="G39" s="162">
        <v>1</v>
      </c>
      <c r="H39" s="162">
        <v>1</v>
      </c>
      <c r="J39" s="71"/>
      <c r="K39" s="222"/>
      <c r="L39" s="71"/>
      <c r="M39" s="71"/>
      <c r="O39" s="222" t="s">
        <v>1643</v>
      </c>
      <c r="P39" s="71">
        <v>1</v>
      </c>
      <c r="Q39" s="71" t="s">
        <v>1704</v>
      </c>
      <c r="R39" s="222" t="s">
        <v>1705</v>
      </c>
    </row>
    <row r="40" spans="1:18" ht="15" customHeight="1">
      <c r="A40" s="218" t="s">
        <v>1706</v>
      </c>
      <c r="B40" s="162">
        <f t="shared" si="0"/>
        <v>2</v>
      </c>
      <c r="C40" s="219">
        <v>2</v>
      </c>
      <c r="D40" s="71"/>
      <c r="F40" s="218" t="s">
        <v>1707</v>
      </c>
      <c r="G40" s="162">
        <v>1</v>
      </c>
      <c r="H40" s="162"/>
      <c r="J40" s="71"/>
      <c r="K40" s="222"/>
      <c r="L40" s="71"/>
      <c r="M40" s="71"/>
      <c r="O40" s="222" t="s">
        <v>1630</v>
      </c>
      <c r="P40" s="71">
        <v>1</v>
      </c>
      <c r="Q40" s="71" t="s">
        <v>1708</v>
      </c>
      <c r="R40" s="222"/>
    </row>
    <row r="41" spans="1:18" ht="15" customHeight="1">
      <c r="A41" s="218" t="s">
        <v>1709</v>
      </c>
      <c r="B41" s="162">
        <f t="shared" si="0"/>
        <v>1</v>
      </c>
      <c r="C41" s="219">
        <v>1</v>
      </c>
      <c r="D41" s="71"/>
      <c r="F41" s="218" t="s">
        <v>1710</v>
      </c>
      <c r="G41" s="162">
        <v>1</v>
      </c>
      <c r="H41" s="162"/>
      <c r="J41" s="71"/>
      <c r="K41" s="222"/>
      <c r="L41" s="71"/>
      <c r="M41" s="71"/>
      <c r="O41" s="222" t="s">
        <v>1630</v>
      </c>
      <c r="P41" s="71">
        <v>1</v>
      </c>
      <c r="Q41" s="71" t="s">
        <v>1711</v>
      </c>
      <c r="R41" s="222"/>
    </row>
    <row r="42" spans="1:18" ht="15" customHeight="1">
      <c r="A42" s="218" t="s">
        <v>1712</v>
      </c>
      <c r="B42" s="162">
        <f t="shared" si="0"/>
        <v>0</v>
      </c>
      <c r="C42" s="219">
        <v>1</v>
      </c>
      <c r="D42" s="71">
        <v>1</v>
      </c>
      <c r="F42" s="218" t="s">
        <v>1713</v>
      </c>
      <c r="G42" s="162">
        <v>1</v>
      </c>
      <c r="H42" s="162">
        <v>1</v>
      </c>
      <c r="J42" s="71"/>
      <c r="K42" s="222"/>
      <c r="L42" s="71"/>
      <c r="M42" s="71"/>
      <c r="O42" s="222" t="s">
        <v>1630</v>
      </c>
      <c r="P42" s="71">
        <v>1</v>
      </c>
      <c r="Q42" s="71" t="s">
        <v>1714</v>
      </c>
      <c r="R42" s="222"/>
    </row>
    <row r="43" spans="1:18" ht="15" customHeight="1">
      <c r="A43" s="218" t="s">
        <v>1715</v>
      </c>
      <c r="B43" s="162">
        <f t="shared" si="0"/>
        <v>0</v>
      </c>
      <c r="C43" s="219">
        <v>2</v>
      </c>
      <c r="D43" s="71">
        <v>2</v>
      </c>
      <c r="F43" s="218" t="s">
        <v>1716</v>
      </c>
      <c r="G43" s="162">
        <v>1</v>
      </c>
      <c r="H43" s="162">
        <v>1</v>
      </c>
      <c r="J43" s="71"/>
      <c r="K43" s="222"/>
      <c r="L43" s="71"/>
      <c r="M43" s="71"/>
      <c r="O43" s="222" t="s">
        <v>1630</v>
      </c>
      <c r="P43" s="71">
        <v>2</v>
      </c>
      <c r="Q43" s="71" t="s">
        <v>1717</v>
      </c>
      <c r="R43" s="222" t="s">
        <v>1718</v>
      </c>
    </row>
    <row r="44" spans="1:18" ht="15" customHeight="1">
      <c r="A44" s="218" t="s">
        <v>1719</v>
      </c>
      <c r="B44" s="162">
        <f t="shared" si="0"/>
        <v>1</v>
      </c>
      <c r="C44" s="219">
        <v>1</v>
      </c>
      <c r="D44" s="71"/>
      <c r="F44" s="218" t="s">
        <v>1720</v>
      </c>
      <c r="G44" s="162">
        <v>1</v>
      </c>
      <c r="H44" s="162">
        <v>1</v>
      </c>
      <c r="J44" s="71"/>
      <c r="K44" s="222"/>
      <c r="L44" s="71"/>
      <c r="M44" s="71"/>
      <c r="O44" s="222" t="s">
        <v>1630</v>
      </c>
      <c r="P44" s="71">
        <v>1</v>
      </c>
      <c r="Q44" s="71" t="s">
        <v>1721</v>
      </c>
      <c r="R44" s="222" t="s">
        <v>1722</v>
      </c>
    </row>
    <row r="45" spans="1:18" ht="15" customHeight="1">
      <c r="A45" s="218" t="s">
        <v>1723</v>
      </c>
      <c r="B45" s="162">
        <f t="shared" si="0"/>
        <v>1</v>
      </c>
      <c r="C45" s="219">
        <v>4</v>
      </c>
      <c r="D45" s="71">
        <v>3</v>
      </c>
      <c r="F45" s="218" t="s">
        <v>1724</v>
      </c>
      <c r="G45" s="162">
        <v>1</v>
      </c>
      <c r="H45" s="162">
        <v>2</v>
      </c>
      <c r="J45" s="71"/>
      <c r="K45" s="222"/>
      <c r="L45" s="71"/>
      <c r="M45" s="71"/>
      <c r="O45" s="222" t="s">
        <v>1630</v>
      </c>
      <c r="P45" s="71">
        <v>2</v>
      </c>
      <c r="Q45" s="71" t="s">
        <v>1725</v>
      </c>
      <c r="R45" s="222" t="s">
        <v>1726</v>
      </c>
    </row>
    <row r="46" spans="1:18" ht="15" customHeight="1">
      <c r="A46" s="218" t="s">
        <v>1727</v>
      </c>
      <c r="B46" s="162">
        <f t="shared" si="0"/>
        <v>1</v>
      </c>
      <c r="C46" s="219">
        <v>5</v>
      </c>
      <c r="D46" s="71">
        <v>4</v>
      </c>
      <c r="F46" s="218" t="s">
        <v>1728</v>
      </c>
      <c r="G46" s="162">
        <v>1</v>
      </c>
      <c r="H46" s="162">
        <v>2</v>
      </c>
      <c r="J46" s="71"/>
      <c r="K46" s="222"/>
      <c r="L46" s="71"/>
      <c r="M46" s="71"/>
      <c r="O46" s="222" t="s">
        <v>1630</v>
      </c>
      <c r="P46" s="71">
        <v>3</v>
      </c>
      <c r="Q46" s="71" t="s">
        <v>1729</v>
      </c>
      <c r="R46" s="222" t="s">
        <v>1730</v>
      </c>
    </row>
    <row r="47" spans="1:18" ht="15" customHeight="1">
      <c r="A47" s="218" t="s">
        <v>1731</v>
      </c>
      <c r="B47" s="162">
        <f t="shared" si="0"/>
        <v>0</v>
      </c>
      <c r="C47" s="219">
        <v>1</v>
      </c>
      <c r="D47" s="71">
        <v>1</v>
      </c>
      <c r="F47" s="218" t="s">
        <v>1732</v>
      </c>
      <c r="G47" s="162">
        <v>1</v>
      </c>
      <c r="H47" s="162">
        <v>1</v>
      </c>
      <c r="J47" s="71"/>
      <c r="K47" s="222"/>
      <c r="L47" s="71"/>
      <c r="M47" s="71"/>
      <c r="O47" s="222" t="s">
        <v>1630</v>
      </c>
      <c r="P47" s="71">
        <v>3</v>
      </c>
      <c r="Q47" s="71" t="s">
        <v>1733</v>
      </c>
      <c r="R47" s="222" t="s">
        <v>1734</v>
      </c>
    </row>
    <row r="48" spans="1:18" ht="15" customHeight="1">
      <c r="A48" s="227" t="s">
        <v>1735</v>
      </c>
      <c r="B48" s="228">
        <f t="shared" si="0"/>
        <v>1</v>
      </c>
      <c r="C48" s="162">
        <v>6</v>
      </c>
      <c r="D48" s="229">
        <v>5</v>
      </c>
      <c r="F48" s="218" t="s">
        <v>1736</v>
      </c>
      <c r="G48" s="162">
        <v>1</v>
      </c>
      <c r="H48" s="162">
        <v>1</v>
      </c>
      <c r="J48" s="71"/>
      <c r="K48" s="222"/>
      <c r="L48" s="71"/>
      <c r="M48" s="71"/>
      <c r="O48" s="222" t="s">
        <v>1630</v>
      </c>
      <c r="P48" s="71">
        <v>2</v>
      </c>
      <c r="Q48" s="71" t="s">
        <v>1737</v>
      </c>
      <c r="R48" s="222" t="s">
        <v>1738</v>
      </c>
    </row>
    <row r="49" spans="1:18" ht="15" customHeight="1">
      <c r="A49" s="218" t="s">
        <v>1739</v>
      </c>
      <c r="B49" s="162">
        <f t="shared" si="0"/>
        <v>3</v>
      </c>
      <c r="C49" s="162">
        <v>3</v>
      </c>
      <c r="D49" s="71"/>
      <c r="F49" s="218" t="s">
        <v>1740</v>
      </c>
      <c r="G49" s="162">
        <v>1</v>
      </c>
      <c r="H49" s="162">
        <v>1</v>
      </c>
      <c r="J49" s="71"/>
      <c r="K49" s="222"/>
      <c r="L49" s="71"/>
      <c r="M49" s="71"/>
      <c r="O49" s="222" t="s">
        <v>1630</v>
      </c>
      <c r="P49" s="71">
        <v>2</v>
      </c>
      <c r="Q49" s="71" t="s">
        <v>1741</v>
      </c>
      <c r="R49" s="222" t="s">
        <v>1742</v>
      </c>
    </row>
    <row r="50" spans="1:18" ht="15" customHeight="1">
      <c r="A50" s="218" t="s">
        <v>1743</v>
      </c>
      <c r="B50" s="162">
        <f t="shared" si="0"/>
        <v>2</v>
      </c>
      <c r="C50" s="162">
        <v>2</v>
      </c>
      <c r="D50" s="71"/>
      <c r="F50" s="218" t="s">
        <v>1744</v>
      </c>
      <c r="G50" s="162">
        <v>1</v>
      </c>
      <c r="H50" s="162">
        <v>1</v>
      </c>
      <c r="J50" s="71"/>
      <c r="K50" s="222"/>
      <c r="L50" s="71"/>
      <c r="M50" s="71"/>
      <c r="O50" s="222" t="s">
        <v>1630</v>
      </c>
      <c r="P50" s="71">
        <v>1</v>
      </c>
      <c r="Q50" s="71" t="s">
        <v>1745</v>
      </c>
      <c r="R50" s="222" t="s">
        <v>1746</v>
      </c>
    </row>
    <row r="51" spans="1:18" ht="15" customHeight="1">
      <c r="A51" s="218" t="s">
        <v>1747</v>
      </c>
      <c r="B51" s="162">
        <f t="shared" si="0"/>
        <v>1</v>
      </c>
      <c r="C51" s="162">
        <v>1</v>
      </c>
      <c r="D51" s="71"/>
      <c r="F51" s="218" t="s">
        <v>1748</v>
      </c>
      <c r="G51" s="162">
        <v>1</v>
      </c>
      <c r="H51" s="162">
        <v>1</v>
      </c>
      <c r="J51" s="71"/>
      <c r="K51" s="222"/>
      <c r="L51" s="71"/>
      <c r="M51" s="71"/>
      <c r="O51" s="222" t="s">
        <v>1630</v>
      </c>
      <c r="P51" s="71">
        <v>1</v>
      </c>
      <c r="Q51" s="71" t="s">
        <v>1749</v>
      </c>
      <c r="R51" s="222" t="s">
        <v>1750</v>
      </c>
    </row>
    <row r="52" spans="1:18" ht="15" customHeight="1">
      <c r="A52" s="230" t="s">
        <v>1751</v>
      </c>
      <c r="B52" s="231">
        <f t="shared" si="0"/>
        <v>1</v>
      </c>
      <c r="C52" s="162">
        <v>1</v>
      </c>
      <c r="D52" s="232"/>
      <c r="F52" s="218" t="s">
        <v>1752</v>
      </c>
      <c r="G52" s="162">
        <v>1</v>
      </c>
      <c r="H52" s="162">
        <v>1</v>
      </c>
      <c r="J52" s="71"/>
      <c r="K52" s="222"/>
      <c r="L52" s="71"/>
      <c r="M52" s="71"/>
      <c r="O52" s="222" t="s">
        <v>1630</v>
      </c>
      <c r="P52" s="71">
        <v>1</v>
      </c>
      <c r="Q52" s="71" t="s">
        <v>1753</v>
      </c>
      <c r="R52" s="222" t="s">
        <v>1754</v>
      </c>
    </row>
    <row r="53" spans="1:18" ht="15" customHeight="1">
      <c r="A53" s="218" t="s">
        <v>1755</v>
      </c>
      <c r="B53" s="162">
        <f t="shared" si="0"/>
        <v>2</v>
      </c>
      <c r="C53" s="219">
        <v>2</v>
      </c>
      <c r="D53" s="71"/>
      <c r="F53" s="218" t="s">
        <v>1756</v>
      </c>
      <c r="G53" s="162">
        <v>1</v>
      </c>
      <c r="H53" s="162">
        <v>1</v>
      </c>
      <c r="J53" s="71"/>
      <c r="K53" s="222"/>
      <c r="L53" s="71"/>
      <c r="M53" s="71"/>
      <c r="O53" s="222" t="s">
        <v>1630</v>
      </c>
      <c r="P53" s="71">
        <v>2</v>
      </c>
      <c r="Q53" s="71" t="s">
        <v>1757</v>
      </c>
      <c r="R53" s="222" t="s">
        <v>1758</v>
      </c>
    </row>
    <row r="54" spans="1:18" ht="15" customHeight="1">
      <c r="A54" s="218" t="s">
        <v>1759</v>
      </c>
      <c r="B54" s="162">
        <f t="shared" si="0"/>
        <v>2</v>
      </c>
      <c r="C54" s="219">
        <v>2</v>
      </c>
      <c r="D54" s="71"/>
      <c r="F54" s="218" t="s">
        <v>1760</v>
      </c>
      <c r="G54" s="162">
        <v>1</v>
      </c>
      <c r="H54" s="162">
        <v>1</v>
      </c>
      <c r="J54" s="71"/>
      <c r="K54" s="222"/>
      <c r="L54" s="71"/>
      <c r="M54" s="71"/>
      <c r="O54" s="222" t="s">
        <v>1630</v>
      </c>
      <c r="P54" s="71">
        <v>1</v>
      </c>
      <c r="Q54" s="71" t="s">
        <v>1761</v>
      </c>
      <c r="R54" s="222" t="s">
        <v>1762</v>
      </c>
    </row>
    <row r="55" spans="1:18" ht="15" customHeight="1">
      <c r="A55" s="218" t="s">
        <v>1763</v>
      </c>
      <c r="B55" s="162">
        <f t="shared" si="0"/>
        <v>2</v>
      </c>
      <c r="C55" s="219">
        <v>2</v>
      </c>
      <c r="D55" s="71"/>
      <c r="F55" s="218" t="s">
        <v>1764</v>
      </c>
      <c r="G55" s="162">
        <v>1</v>
      </c>
      <c r="H55" s="162">
        <v>1</v>
      </c>
      <c r="O55" s="222" t="s">
        <v>1630</v>
      </c>
      <c r="P55" s="71">
        <v>2</v>
      </c>
      <c r="Q55" s="71" t="s">
        <v>1765</v>
      </c>
      <c r="R55" s="222" t="s">
        <v>1766</v>
      </c>
    </row>
    <row r="56" spans="1:18" ht="15" customHeight="1">
      <c r="A56" s="218" t="s">
        <v>1767</v>
      </c>
      <c r="B56" s="162">
        <f t="shared" si="0"/>
        <v>3</v>
      </c>
      <c r="C56" s="219">
        <v>3</v>
      </c>
      <c r="D56" s="71"/>
      <c r="F56" s="218" t="s">
        <v>1768</v>
      </c>
      <c r="G56" s="162">
        <v>1</v>
      </c>
      <c r="H56" s="162">
        <v>1</v>
      </c>
      <c r="O56" s="222" t="s">
        <v>1630</v>
      </c>
      <c r="P56" s="71">
        <v>2</v>
      </c>
      <c r="Q56" s="71" t="s">
        <v>1126</v>
      </c>
      <c r="R56" s="222" t="s">
        <v>1769</v>
      </c>
    </row>
    <row r="57" spans="1:18" ht="15" customHeight="1">
      <c r="A57" s="218" t="s">
        <v>1770</v>
      </c>
      <c r="B57" s="162">
        <f t="shared" si="0"/>
        <v>1</v>
      </c>
      <c r="C57" s="219">
        <v>1</v>
      </c>
      <c r="D57" s="71"/>
      <c r="F57" s="218" t="s">
        <v>1771</v>
      </c>
      <c r="G57" s="162">
        <v>1</v>
      </c>
      <c r="H57" s="162">
        <v>1</v>
      </c>
      <c r="O57" s="222" t="s">
        <v>1630</v>
      </c>
      <c r="P57" s="71">
        <v>1</v>
      </c>
      <c r="Q57" s="71" t="s">
        <v>1631</v>
      </c>
      <c r="R57" s="222" t="s">
        <v>1772</v>
      </c>
    </row>
    <row r="58" spans="1:18" ht="15" customHeight="1">
      <c r="A58" s="218" t="s">
        <v>1773</v>
      </c>
      <c r="B58" s="162">
        <f t="shared" si="0"/>
        <v>1</v>
      </c>
      <c r="C58" s="219">
        <v>1</v>
      </c>
      <c r="D58" s="71"/>
      <c r="F58" s="218" t="s">
        <v>1774</v>
      </c>
      <c r="G58" s="162">
        <v>2</v>
      </c>
      <c r="H58" s="162">
        <v>1</v>
      </c>
      <c r="O58" s="222" t="s">
        <v>1630</v>
      </c>
      <c r="P58" s="71">
        <v>2</v>
      </c>
      <c r="Q58" s="71" t="s">
        <v>1642</v>
      </c>
      <c r="R58" s="222" t="s">
        <v>1775</v>
      </c>
    </row>
    <row r="59" spans="1:18" ht="15" customHeight="1">
      <c r="A59" s="218" t="s">
        <v>1776</v>
      </c>
      <c r="B59" s="162">
        <f t="shared" si="0"/>
        <v>0</v>
      </c>
      <c r="C59" s="219">
        <v>0</v>
      </c>
      <c r="D59" s="71"/>
      <c r="F59" s="218" t="s">
        <v>1777</v>
      </c>
      <c r="G59" s="162">
        <v>1</v>
      </c>
      <c r="H59" s="162">
        <v>1</v>
      </c>
      <c r="O59" s="222" t="s">
        <v>1630</v>
      </c>
      <c r="P59" s="71">
        <v>1</v>
      </c>
      <c r="Q59" s="71" t="s">
        <v>1778</v>
      </c>
      <c r="R59" s="222" t="s">
        <v>1779</v>
      </c>
    </row>
    <row r="60" spans="1:18" ht="15" customHeight="1">
      <c r="A60" s="218" t="s">
        <v>1780</v>
      </c>
      <c r="B60" s="162">
        <f t="shared" si="0"/>
        <v>2</v>
      </c>
      <c r="C60" s="219">
        <v>2</v>
      </c>
      <c r="D60" s="71"/>
      <c r="F60" s="218" t="s">
        <v>1781</v>
      </c>
      <c r="G60" s="162">
        <v>1</v>
      </c>
      <c r="H60" s="162">
        <v>1</v>
      </c>
      <c r="O60" s="222" t="s">
        <v>1630</v>
      </c>
      <c r="P60" s="71">
        <v>1</v>
      </c>
      <c r="Q60" s="71" t="s">
        <v>1782</v>
      </c>
      <c r="R60" s="222" t="s">
        <v>1783</v>
      </c>
    </row>
    <row r="61" spans="1:18" ht="15" customHeight="1">
      <c r="A61" s="218" t="s">
        <v>1784</v>
      </c>
      <c r="B61" s="162">
        <f t="shared" si="0"/>
        <v>1</v>
      </c>
      <c r="C61" s="219">
        <v>1</v>
      </c>
      <c r="D61" s="71"/>
      <c r="F61" s="218" t="s">
        <v>1785</v>
      </c>
      <c r="G61" s="162">
        <v>3</v>
      </c>
      <c r="H61" s="162">
        <v>1</v>
      </c>
      <c r="O61" s="222" t="s">
        <v>1630</v>
      </c>
      <c r="P61" s="71">
        <v>5</v>
      </c>
      <c r="Q61" s="71" t="s">
        <v>1786</v>
      </c>
      <c r="R61" s="222" t="s">
        <v>1787</v>
      </c>
    </row>
    <row r="62" spans="1:18" ht="15" customHeight="1">
      <c r="A62" s="218" t="s">
        <v>1788</v>
      </c>
      <c r="B62" s="162">
        <f t="shared" si="0"/>
        <v>0</v>
      </c>
      <c r="C62" s="219">
        <v>1</v>
      </c>
      <c r="D62" s="71">
        <v>1</v>
      </c>
      <c r="F62" s="218" t="s">
        <v>1789</v>
      </c>
      <c r="G62" s="162">
        <v>1</v>
      </c>
      <c r="H62" s="162">
        <v>1</v>
      </c>
      <c r="O62" s="222" t="s">
        <v>1630</v>
      </c>
      <c r="P62" s="71">
        <v>1</v>
      </c>
      <c r="Q62" s="71" t="s">
        <v>1790</v>
      </c>
      <c r="R62" s="222" t="s">
        <v>1791</v>
      </c>
    </row>
    <row r="63" spans="1:18" ht="15" customHeight="1">
      <c r="A63" s="218" t="s">
        <v>1792</v>
      </c>
      <c r="B63" s="162">
        <f t="shared" si="0"/>
        <v>1</v>
      </c>
      <c r="C63" s="219">
        <v>1</v>
      </c>
      <c r="D63" s="71"/>
      <c r="F63" s="218" t="s">
        <v>1793</v>
      </c>
      <c r="G63" s="162">
        <v>1</v>
      </c>
      <c r="H63" s="162">
        <v>1</v>
      </c>
      <c r="O63" s="222" t="s">
        <v>1630</v>
      </c>
      <c r="P63" s="71">
        <v>8</v>
      </c>
      <c r="Q63" s="71" t="s">
        <v>1638</v>
      </c>
      <c r="R63" s="222" t="s">
        <v>1794</v>
      </c>
    </row>
    <row r="64" spans="1:18" ht="15" customHeight="1">
      <c r="A64" s="218" t="s">
        <v>1795</v>
      </c>
      <c r="B64" s="162">
        <f t="shared" si="0"/>
        <v>1</v>
      </c>
      <c r="C64" s="219">
        <v>1</v>
      </c>
      <c r="D64" s="71"/>
      <c r="F64" s="218" t="s">
        <v>1796</v>
      </c>
      <c r="G64" s="162">
        <v>1</v>
      </c>
      <c r="H64" s="162">
        <v>1</v>
      </c>
      <c r="O64" s="222" t="s">
        <v>1630</v>
      </c>
      <c r="P64" s="71">
        <v>2</v>
      </c>
      <c r="Q64" s="71" t="s">
        <v>1797</v>
      </c>
      <c r="R64" s="222"/>
    </row>
    <row r="65" spans="1:18" ht="15" customHeight="1">
      <c r="A65" s="218" t="s">
        <v>1798</v>
      </c>
      <c r="B65" s="162">
        <f t="shared" si="0"/>
        <v>0</v>
      </c>
      <c r="C65" s="219">
        <v>0</v>
      </c>
      <c r="D65" s="71"/>
      <c r="F65" s="218" t="s">
        <v>1799</v>
      </c>
      <c r="G65" s="162">
        <v>1</v>
      </c>
      <c r="H65" s="162">
        <v>2</v>
      </c>
      <c r="O65" s="222" t="s">
        <v>1630</v>
      </c>
      <c r="P65" s="71">
        <v>4</v>
      </c>
      <c r="Q65" s="71" t="s">
        <v>1634</v>
      </c>
      <c r="R65" s="222" t="s">
        <v>1800</v>
      </c>
    </row>
    <row r="66" spans="1:18" ht="15" customHeight="1">
      <c r="A66" s="218" t="s">
        <v>1801</v>
      </c>
      <c r="B66" s="162">
        <f t="shared" si="0"/>
        <v>1</v>
      </c>
      <c r="C66" s="219">
        <v>1</v>
      </c>
      <c r="D66" s="71"/>
      <c r="F66" s="218" t="s">
        <v>1802</v>
      </c>
      <c r="G66" s="162">
        <v>1</v>
      </c>
      <c r="H66" s="162">
        <v>1</v>
      </c>
      <c r="O66" s="222" t="s">
        <v>1630</v>
      </c>
      <c r="P66" s="71">
        <v>1</v>
      </c>
      <c r="Q66" s="71" t="s">
        <v>1803</v>
      </c>
      <c r="R66" s="222" t="s">
        <v>1804</v>
      </c>
    </row>
    <row r="67" spans="1:18" ht="15" customHeight="1">
      <c r="A67" s="218" t="s">
        <v>1805</v>
      </c>
      <c r="B67" s="162">
        <f t="shared" si="0"/>
        <v>4</v>
      </c>
      <c r="C67" s="219">
        <v>4</v>
      </c>
      <c r="D67" s="71"/>
      <c r="F67" s="218" t="s">
        <v>1806</v>
      </c>
      <c r="G67" s="162">
        <v>1</v>
      </c>
      <c r="H67" s="162">
        <v>1</v>
      </c>
      <c r="O67" s="222" t="s">
        <v>1630</v>
      </c>
      <c r="P67" s="71">
        <v>1</v>
      </c>
      <c r="Q67" s="71" t="s">
        <v>1807</v>
      </c>
      <c r="R67" s="222" t="s">
        <v>1808</v>
      </c>
    </row>
    <row r="68" spans="1:18" ht="15" customHeight="1">
      <c r="A68" s="218" t="s">
        <v>1809</v>
      </c>
      <c r="B68" s="162">
        <f t="shared" si="0"/>
        <v>3</v>
      </c>
      <c r="C68" s="219">
        <v>3</v>
      </c>
      <c r="D68" s="71"/>
      <c r="F68" s="218" t="s">
        <v>1810</v>
      </c>
      <c r="G68" s="162">
        <v>1</v>
      </c>
      <c r="H68" s="162">
        <v>1</v>
      </c>
      <c r="O68" s="222" t="s">
        <v>1630</v>
      </c>
      <c r="P68" s="71">
        <v>1</v>
      </c>
      <c r="Q68" s="71" t="s">
        <v>1811</v>
      </c>
      <c r="R68" s="222"/>
    </row>
    <row r="69" spans="1:18" ht="15" customHeight="1">
      <c r="A69" s="218" t="s">
        <v>1812</v>
      </c>
      <c r="B69" s="162">
        <f t="shared" si="0"/>
        <v>2</v>
      </c>
      <c r="C69" s="219">
        <v>2</v>
      </c>
      <c r="D69" s="71"/>
      <c r="F69" s="218" t="s">
        <v>1813</v>
      </c>
      <c r="G69" s="162">
        <v>1</v>
      </c>
      <c r="H69" s="162">
        <v>1</v>
      </c>
      <c r="O69" s="222" t="s">
        <v>1630</v>
      </c>
      <c r="P69" s="71">
        <v>2</v>
      </c>
      <c r="Q69" s="71" t="s">
        <v>1814</v>
      </c>
      <c r="R69" s="222"/>
    </row>
    <row r="70" spans="1:18" ht="15" customHeight="1">
      <c r="A70" s="218" t="s">
        <v>1815</v>
      </c>
      <c r="B70" s="162">
        <f t="shared" si="0"/>
        <v>0</v>
      </c>
      <c r="C70" s="219">
        <v>1</v>
      </c>
      <c r="D70" s="71">
        <v>1</v>
      </c>
      <c r="F70" s="218" t="s">
        <v>1816</v>
      </c>
      <c r="G70" s="162">
        <v>1</v>
      </c>
      <c r="H70" s="162">
        <v>1</v>
      </c>
      <c r="O70" s="222" t="s">
        <v>1630</v>
      </c>
      <c r="P70" s="71">
        <v>2</v>
      </c>
      <c r="Q70" s="71" t="s">
        <v>1817</v>
      </c>
      <c r="R70" s="222" t="s">
        <v>1818</v>
      </c>
    </row>
    <row r="71" spans="1:18" ht="15" customHeight="1">
      <c r="A71" s="218" t="s">
        <v>1819</v>
      </c>
      <c r="B71" s="162">
        <f t="shared" si="0"/>
        <v>-1</v>
      </c>
      <c r="C71" s="219">
        <v>0</v>
      </c>
      <c r="D71" s="71">
        <v>1</v>
      </c>
      <c r="F71" s="218" t="s">
        <v>1820</v>
      </c>
      <c r="G71" s="162">
        <v>1</v>
      </c>
      <c r="H71" s="162">
        <v>1</v>
      </c>
      <c r="O71" s="222" t="s">
        <v>1821</v>
      </c>
      <c r="P71" s="71">
        <v>1</v>
      </c>
      <c r="Q71" s="71" t="s">
        <v>1822</v>
      </c>
      <c r="R71" s="222" t="s">
        <v>1823</v>
      </c>
    </row>
    <row r="72" spans="1:18" ht="15" customHeight="1">
      <c r="A72" s="218" t="s">
        <v>1824</v>
      </c>
      <c r="B72" s="162">
        <f t="shared" si="0"/>
        <v>1</v>
      </c>
      <c r="C72" s="219">
        <v>1</v>
      </c>
      <c r="D72" s="71"/>
      <c r="F72" s="218" t="s">
        <v>1825</v>
      </c>
      <c r="G72" s="162">
        <v>1</v>
      </c>
      <c r="H72" s="162">
        <v>1</v>
      </c>
      <c r="O72" s="222" t="s">
        <v>1821</v>
      </c>
      <c r="P72" s="71">
        <v>1</v>
      </c>
      <c r="Q72" s="71" t="s">
        <v>1826</v>
      </c>
      <c r="R72" s="222" t="s">
        <v>1818</v>
      </c>
    </row>
    <row r="73" spans="1:18" ht="15" customHeight="1">
      <c r="A73" s="218" t="s">
        <v>1827</v>
      </c>
      <c r="B73" s="162">
        <f t="shared" si="0"/>
        <v>0</v>
      </c>
      <c r="C73" s="219">
        <v>0</v>
      </c>
      <c r="D73" s="71"/>
      <c r="F73" s="218" t="s">
        <v>1828</v>
      </c>
      <c r="G73" s="162">
        <v>1</v>
      </c>
      <c r="H73" s="162"/>
      <c r="O73" s="222" t="s">
        <v>1821</v>
      </c>
      <c r="P73" s="71">
        <v>4</v>
      </c>
      <c r="Q73" s="71" t="s">
        <v>1829</v>
      </c>
      <c r="R73" s="222" t="s">
        <v>1830</v>
      </c>
    </row>
    <row r="74" spans="1:18" ht="15" customHeight="1">
      <c r="A74" s="218" t="s">
        <v>1831</v>
      </c>
      <c r="B74" s="162">
        <f t="shared" si="0"/>
        <v>1</v>
      </c>
      <c r="C74" s="219">
        <v>1</v>
      </c>
      <c r="D74" s="71"/>
      <c r="F74" s="218" t="s">
        <v>1832</v>
      </c>
      <c r="G74" s="162">
        <v>1</v>
      </c>
      <c r="H74" s="162">
        <v>1</v>
      </c>
      <c r="O74" s="222" t="s">
        <v>1821</v>
      </c>
      <c r="P74" s="71">
        <v>1</v>
      </c>
      <c r="Q74" s="71" t="s">
        <v>1833</v>
      </c>
      <c r="R74" s="222" t="s">
        <v>1834</v>
      </c>
    </row>
    <row r="75" spans="1:18" ht="15" customHeight="1">
      <c r="A75" s="218" t="s">
        <v>1835</v>
      </c>
      <c r="B75" s="162">
        <f t="shared" si="0"/>
        <v>2</v>
      </c>
      <c r="C75" s="219">
        <v>2</v>
      </c>
      <c r="D75" s="71"/>
      <c r="F75" s="218" t="s">
        <v>1836</v>
      </c>
      <c r="G75" s="162">
        <v>1</v>
      </c>
      <c r="H75" s="162">
        <v>1</v>
      </c>
      <c r="O75" s="222" t="s">
        <v>1821</v>
      </c>
      <c r="P75" s="71">
        <v>1</v>
      </c>
      <c r="Q75" s="71" t="s">
        <v>1837</v>
      </c>
      <c r="R75" s="222" t="s">
        <v>1838</v>
      </c>
    </row>
    <row r="76" spans="1:18" ht="15" customHeight="1">
      <c r="A76" s="218" t="s">
        <v>1839</v>
      </c>
      <c r="B76" s="162">
        <f t="shared" si="0"/>
        <v>0</v>
      </c>
      <c r="C76" s="219">
        <v>0</v>
      </c>
      <c r="D76" s="71"/>
      <c r="F76" s="218" t="s">
        <v>1840</v>
      </c>
      <c r="G76" s="162">
        <v>1</v>
      </c>
      <c r="H76" s="162">
        <v>1</v>
      </c>
      <c r="O76" s="222" t="s">
        <v>1821</v>
      </c>
      <c r="P76" s="71">
        <v>3</v>
      </c>
      <c r="Q76" s="71" t="s">
        <v>1841</v>
      </c>
      <c r="R76" s="222" t="s">
        <v>1842</v>
      </c>
    </row>
    <row r="77" spans="1:18" ht="15" customHeight="1">
      <c r="A77" s="218" t="s">
        <v>1843</v>
      </c>
      <c r="B77" s="162">
        <f t="shared" si="0"/>
        <v>-1</v>
      </c>
      <c r="C77" s="219">
        <v>0</v>
      </c>
      <c r="D77" s="71">
        <v>1</v>
      </c>
      <c r="F77" s="218" t="s">
        <v>1844</v>
      </c>
      <c r="G77" s="162">
        <v>1</v>
      </c>
      <c r="H77" s="162">
        <v>1</v>
      </c>
      <c r="O77" s="222" t="s">
        <v>1821</v>
      </c>
      <c r="P77" s="71">
        <v>1</v>
      </c>
      <c r="Q77" s="71" t="s">
        <v>1845</v>
      </c>
      <c r="R77" s="222" t="s">
        <v>1846</v>
      </c>
    </row>
    <row r="78" spans="1:18" ht="15" customHeight="1">
      <c r="A78" s="218" t="s">
        <v>1847</v>
      </c>
      <c r="B78" s="162">
        <f t="shared" si="0"/>
        <v>1</v>
      </c>
      <c r="C78" s="219">
        <v>1</v>
      </c>
      <c r="D78" s="71"/>
      <c r="F78" s="218" t="s">
        <v>1848</v>
      </c>
      <c r="G78" s="162">
        <v>1</v>
      </c>
      <c r="H78" s="162">
        <v>1</v>
      </c>
      <c r="O78" s="222" t="s">
        <v>1821</v>
      </c>
      <c r="P78" s="71">
        <v>2</v>
      </c>
      <c r="Q78" s="71" t="s">
        <v>1849</v>
      </c>
      <c r="R78" s="222" t="s">
        <v>1850</v>
      </c>
    </row>
    <row r="79" spans="1:18" ht="15" customHeight="1">
      <c r="A79" s="218" t="s">
        <v>1851</v>
      </c>
      <c r="B79" s="162">
        <f t="shared" si="0"/>
        <v>1</v>
      </c>
      <c r="C79" s="219">
        <v>1</v>
      </c>
      <c r="D79" s="71"/>
      <c r="F79" s="218" t="s">
        <v>1852</v>
      </c>
      <c r="G79" s="162">
        <v>1</v>
      </c>
      <c r="H79" s="162">
        <v>1</v>
      </c>
      <c r="O79" s="222" t="s">
        <v>1821</v>
      </c>
      <c r="P79" s="71">
        <v>1</v>
      </c>
      <c r="Q79" s="71" t="s">
        <v>1853</v>
      </c>
      <c r="R79" s="222"/>
    </row>
    <row r="80" spans="1:18" ht="15" customHeight="1">
      <c r="A80" s="218" t="s">
        <v>1854</v>
      </c>
      <c r="B80" s="162">
        <f t="shared" si="0"/>
        <v>1</v>
      </c>
      <c r="C80" s="219">
        <v>1</v>
      </c>
      <c r="D80" s="71"/>
      <c r="F80" s="218" t="s">
        <v>1855</v>
      </c>
      <c r="G80" s="162">
        <v>2</v>
      </c>
      <c r="H80" s="162">
        <v>1</v>
      </c>
      <c r="O80" s="222" t="s">
        <v>1821</v>
      </c>
      <c r="P80" s="71">
        <v>3</v>
      </c>
      <c r="Q80" s="71" t="s">
        <v>1856</v>
      </c>
      <c r="R80" s="222"/>
    </row>
    <row r="81" spans="1:18" ht="15" customHeight="1">
      <c r="A81" s="218" t="s">
        <v>1857</v>
      </c>
      <c r="B81" s="162">
        <f t="shared" si="0"/>
        <v>2</v>
      </c>
      <c r="C81" s="219">
        <v>2</v>
      </c>
      <c r="D81" s="71"/>
      <c r="F81" s="218" t="s">
        <v>1858</v>
      </c>
      <c r="G81" s="162">
        <v>1</v>
      </c>
      <c r="H81" s="162">
        <v>1</v>
      </c>
      <c r="O81" s="222" t="s">
        <v>1821</v>
      </c>
      <c r="P81" s="71">
        <v>2</v>
      </c>
      <c r="Q81" s="71" t="s">
        <v>1859</v>
      </c>
      <c r="R81" s="222" t="s">
        <v>1860</v>
      </c>
    </row>
    <row r="82" spans="1:18" ht="15" customHeight="1">
      <c r="A82" s="218" t="s">
        <v>1861</v>
      </c>
      <c r="B82" s="162">
        <f t="shared" si="0"/>
        <v>4</v>
      </c>
      <c r="C82" s="219">
        <v>4</v>
      </c>
      <c r="D82" s="71"/>
      <c r="F82" s="218" t="s">
        <v>1862</v>
      </c>
      <c r="G82" s="162">
        <v>1</v>
      </c>
      <c r="H82" s="162">
        <v>1</v>
      </c>
      <c r="O82" s="222" t="s">
        <v>1821</v>
      </c>
      <c r="P82" s="71">
        <v>2</v>
      </c>
      <c r="Q82" s="71" t="s">
        <v>1863</v>
      </c>
      <c r="R82" s="222"/>
    </row>
    <row r="83" spans="1:18" ht="15" customHeight="1">
      <c r="A83" s="218" t="s">
        <v>1864</v>
      </c>
      <c r="B83" s="162">
        <f t="shared" si="0"/>
        <v>1</v>
      </c>
      <c r="C83" s="219">
        <v>1</v>
      </c>
      <c r="D83" s="71"/>
      <c r="F83" s="218" t="s">
        <v>1865</v>
      </c>
      <c r="G83" s="162">
        <v>2</v>
      </c>
      <c r="H83" s="162">
        <v>2</v>
      </c>
      <c r="O83" s="222" t="s">
        <v>1821</v>
      </c>
      <c r="P83" s="71">
        <v>1</v>
      </c>
      <c r="Q83" s="71" t="s">
        <v>1866</v>
      </c>
      <c r="R83" s="222" t="s">
        <v>1867</v>
      </c>
    </row>
    <row r="84" spans="1:18" ht="15" customHeight="1">
      <c r="A84" s="227" t="s">
        <v>1868</v>
      </c>
      <c r="B84" s="228">
        <f t="shared" si="0"/>
        <v>1</v>
      </c>
      <c r="C84" s="162">
        <v>1</v>
      </c>
      <c r="D84" s="229"/>
      <c r="F84" s="218" t="s">
        <v>1869</v>
      </c>
      <c r="G84" s="162">
        <v>1</v>
      </c>
      <c r="H84" s="162">
        <v>1</v>
      </c>
      <c r="O84" s="222" t="s">
        <v>1821</v>
      </c>
      <c r="P84" s="71">
        <v>1</v>
      </c>
      <c r="Q84" s="71" t="s">
        <v>1870</v>
      </c>
      <c r="R84" s="222"/>
    </row>
    <row r="85" spans="1:18" ht="15" customHeight="1">
      <c r="A85" s="230" t="s">
        <v>1871</v>
      </c>
      <c r="B85" s="231">
        <f t="shared" si="0"/>
        <v>2</v>
      </c>
      <c r="C85" s="219">
        <v>2</v>
      </c>
      <c r="D85" s="232"/>
      <c r="F85" s="218" t="s">
        <v>1872</v>
      </c>
      <c r="G85" s="162">
        <v>1</v>
      </c>
      <c r="H85" s="162">
        <v>1</v>
      </c>
      <c r="O85" s="222" t="s">
        <v>1821</v>
      </c>
      <c r="P85" s="71">
        <v>2</v>
      </c>
      <c r="Q85" s="71" t="s">
        <v>1873</v>
      </c>
      <c r="R85" s="222"/>
    </row>
    <row r="86" spans="1:18" ht="15" customHeight="1">
      <c r="A86" s="218" t="s">
        <v>1874</v>
      </c>
      <c r="B86" s="162">
        <f t="shared" si="0"/>
        <v>6</v>
      </c>
      <c r="C86" s="219">
        <v>6</v>
      </c>
      <c r="D86" s="71"/>
      <c r="F86" s="218" t="s">
        <v>1875</v>
      </c>
      <c r="G86" s="162">
        <v>1</v>
      </c>
      <c r="H86" s="162">
        <v>2</v>
      </c>
      <c r="O86" s="222" t="s">
        <v>1821</v>
      </c>
      <c r="P86" s="71">
        <v>1</v>
      </c>
      <c r="Q86" s="71" t="s">
        <v>1876</v>
      </c>
      <c r="R86" s="222"/>
    </row>
    <row r="87" spans="1:18" ht="15" customHeight="1">
      <c r="A87" s="218" t="s">
        <v>1877</v>
      </c>
      <c r="B87" s="162">
        <f t="shared" si="0"/>
        <v>1</v>
      </c>
      <c r="C87" s="162">
        <v>1</v>
      </c>
      <c r="D87" s="71"/>
      <c r="F87" s="218" t="s">
        <v>1878</v>
      </c>
      <c r="G87" s="162">
        <v>1</v>
      </c>
      <c r="H87" s="162">
        <v>1</v>
      </c>
      <c r="O87" s="222" t="s">
        <v>1821</v>
      </c>
      <c r="P87" s="71">
        <v>2</v>
      </c>
      <c r="Q87" s="71" t="s">
        <v>1879</v>
      </c>
      <c r="R87" s="222"/>
    </row>
    <row r="88" spans="1:18" ht="15" customHeight="1">
      <c r="A88" s="218" t="s">
        <v>1880</v>
      </c>
      <c r="B88" s="162">
        <f t="shared" si="0"/>
        <v>0</v>
      </c>
      <c r="C88" s="162">
        <v>0</v>
      </c>
      <c r="D88" s="71"/>
      <c r="F88" s="218" t="s">
        <v>1881</v>
      </c>
      <c r="G88" s="162">
        <v>1</v>
      </c>
      <c r="H88" s="162">
        <v>1</v>
      </c>
      <c r="O88" s="222" t="s">
        <v>1821</v>
      </c>
      <c r="P88" s="71">
        <v>3</v>
      </c>
      <c r="Q88" s="71" t="s">
        <v>1882</v>
      </c>
      <c r="R88" s="222"/>
    </row>
    <row r="89" spans="1:18" ht="15" customHeight="1">
      <c r="A89" s="218" t="s">
        <v>1883</v>
      </c>
      <c r="B89" s="162">
        <f t="shared" si="0"/>
        <v>1</v>
      </c>
      <c r="C89" s="162">
        <v>1</v>
      </c>
      <c r="D89" s="71"/>
      <c r="F89" s="218" t="s">
        <v>1884</v>
      </c>
      <c r="G89" s="162">
        <v>1</v>
      </c>
      <c r="H89" s="162"/>
      <c r="O89" s="222" t="s">
        <v>1821</v>
      </c>
      <c r="P89" s="71">
        <v>1</v>
      </c>
      <c r="Q89" s="71" t="s">
        <v>1885</v>
      </c>
      <c r="R89" s="222"/>
    </row>
    <row r="90" spans="1:18" ht="15" customHeight="1">
      <c r="A90" s="218" t="s">
        <v>1844</v>
      </c>
      <c r="B90" s="162">
        <f t="shared" si="0"/>
        <v>1</v>
      </c>
      <c r="C90" s="162">
        <v>1</v>
      </c>
      <c r="D90" s="71"/>
      <c r="F90" s="218" t="s">
        <v>1886</v>
      </c>
      <c r="G90" s="162">
        <v>1</v>
      </c>
      <c r="H90" s="162">
        <v>1</v>
      </c>
      <c r="O90" s="222" t="s">
        <v>1821</v>
      </c>
      <c r="P90" s="71">
        <v>3</v>
      </c>
      <c r="Q90" s="71" t="s">
        <v>1887</v>
      </c>
      <c r="R90" s="222"/>
    </row>
    <row r="91" spans="1:18" ht="15" customHeight="1">
      <c r="A91" s="218" t="s">
        <v>1888</v>
      </c>
      <c r="B91" s="162">
        <f t="shared" si="0"/>
        <v>1</v>
      </c>
      <c r="C91" s="162">
        <v>1</v>
      </c>
      <c r="D91" s="71"/>
      <c r="F91" s="218" t="s">
        <v>1889</v>
      </c>
      <c r="G91" s="162">
        <v>1</v>
      </c>
      <c r="H91" s="162">
        <v>1</v>
      </c>
      <c r="O91" s="222" t="s">
        <v>1821</v>
      </c>
      <c r="P91" s="71">
        <v>3</v>
      </c>
      <c r="Q91" s="71" t="s">
        <v>1890</v>
      </c>
      <c r="R91" s="222" t="s">
        <v>1891</v>
      </c>
    </row>
    <row r="92" spans="1:18" ht="15" customHeight="1">
      <c r="A92" s="218" t="s">
        <v>1892</v>
      </c>
      <c r="B92" s="162">
        <f t="shared" si="0"/>
        <v>1</v>
      </c>
      <c r="C92" s="162">
        <v>1</v>
      </c>
      <c r="D92" s="71"/>
      <c r="F92" s="218" t="s">
        <v>1893</v>
      </c>
      <c r="G92" s="162">
        <v>2</v>
      </c>
      <c r="H92" s="162">
        <v>1</v>
      </c>
      <c r="O92" s="222" t="s">
        <v>1821</v>
      </c>
      <c r="P92" s="71">
        <v>3</v>
      </c>
      <c r="Q92" s="71" t="s">
        <v>1894</v>
      </c>
      <c r="R92" s="222"/>
    </row>
    <row r="93" spans="1:18" ht="15" customHeight="1">
      <c r="A93" s="218" t="s">
        <v>1895</v>
      </c>
      <c r="B93" s="162">
        <f t="shared" si="0"/>
        <v>1</v>
      </c>
      <c r="C93" s="162">
        <v>1</v>
      </c>
      <c r="D93" s="71"/>
      <c r="F93" s="218" t="s">
        <v>1896</v>
      </c>
      <c r="G93" s="162">
        <v>1</v>
      </c>
      <c r="H93" s="162">
        <v>1</v>
      </c>
      <c r="O93" s="222" t="s">
        <v>1821</v>
      </c>
      <c r="P93" s="71">
        <v>2</v>
      </c>
      <c r="Q93" s="71" t="s">
        <v>1897</v>
      </c>
      <c r="R93" s="222"/>
    </row>
    <row r="94" spans="1:18" ht="15" customHeight="1">
      <c r="A94" s="218" t="s">
        <v>1898</v>
      </c>
      <c r="B94" s="162">
        <f t="shared" si="0"/>
        <v>1</v>
      </c>
      <c r="C94" s="162">
        <v>1</v>
      </c>
      <c r="D94" s="71"/>
      <c r="F94" s="218" t="s">
        <v>1899</v>
      </c>
      <c r="G94" s="162">
        <v>1</v>
      </c>
      <c r="H94" s="162">
        <v>1</v>
      </c>
      <c r="O94" s="222" t="s">
        <v>1821</v>
      </c>
      <c r="P94" s="71">
        <v>1</v>
      </c>
      <c r="Q94" s="71" t="s">
        <v>1900</v>
      </c>
      <c r="R94" s="222"/>
    </row>
    <row r="95" spans="1:18" ht="15" customHeight="1">
      <c r="A95" s="218" t="s">
        <v>1901</v>
      </c>
      <c r="B95" s="162">
        <f t="shared" si="0"/>
        <v>3</v>
      </c>
      <c r="C95" s="162">
        <v>3</v>
      </c>
      <c r="D95" s="71"/>
      <c r="F95" s="218" t="s">
        <v>1902</v>
      </c>
      <c r="G95" s="162">
        <v>1</v>
      </c>
      <c r="H95" s="162">
        <v>1</v>
      </c>
      <c r="O95" s="222" t="s">
        <v>1821</v>
      </c>
      <c r="P95" s="71">
        <v>1</v>
      </c>
      <c r="Q95" s="71" t="s">
        <v>1903</v>
      </c>
      <c r="R95" s="222"/>
    </row>
    <row r="96" spans="1:18" ht="15" customHeight="1">
      <c r="A96" s="218" t="s">
        <v>1904</v>
      </c>
      <c r="B96" s="162">
        <f t="shared" si="0"/>
        <v>1</v>
      </c>
      <c r="C96" s="219">
        <v>1</v>
      </c>
      <c r="D96" s="71"/>
      <c r="F96" s="218" t="s">
        <v>1905</v>
      </c>
      <c r="G96" s="162">
        <v>1</v>
      </c>
      <c r="H96" s="162">
        <v>2</v>
      </c>
      <c r="O96" s="222" t="s">
        <v>1821</v>
      </c>
      <c r="P96" s="71">
        <v>2</v>
      </c>
      <c r="Q96" s="71" t="s">
        <v>1906</v>
      </c>
      <c r="R96" s="222"/>
    </row>
    <row r="97" spans="1:18" ht="15" customHeight="1">
      <c r="A97" s="218" t="s">
        <v>1907</v>
      </c>
      <c r="B97" s="162">
        <f t="shared" si="0"/>
        <v>1</v>
      </c>
      <c r="C97" s="162">
        <v>1</v>
      </c>
      <c r="D97" s="71"/>
      <c r="F97" s="218" t="s">
        <v>1908</v>
      </c>
      <c r="G97" s="162">
        <v>1</v>
      </c>
      <c r="H97" s="162">
        <v>1</v>
      </c>
      <c r="O97" s="222" t="s">
        <v>1821</v>
      </c>
      <c r="P97" s="71">
        <v>2</v>
      </c>
      <c r="Q97" s="71" t="s">
        <v>1909</v>
      </c>
      <c r="R97" s="222"/>
    </row>
    <row r="98" spans="1:18" ht="15" customHeight="1">
      <c r="A98" s="218" t="s">
        <v>1910</v>
      </c>
      <c r="B98" s="162">
        <f t="shared" si="0"/>
        <v>0</v>
      </c>
      <c r="C98" s="162">
        <v>0</v>
      </c>
      <c r="D98" s="71"/>
      <c r="F98" s="218" t="s">
        <v>1911</v>
      </c>
      <c r="G98" s="162">
        <v>1</v>
      </c>
      <c r="H98" s="162">
        <v>2</v>
      </c>
      <c r="O98" s="222" t="s">
        <v>1821</v>
      </c>
      <c r="P98" s="71">
        <v>1</v>
      </c>
      <c r="Q98" s="71" t="s">
        <v>1912</v>
      </c>
      <c r="R98" s="222"/>
    </row>
    <row r="99" spans="1:18" ht="15" customHeight="1">
      <c r="A99" s="218" t="s">
        <v>1913</v>
      </c>
      <c r="B99" s="162">
        <f t="shared" si="0"/>
        <v>1</v>
      </c>
      <c r="C99" s="219">
        <v>1</v>
      </c>
      <c r="D99" s="71"/>
      <c r="F99" s="218" t="s">
        <v>1914</v>
      </c>
      <c r="G99" s="162">
        <v>1</v>
      </c>
      <c r="H99" s="162">
        <v>1</v>
      </c>
      <c r="O99" s="222"/>
      <c r="P99" s="71"/>
      <c r="Q99" s="71"/>
      <c r="R99" s="222"/>
    </row>
    <row r="100" spans="1:18" ht="15" customHeight="1">
      <c r="A100" s="218" t="s">
        <v>1915</v>
      </c>
      <c r="B100" s="162">
        <f t="shared" si="0"/>
        <v>1</v>
      </c>
      <c r="C100" s="162">
        <v>1</v>
      </c>
      <c r="D100" s="71"/>
      <c r="F100" s="218" t="s">
        <v>1916</v>
      </c>
      <c r="G100" s="162">
        <v>1</v>
      </c>
      <c r="H100" s="162">
        <v>1</v>
      </c>
      <c r="O100" s="222"/>
      <c r="P100" s="71"/>
      <c r="Q100" s="71"/>
      <c r="R100" s="222"/>
    </row>
    <row r="101" spans="1:18" ht="15" customHeight="1">
      <c r="A101" s="218" t="s">
        <v>1917</v>
      </c>
      <c r="B101" s="162">
        <f t="shared" si="0"/>
        <v>0</v>
      </c>
      <c r="C101" s="162">
        <v>0</v>
      </c>
      <c r="D101" s="71"/>
      <c r="F101" s="218" t="s">
        <v>1918</v>
      </c>
      <c r="G101" s="162">
        <v>2</v>
      </c>
      <c r="H101" s="162">
        <v>1</v>
      </c>
      <c r="O101" s="222"/>
      <c r="P101" s="71"/>
      <c r="Q101" s="71"/>
      <c r="R101" s="222"/>
    </row>
    <row r="102" spans="1:18" ht="15" customHeight="1">
      <c r="A102" s="218" t="s">
        <v>1919</v>
      </c>
      <c r="B102" s="162">
        <f t="shared" si="0"/>
        <v>3</v>
      </c>
      <c r="C102" s="162">
        <v>3</v>
      </c>
      <c r="D102" s="71"/>
      <c r="F102" s="218" t="s">
        <v>1920</v>
      </c>
      <c r="G102" s="162">
        <v>1</v>
      </c>
      <c r="H102" s="162">
        <v>1</v>
      </c>
      <c r="O102" s="222"/>
      <c r="P102" s="71"/>
      <c r="Q102" s="71"/>
      <c r="R102" s="222"/>
    </row>
    <row r="103" spans="1:18" ht="15" customHeight="1">
      <c r="A103" s="218" t="s">
        <v>1921</v>
      </c>
      <c r="B103" s="162">
        <f t="shared" si="0"/>
        <v>1</v>
      </c>
      <c r="C103" s="162">
        <v>1</v>
      </c>
      <c r="D103" s="71"/>
      <c r="F103" s="218" t="s">
        <v>1922</v>
      </c>
      <c r="G103" s="162">
        <v>1</v>
      </c>
      <c r="H103" s="162">
        <v>1</v>
      </c>
      <c r="O103" s="222"/>
      <c r="P103" s="71"/>
      <c r="Q103" s="71"/>
      <c r="R103" s="222"/>
    </row>
    <row r="104" spans="1:18" ht="15" customHeight="1">
      <c r="A104" s="218" t="s">
        <v>1911</v>
      </c>
      <c r="B104" s="162">
        <f t="shared" si="0"/>
        <v>1</v>
      </c>
      <c r="C104" s="162">
        <v>1</v>
      </c>
      <c r="D104" s="71"/>
      <c r="F104" s="218" t="s">
        <v>1923</v>
      </c>
      <c r="G104" s="162">
        <v>1</v>
      </c>
      <c r="H104" s="162">
        <v>1</v>
      </c>
      <c r="O104" s="222"/>
      <c r="P104" s="71"/>
      <c r="Q104" s="71"/>
      <c r="R104" s="222"/>
    </row>
    <row r="105" spans="1:18" ht="15" customHeight="1">
      <c r="A105" s="218" t="s">
        <v>1924</v>
      </c>
      <c r="B105" s="162">
        <f t="shared" si="0"/>
        <v>3</v>
      </c>
      <c r="C105" s="162">
        <v>3</v>
      </c>
      <c r="D105" s="71"/>
      <c r="F105" s="218" t="s">
        <v>1925</v>
      </c>
      <c r="G105" s="162">
        <v>1</v>
      </c>
      <c r="H105" s="162">
        <v>2</v>
      </c>
      <c r="O105" s="222"/>
      <c r="P105" s="71"/>
      <c r="Q105" s="71"/>
      <c r="R105" s="222"/>
    </row>
    <row r="106" spans="1:18" ht="15" customHeight="1">
      <c r="A106" s="218" t="s">
        <v>1926</v>
      </c>
      <c r="B106" s="162">
        <f t="shared" si="0"/>
        <v>1</v>
      </c>
      <c r="C106" s="162">
        <v>2</v>
      </c>
      <c r="D106" s="71">
        <v>1</v>
      </c>
      <c r="F106" s="218" t="s">
        <v>1927</v>
      </c>
      <c r="G106" s="162">
        <v>1</v>
      </c>
      <c r="H106" s="162">
        <v>1</v>
      </c>
      <c r="O106" s="222"/>
      <c r="P106" s="71"/>
      <c r="Q106" s="71"/>
      <c r="R106" s="222"/>
    </row>
    <row r="107" spans="1:18" ht="15" customHeight="1">
      <c r="A107" s="218" t="s">
        <v>1928</v>
      </c>
      <c r="B107" s="162">
        <f t="shared" si="0"/>
        <v>0</v>
      </c>
      <c r="C107" s="162">
        <v>0</v>
      </c>
      <c r="D107" s="71"/>
      <c r="F107" s="218" t="s">
        <v>1929</v>
      </c>
      <c r="G107" s="162">
        <v>1</v>
      </c>
      <c r="H107" s="162">
        <v>1</v>
      </c>
      <c r="O107" s="222"/>
      <c r="P107" s="71"/>
      <c r="Q107" s="71"/>
      <c r="R107" s="222"/>
    </row>
    <row r="108" spans="1:18" ht="15" customHeight="1">
      <c r="A108" s="218" t="s">
        <v>1930</v>
      </c>
      <c r="B108" s="162">
        <f t="shared" si="0"/>
        <v>1</v>
      </c>
      <c r="C108" s="162">
        <v>1</v>
      </c>
      <c r="D108" s="71"/>
      <c r="F108" s="218" t="s">
        <v>1931</v>
      </c>
      <c r="G108" s="162">
        <v>2</v>
      </c>
      <c r="H108" s="162">
        <v>1</v>
      </c>
      <c r="O108" s="222"/>
      <c r="P108" s="71"/>
      <c r="Q108" s="71"/>
      <c r="R108" s="222"/>
    </row>
    <row r="109" spans="1:18" ht="15" customHeight="1">
      <c r="A109" s="218" t="s">
        <v>1932</v>
      </c>
      <c r="B109" s="162">
        <f t="shared" si="0"/>
        <v>1</v>
      </c>
      <c r="C109" s="162">
        <v>1</v>
      </c>
      <c r="D109" s="71"/>
      <c r="F109" s="218" t="s">
        <v>1933</v>
      </c>
      <c r="G109" s="162">
        <v>1</v>
      </c>
      <c r="H109" s="162">
        <v>1</v>
      </c>
      <c r="O109" s="222"/>
      <c r="P109" s="71"/>
      <c r="Q109" s="71"/>
      <c r="R109" s="222"/>
    </row>
    <row r="110" spans="1:18" ht="15" customHeight="1">
      <c r="A110" s="218" t="s">
        <v>1934</v>
      </c>
      <c r="B110" s="162">
        <f t="shared" si="0"/>
        <v>1</v>
      </c>
      <c r="C110" s="162">
        <v>1</v>
      </c>
      <c r="D110" s="71"/>
      <c r="F110" s="218" t="s">
        <v>1935</v>
      </c>
      <c r="G110" s="162">
        <v>1</v>
      </c>
      <c r="H110" s="162">
        <v>1</v>
      </c>
      <c r="O110" s="222"/>
      <c r="P110" s="71"/>
      <c r="Q110" s="71"/>
      <c r="R110" s="222"/>
    </row>
    <row r="111" spans="1:18" ht="15" customHeight="1">
      <c r="A111" s="218" t="s">
        <v>1936</v>
      </c>
      <c r="B111" s="162">
        <f t="shared" si="0"/>
        <v>1</v>
      </c>
      <c r="C111" s="162">
        <v>1</v>
      </c>
      <c r="D111" s="71"/>
      <c r="F111" s="218" t="s">
        <v>1937</v>
      </c>
      <c r="G111" s="162">
        <v>1</v>
      </c>
      <c r="H111" s="162">
        <v>1</v>
      </c>
      <c r="O111" s="222"/>
      <c r="P111" s="71"/>
      <c r="Q111" s="71"/>
      <c r="R111" s="222"/>
    </row>
    <row r="112" spans="1:18" ht="15" customHeight="1">
      <c r="A112" s="218" t="s">
        <v>1938</v>
      </c>
      <c r="B112" s="162">
        <f t="shared" si="0"/>
        <v>1</v>
      </c>
      <c r="C112" s="162">
        <v>1</v>
      </c>
      <c r="D112" s="71"/>
      <c r="F112" s="218" t="s">
        <v>1939</v>
      </c>
      <c r="G112" s="162">
        <v>2</v>
      </c>
      <c r="H112" s="162"/>
      <c r="O112" s="222"/>
      <c r="P112" s="71"/>
      <c r="Q112" s="71"/>
      <c r="R112" s="222"/>
    </row>
    <row r="113" spans="1:18" ht="15" customHeight="1">
      <c r="A113" s="218" t="s">
        <v>1940</v>
      </c>
      <c r="B113" s="162">
        <f t="shared" si="0"/>
        <v>2</v>
      </c>
      <c r="C113" s="162">
        <v>2</v>
      </c>
      <c r="D113" s="71"/>
      <c r="F113" s="218" t="s">
        <v>1941</v>
      </c>
      <c r="G113" s="162">
        <v>1</v>
      </c>
      <c r="H113" s="162">
        <v>1</v>
      </c>
      <c r="O113" s="222"/>
      <c r="P113" s="71"/>
      <c r="Q113" s="71"/>
      <c r="R113" s="222"/>
    </row>
    <row r="114" spans="1:18" ht="15" customHeight="1">
      <c r="A114" s="218" t="s">
        <v>1942</v>
      </c>
      <c r="B114" s="162">
        <f t="shared" si="0"/>
        <v>2</v>
      </c>
      <c r="C114" s="162">
        <v>2</v>
      </c>
      <c r="D114" s="71"/>
      <c r="F114" s="218" t="s">
        <v>1943</v>
      </c>
      <c r="G114" s="162">
        <v>2</v>
      </c>
      <c r="H114" s="162">
        <v>1</v>
      </c>
      <c r="O114" s="222"/>
      <c r="P114" s="71"/>
      <c r="Q114" s="71"/>
      <c r="R114" s="222"/>
    </row>
    <row r="115" spans="1:18" ht="15" customHeight="1">
      <c r="A115" s="218" t="s">
        <v>1944</v>
      </c>
      <c r="B115" s="162">
        <f t="shared" si="0"/>
        <v>2</v>
      </c>
      <c r="C115" s="162">
        <v>2</v>
      </c>
      <c r="D115" s="71"/>
      <c r="F115" s="218" t="s">
        <v>1945</v>
      </c>
      <c r="G115" s="162">
        <v>1</v>
      </c>
      <c r="H115" s="162">
        <v>1</v>
      </c>
      <c r="O115" s="222"/>
      <c r="P115" s="71"/>
      <c r="Q115" s="71"/>
      <c r="R115" s="222"/>
    </row>
    <row r="116" spans="1:18" ht="15" customHeight="1">
      <c r="A116" s="218" t="s">
        <v>1946</v>
      </c>
      <c r="B116" s="162">
        <f t="shared" si="0"/>
        <v>1</v>
      </c>
      <c r="C116" s="162">
        <v>1</v>
      </c>
      <c r="D116" s="71"/>
      <c r="F116" s="218" t="s">
        <v>1947</v>
      </c>
      <c r="G116" s="162">
        <v>1</v>
      </c>
      <c r="H116" s="162">
        <v>2</v>
      </c>
      <c r="O116" s="222"/>
      <c r="P116" s="71"/>
      <c r="Q116" s="71"/>
      <c r="R116" s="222"/>
    </row>
    <row r="117" spans="1:18" ht="15" customHeight="1">
      <c r="A117" s="218" t="s">
        <v>1948</v>
      </c>
      <c r="B117" s="162">
        <f t="shared" si="0"/>
        <v>3</v>
      </c>
      <c r="C117" s="162">
        <v>3</v>
      </c>
      <c r="D117" s="71"/>
      <c r="F117" s="218" t="s">
        <v>1949</v>
      </c>
      <c r="G117" s="162">
        <v>2</v>
      </c>
      <c r="H117" s="162">
        <v>1</v>
      </c>
      <c r="O117" s="222"/>
      <c r="P117" s="71"/>
      <c r="Q117" s="71"/>
      <c r="R117" s="222"/>
    </row>
    <row r="118" spans="1:18" ht="15" customHeight="1">
      <c r="A118" s="218" t="s">
        <v>1950</v>
      </c>
      <c r="B118" s="162">
        <f t="shared" si="0"/>
        <v>3</v>
      </c>
      <c r="C118" s="162">
        <v>3</v>
      </c>
      <c r="D118" s="71"/>
      <c r="F118" s="218" t="s">
        <v>1951</v>
      </c>
      <c r="G118" s="162">
        <v>1</v>
      </c>
      <c r="H118" s="162">
        <v>2</v>
      </c>
      <c r="O118" s="222"/>
      <c r="P118" s="71"/>
      <c r="Q118" s="71"/>
      <c r="R118" s="222"/>
    </row>
    <row r="119" spans="1:18" ht="15" customHeight="1">
      <c r="A119" s="218" t="s">
        <v>1952</v>
      </c>
      <c r="B119" s="162">
        <f t="shared" si="0"/>
        <v>5</v>
      </c>
      <c r="C119" s="162">
        <v>5</v>
      </c>
      <c r="D119" s="71"/>
      <c r="F119" s="218"/>
      <c r="G119" s="162"/>
      <c r="H119" s="162">
        <v>2</v>
      </c>
      <c r="O119" s="222"/>
      <c r="P119" s="71"/>
      <c r="Q119" s="71"/>
      <c r="R119" s="222"/>
    </row>
    <row r="120" spans="1:18" ht="15" customHeight="1">
      <c r="A120" s="218" t="s">
        <v>1953</v>
      </c>
      <c r="B120" s="162">
        <f t="shared" si="0"/>
        <v>1</v>
      </c>
      <c r="C120" s="162">
        <v>1</v>
      </c>
      <c r="D120" s="71"/>
      <c r="F120" s="233"/>
      <c r="G120" s="162"/>
      <c r="H120" s="162">
        <v>1</v>
      </c>
      <c r="O120" s="222"/>
      <c r="P120" s="71"/>
      <c r="Q120" s="71"/>
      <c r="R120" s="222"/>
    </row>
    <row r="121" spans="1:18" ht="15" customHeight="1">
      <c r="A121" s="218" t="s">
        <v>1954</v>
      </c>
      <c r="B121" s="162">
        <f t="shared" si="0"/>
        <v>1</v>
      </c>
      <c r="C121" s="162">
        <v>1</v>
      </c>
      <c r="D121" s="71"/>
      <c r="F121" s="218"/>
      <c r="G121" s="162"/>
      <c r="H121" s="162">
        <v>1</v>
      </c>
      <c r="O121" s="222"/>
      <c r="P121" s="71"/>
      <c r="Q121" s="71"/>
      <c r="R121" s="222"/>
    </row>
    <row r="122" spans="1:18" ht="15" customHeight="1">
      <c r="A122" s="218" t="s">
        <v>1955</v>
      </c>
      <c r="B122" s="162">
        <f t="shared" si="0"/>
        <v>1</v>
      </c>
      <c r="C122" s="162">
        <v>1</v>
      </c>
      <c r="D122" s="71"/>
      <c r="H122" s="162">
        <v>1</v>
      </c>
      <c r="O122" s="222"/>
      <c r="P122" s="71"/>
      <c r="Q122" s="71"/>
      <c r="R122" s="222"/>
    </row>
    <row r="123" spans="1:18" ht="15" customHeight="1">
      <c r="A123" s="218" t="s">
        <v>1956</v>
      </c>
      <c r="B123" s="162">
        <f t="shared" si="0"/>
        <v>2</v>
      </c>
      <c r="C123" s="162">
        <v>2</v>
      </c>
      <c r="D123" s="71"/>
      <c r="H123" s="162">
        <v>1</v>
      </c>
      <c r="O123" s="222"/>
      <c r="P123" s="71"/>
      <c r="Q123" s="71"/>
      <c r="R123" s="222"/>
    </row>
    <row r="124" spans="1:18" ht="15" customHeight="1">
      <c r="A124" s="218" t="s">
        <v>1957</v>
      </c>
      <c r="B124" s="162">
        <f t="shared" si="0"/>
        <v>3</v>
      </c>
      <c r="C124" s="162">
        <v>3</v>
      </c>
      <c r="D124" s="71"/>
      <c r="H124" s="162">
        <v>1</v>
      </c>
      <c r="O124" s="222"/>
      <c r="P124" s="71"/>
      <c r="Q124" s="71"/>
      <c r="R124" s="222"/>
    </row>
    <row r="125" spans="1:18" ht="15" customHeight="1">
      <c r="A125" s="218" t="s">
        <v>1958</v>
      </c>
      <c r="B125" s="162">
        <f t="shared" si="0"/>
        <v>2</v>
      </c>
      <c r="C125" s="162">
        <v>2</v>
      </c>
      <c r="D125" s="71"/>
      <c r="H125" s="162">
        <v>1</v>
      </c>
      <c r="O125" s="222"/>
      <c r="P125" s="71"/>
      <c r="Q125" s="71"/>
      <c r="R125" s="222"/>
    </row>
    <row r="126" spans="1:18" ht="15" customHeight="1">
      <c r="A126" s="218" t="s">
        <v>1959</v>
      </c>
      <c r="B126" s="162">
        <f t="shared" si="0"/>
        <v>1</v>
      </c>
      <c r="C126" s="162">
        <v>1</v>
      </c>
      <c r="D126" s="71"/>
      <c r="F126" s="218"/>
      <c r="G126" s="162"/>
      <c r="H126" s="162">
        <v>1</v>
      </c>
      <c r="O126" s="222"/>
      <c r="P126" s="71"/>
      <c r="Q126" s="71"/>
      <c r="R126" s="222"/>
    </row>
    <row r="127" spans="1:18" ht="15" customHeight="1">
      <c r="A127" s="218"/>
      <c r="B127" s="162"/>
      <c r="C127" s="162"/>
      <c r="D127" s="71"/>
      <c r="F127" s="218"/>
      <c r="G127" s="162"/>
      <c r="H127" s="162">
        <v>1</v>
      </c>
      <c r="O127" s="222"/>
      <c r="P127" s="71"/>
      <c r="Q127" s="71"/>
      <c r="R127" s="222"/>
    </row>
    <row r="128" spans="1:18" ht="15" customHeight="1">
      <c r="A128" s="218" t="s">
        <v>1960</v>
      </c>
      <c r="B128" s="162" t="s">
        <v>1961</v>
      </c>
      <c r="C128" s="219">
        <v>1</v>
      </c>
      <c r="D128" s="71"/>
      <c r="F128" s="218"/>
      <c r="G128" s="162"/>
      <c r="H128" s="162">
        <v>2</v>
      </c>
      <c r="O128" s="222"/>
      <c r="P128" s="71"/>
      <c r="Q128" s="71"/>
      <c r="R128" s="222"/>
    </row>
    <row r="129" spans="1:18" ht="15" customHeight="1">
      <c r="A129" s="218" t="s">
        <v>1962</v>
      </c>
      <c r="B129" s="162" t="s">
        <v>1961</v>
      </c>
      <c r="C129" s="219"/>
      <c r="D129" s="71"/>
      <c r="F129" s="218"/>
      <c r="G129" s="162"/>
      <c r="H129" s="162">
        <v>1</v>
      </c>
      <c r="O129" s="222"/>
      <c r="P129" s="71"/>
      <c r="Q129" s="71"/>
      <c r="R129" s="222"/>
    </row>
    <row r="130" spans="1:18" ht="15" customHeight="1">
      <c r="A130" s="218" t="s">
        <v>1963</v>
      </c>
      <c r="B130" s="162" t="s">
        <v>1961</v>
      </c>
      <c r="C130" s="219"/>
      <c r="D130" s="71"/>
      <c r="F130" s="218"/>
      <c r="G130" s="162"/>
      <c r="H130" s="162">
        <v>1</v>
      </c>
      <c r="O130" s="222"/>
      <c r="P130" s="71"/>
      <c r="Q130" s="71"/>
      <c r="R130" s="222"/>
    </row>
    <row r="131" spans="1:18" ht="15" customHeight="1">
      <c r="A131" s="234" t="s">
        <v>1964</v>
      </c>
      <c r="B131" s="162" t="s">
        <v>1961</v>
      </c>
      <c r="C131" s="219"/>
      <c r="D131" s="71"/>
      <c r="F131" s="218"/>
      <c r="G131" s="162"/>
      <c r="H131" s="162"/>
      <c r="O131" s="222"/>
      <c r="P131" s="71"/>
      <c r="Q131" s="71"/>
      <c r="R131" s="222"/>
    </row>
    <row r="132" spans="1:18" ht="15" customHeight="1">
      <c r="A132" s="218" t="s">
        <v>1965</v>
      </c>
      <c r="B132" s="162" t="s">
        <v>1961</v>
      </c>
      <c r="C132" s="219"/>
      <c r="D132" s="71"/>
      <c r="F132" s="218"/>
      <c r="G132" s="162"/>
      <c r="H132" s="162"/>
    </row>
    <row r="133" spans="1:18" ht="15" customHeight="1">
      <c r="A133" s="218" t="s">
        <v>1966</v>
      </c>
      <c r="B133" s="162" t="s">
        <v>1961</v>
      </c>
      <c r="C133" s="219"/>
      <c r="D133" s="71"/>
      <c r="F133" s="218"/>
      <c r="G133" s="162"/>
      <c r="H133" s="162">
        <v>1</v>
      </c>
    </row>
    <row r="134" spans="1:18" ht="15" customHeight="1">
      <c r="A134" s="218" t="s">
        <v>1671</v>
      </c>
      <c r="B134" s="162" t="s">
        <v>1961</v>
      </c>
      <c r="C134" s="219"/>
      <c r="D134" s="71"/>
      <c r="F134" s="218"/>
      <c r="G134" s="162"/>
      <c r="H134" s="162">
        <v>1</v>
      </c>
    </row>
    <row r="135" spans="1:18" ht="15" customHeight="1">
      <c r="A135" s="218" t="s">
        <v>1967</v>
      </c>
      <c r="B135" s="162" t="s">
        <v>1961</v>
      </c>
      <c r="C135" s="219"/>
      <c r="D135" s="71"/>
      <c r="F135" s="218"/>
      <c r="G135" s="162"/>
      <c r="H135" s="162">
        <v>1</v>
      </c>
    </row>
    <row r="136" spans="1:18" ht="15" customHeight="1">
      <c r="A136" s="218" t="s">
        <v>1968</v>
      </c>
      <c r="B136" s="162" t="s">
        <v>1961</v>
      </c>
      <c r="C136" s="219"/>
      <c r="D136" s="71"/>
      <c r="F136" s="218"/>
      <c r="G136" s="162"/>
      <c r="H136" s="162">
        <v>1</v>
      </c>
    </row>
    <row r="137" spans="1:18" ht="15" customHeight="1">
      <c r="A137" s="218" t="s">
        <v>1969</v>
      </c>
      <c r="B137" s="162" t="s">
        <v>1961</v>
      </c>
      <c r="C137" s="219"/>
      <c r="D137" s="71"/>
      <c r="F137" s="218"/>
      <c r="G137" s="162"/>
      <c r="H137" s="162">
        <v>1</v>
      </c>
    </row>
    <row r="138" spans="1:18" ht="15" customHeight="1">
      <c r="A138" s="218" t="s">
        <v>1970</v>
      </c>
      <c r="B138" s="162" t="s">
        <v>1961</v>
      </c>
      <c r="C138" s="219"/>
      <c r="D138" s="71"/>
      <c r="F138" s="218"/>
      <c r="G138" s="162"/>
      <c r="H138" s="162">
        <v>1</v>
      </c>
    </row>
    <row r="139" spans="1:18" ht="15" customHeight="1">
      <c r="A139" s="218" t="s">
        <v>1971</v>
      </c>
      <c r="B139" s="162" t="s">
        <v>1961</v>
      </c>
      <c r="C139" s="219"/>
      <c r="D139" s="71"/>
      <c r="F139" s="218"/>
      <c r="G139" s="162"/>
      <c r="H139" s="162">
        <v>1</v>
      </c>
    </row>
    <row r="140" spans="1:18" ht="15" customHeight="1">
      <c r="A140" s="218" t="s">
        <v>1972</v>
      </c>
      <c r="B140" s="162" t="s">
        <v>1961</v>
      </c>
      <c r="C140" s="219"/>
      <c r="D140" s="71"/>
      <c r="F140" s="218"/>
      <c r="G140" s="162"/>
      <c r="H140" s="162">
        <v>1</v>
      </c>
    </row>
    <row r="141" spans="1:18" ht="15" customHeight="1">
      <c r="A141" s="218" t="s">
        <v>1973</v>
      </c>
      <c r="B141" s="162" t="s">
        <v>1961</v>
      </c>
      <c r="C141" s="219"/>
      <c r="D141" s="71"/>
      <c r="F141" s="218"/>
      <c r="G141" s="162"/>
      <c r="H141" s="162"/>
    </row>
    <row r="142" spans="1:18" ht="15" customHeight="1">
      <c r="A142" s="218" t="s">
        <v>1974</v>
      </c>
      <c r="B142" s="162" t="s">
        <v>1961</v>
      </c>
      <c r="C142" s="219"/>
      <c r="D142" s="71"/>
      <c r="F142" s="218"/>
      <c r="G142" s="162"/>
      <c r="H142" s="162">
        <v>1</v>
      </c>
    </row>
    <row r="143" spans="1:18" ht="15" customHeight="1">
      <c r="A143" s="218" t="s">
        <v>1975</v>
      </c>
      <c r="B143" s="162" t="s">
        <v>1961</v>
      </c>
      <c r="C143" s="219"/>
      <c r="D143" s="71"/>
      <c r="F143" s="218"/>
      <c r="G143" s="162"/>
      <c r="H143" s="162">
        <v>1</v>
      </c>
    </row>
    <row r="144" spans="1:18" ht="15" customHeight="1">
      <c r="A144" s="218" t="s">
        <v>1976</v>
      </c>
      <c r="B144" s="162" t="s">
        <v>1961</v>
      </c>
      <c r="C144" s="219"/>
      <c r="D144" s="71"/>
      <c r="F144" s="218"/>
      <c r="G144" s="162"/>
      <c r="H144" s="162">
        <v>1</v>
      </c>
    </row>
    <row r="145" spans="1:8" ht="15" customHeight="1">
      <c r="A145" s="218" t="s">
        <v>1977</v>
      </c>
      <c r="B145" s="162" t="s">
        <v>1961</v>
      </c>
      <c r="C145" s="219"/>
      <c r="D145" s="71"/>
      <c r="F145" s="218"/>
      <c r="G145" s="162"/>
      <c r="H145" s="162">
        <v>1</v>
      </c>
    </row>
    <row r="146" spans="1:8" ht="15" customHeight="1">
      <c r="A146" s="218" t="s">
        <v>1978</v>
      </c>
      <c r="B146" s="162" t="s">
        <v>1961</v>
      </c>
      <c r="C146" s="219"/>
      <c r="D146" s="71"/>
      <c r="F146" s="218"/>
      <c r="G146" s="162"/>
      <c r="H146" s="162">
        <v>1</v>
      </c>
    </row>
    <row r="147" spans="1:8" ht="15" customHeight="1">
      <c r="A147" s="218" t="s">
        <v>1979</v>
      </c>
      <c r="B147" s="162" t="s">
        <v>1961</v>
      </c>
      <c r="C147" s="219"/>
      <c r="D147" s="71"/>
      <c r="F147" s="218"/>
      <c r="G147" s="162"/>
      <c r="H147" s="162">
        <v>1</v>
      </c>
    </row>
    <row r="148" spans="1:8" ht="15" customHeight="1">
      <c r="A148" s="218" t="s">
        <v>1980</v>
      </c>
      <c r="B148" s="162" t="s">
        <v>1961</v>
      </c>
      <c r="C148" s="219"/>
      <c r="D148" s="71"/>
      <c r="F148" s="218"/>
      <c r="G148" s="162"/>
      <c r="H148" s="162"/>
    </row>
    <row r="149" spans="1:8" ht="15" customHeight="1">
      <c r="A149" s="218" t="s">
        <v>1981</v>
      </c>
      <c r="B149" s="162" t="s">
        <v>1961</v>
      </c>
      <c r="C149" s="219"/>
      <c r="D149" s="71"/>
    </row>
    <row r="150" spans="1:8" ht="15" customHeight="1">
      <c r="A150" s="218" t="s">
        <v>1982</v>
      </c>
      <c r="B150" s="162" t="s">
        <v>1961</v>
      </c>
      <c r="C150" s="219"/>
      <c r="D150" s="71"/>
    </row>
    <row r="151" spans="1:8" ht="15" customHeight="1">
      <c r="A151" s="218" t="s">
        <v>1983</v>
      </c>
      <c r="B151" s="162" t="s">
        <v>1961</v>
      </c>
      <c r="C151" s="219"/>
      <c r="D151" s="71"/>
    </row>
    <row r="152" spans="1:8" ht="15" customHeight="1">
      <c r="A152" s="218" t="s">
        <v>1984</v>
      </c>
      <c r="B152" s="162" t="s">
        <v>1961</v>
      </c>
      <c r="C152" s="219"/>
      <c r="D152" s="71"/>
    </row>
    <row r="153" spans="1:8" ht="15" customHeight="1">
      <c r="A153" s="218" t="s">
        <v>1985</v>
      </c>
      <c r="B153" s="162" t="s">
        <v>1961</v>
      </c>
      <c r="C153" s="219"/>
      <c r="D153" s="71"/>
    </row>
    <row r="154" spans="1:8" ht="15" customHeight="1">
      <c r="A154" s="218" t="s">
        <v>1986</v>
      </c>
      <c r="B154" s="162" t="s">
        <v>1961</v>
      </c>
      <c r="C154" s="219"/>
      <c r="D154" s="71"/>
    </row>
    <row r="155" spans="1:8" ht="15" customHeight="1">
      <c r="A155" s="218" t="s">
        <v>1987</v>
      </c>
      <c r="B155" s="162" t="s">
        <v>1961</v>
      </c>
      <c r="C155" s="219"/>
      <c r="D155" s="71"/>
    </row>
    <row r="156" spans="1:8" ht="15" customHeight="1">
      <c r="A156" s="218" t="s">
        <v>1988</v>
      </c>
      <c r="B156" s="162" t="s">
        <v>1961</v>
      </c>
      <c r="C156" s="219"/>
      <c r="D156" s="71"/>
    </row>
    <row r="157" spans="1:8" ht="15" customHeight="1">
      <c r="A157" s="218" t="s">
        <v>1989</v>
      </c>
      <c r="B157" s="162" t="s">
        <v>1961</v>
      </c>
      <c r="C157" s="219"/>
      <c r="D157" s="71"/>
    </row>
    <row r="158" spans="1:8" ht="15" customHeight="1">
      <c r="A158" s="218" t="s">
        <v>1990</v>
      </c>
      <c r="B158" s="162" t="s">
        <v>1961</v>
      </c>
      <c r="C158" s="219"/>
      <c r="D158" s="71"/>
    </row>
    <row r="159" spans="1:8" ht="15" customHeight="1">
      <c r="A159" s="218" t="s">
        <v>1991</v>
      </c>
      <c r="B159" s="162" t="s">
        <v>1961</v>
      </c>
      <c r="C159" s="219"/>
      <c r="D159" s="71"/>
    </row>
    <row r="160" spans="1:8" ht="15" customHeight="1">
      <c r="A160" s="218" t="s">
        <v>1992</v>
      </c>
      <c r="B160" s="162" t="s">
        <v>1961</v>
      </c>
      <c r="C160" s="219"/>
      <c r="D160" s="71"/>
    </row>
    <row r="161" spans="1:4" ht="15" customHeight="1">
      <c r="A161" s="218" t="s">
        <v>1993</v>
      </c>
      <c r="B161" s="162" t="s">
        <v>1961</v>
      </c>
      <c r="C161" s="219"/>
      <c r="D161" s="71"/>
    </row>
    <row r="162" spans="1:4" ht="15" customHeight="1">
      <c r="A162" s="218" t="s">
        <v>1994</v>
      </c>
      <c r="B162" s="162" t="s">
        <v>1961</v>
      </c>
      <c r="C162" s="219"/>
      <c r="D162" s="71"/>
    </row>
    <row r="163" spans="1:4" ht="15" customHeight="1">
      <c r="A163" s="218" t="s">
        <v>1995</v>
      </c>
      <c r="B163" s="162" t="s">
        <v>1961</v>
      </c>
      <c r="C163" s="219"/>
      <c r="D163" s="71"/>
    </row>
    <row r="164" spans="1:4" ht="15" customHeight="1">
      <c r="A164" s="218" t="s">
        <v>1996</v>
      </c>
      <c r="B164" s="162" t="s">
        <v>1961</v>
      </c>
      <c r="C164" s="219"/>
      <c r="D164" s="71"/>
    </row>
    <row r="165" spans="1:4" ht="15" customHeight="1">
      <c r="A165" s="218" t="s">
        <v>1997</v>
      </c>
      <c r="B165" s="162" t="s">
        <v>1961</v>
      </c>
      <c r="C165" s="219"/>
      <c r="D165" s="71"/>
    </row>
    <row r="166" spans="1:4" ht="15" customHeight="1">
      <c r="A166" s="218" t="s">
        <v>1998</v>
      </c>
      <c r="B166" s="162" t="s">
        <v>1961</v>
      </c>
      <c r="C166" s="219"/>
      <c r="D166" s="71"/>
    </row>
    <row r="167" spans="1:4" ht="15" customHeight="1">
      <c r="A167" s="218" t="s">
        <v>1999</v>
      </c>
      <c r="B167" s="162" t="s">
        <v>1961</v>
      </c>
      <c r="C167" s="219"/>
      <c r="D167" s="71"/>
    </row>
    <row r="168" spans="1:4" ht="15" customHeight="1">
      <c r="A168" s="218" t="s">
        <v>2000</v>
      </c>
      <c r="B168" s="162" t="s">
        <v>1961</v>
      </c>
      <c r="C168" s="219"/>
      <c r="D168" s="71"/>
    </row>
    <row r="169" spans="1:4" ht="15" customHeight="1">
      <c r="A169" s="218" t="s">
        <v>2001</v>
      </c>
      <c r="B169" s="162" t="s">
        <v>1961</v>
      </c>
      <c r="C169" s="219"/>
      <c r="D169" s="71"/>
    </row>
    <row r="170" spans="1:4" ht="15" customHeight="1">
      <c r="A170" s="218" t="s">
        <v>2002</v>
      </c>
      <c r="B170" s="162" t="s">
        <v>1961</v>
      </c>
      <c r="C170" s="219"/>
      <c r="D170" s="71"/>
    </row>
    <row r="171" spans="1:4" ht="15" customHeight="1">
      <c r="A171" s="218" t="s">
        <v>2003</v>
      </c>
      <c r="B171" s="162" t="s">
        <v>1961</v>
      </c>
      <c r="C171" s="219"/>
      <c r="D171" s="71"/>
    </row>
    <row r="172" spans="1:4" ht="15" customHeight="1">
      <c r="A172" s="218" t="s">
        <v>2004</v>
      </c>
      <c r="B172" s="162" t="s">
        <v>1961</v>
      </c>
      <c r="C172" s="219"/>
      <c r="D172" s="71"/>
    </row>
    <row r="176" spans="1:4" ht="15" customHeight="1">
      <c r="B176" s="153"/>
    </row>
    <row r="177" spans="2:2" ht="15" customHeight="1">
      <c r="B177" s="153"/>
    </row>
    <row r="178" spans="2:2" ht="15" customHeight="1">
      <c r="B178" s="153"/>
    </row>
    <row r="179" spans="2:2" ht="15" customHeight="1">
      <c r="B179" s="153"/>
    </row>
    <row r="180" spans="2:2" ht="15" customHeight="1">
      <c r="B180" s="153"/>
    </row>
    <row r="181" spans="2:2" ht="15" customHeight="1">
      <c r="B181" s="153"/>
    </row>
    <row r="182" spans="2:2" ht="15" customHeight="1">
      <c r="B182" s="153"/>
    </row>
    <row r="183" spans="2:2" ht="15" customHeight="1">
      <c r="B183" s="153"/>
    </row>
    <row r="184" spans="2:2" ht="15" customHeight="1">
      <c r="B184" s="153"/>
    </row>
    <row r="185" spans="2:2" ht="15" customHeight="1">
      <c r="B185" s="153"/>
    </row>
    <row r="186" spans="2:2" ht="15" customHeight="1">
      <c r="B186" s="153"/>
    </row>
    <row r="187" spans="2:2" ht="15" customHeight="1">
      <c r="B187" s="153"/>
    </row>
    <row r="188" spans="2:2" ht="15" customHeight="1">
      <c r="B188" s="153"/>
    </row>
    <row r="189" spans="2:2" ht="15" customHeight="1">
      <c r="B189" s="153"/>
    </row>
    <row r="190" spans="2:2" ht="15" customHeight="1">
      <c r="B190" s="153"/>
    </row>
    <row r="191" spans="2:2" ht="15" customHeight="1">
      <c r="B191" s="153"/>
    </row>
    <row r="192" spans="2:2" ht="15" customHeight="1">
      <c r="B192" s="153"/>
    </row>
    <row r="193" spans="2:2" ht="15" customHeight="1">
      <c r="B193" s="153"/>
    </row>
    <row r="194" spans="2:2" ht="15" customHeight="1">
      <c r="B194" s="153"/>
    </row>
    <row r="195" spans="2:2" ht="15" customHeight="1">
      <c r="B195" s="153"/>
    </row>
    <row r="196" spans="2:2" ht="15" customHeight="1">
      <c r="B196" s="153"/>
    </row>
    <row r="197" spans="2:2" ht="15" customHeight="1">
      <c r="B197" s="153"/>
    </row>
    <row r="198" spans="2:2" ht="15" customHeight="1">
      <c r="B198" s="153"/>
    </row>
    <row r="199" spans="2:2" ht="15" customHeight="1">
      <c r="B199" s="153"/>
    </row>
    <row r="200" spans="2:2" ht="15" customHeight="1">
      <c r="B200" s="153"/>
    </row>
    <row r="201" spans="2:2" ht="15" customHeight="1">
      <c r="B201" s="153"/>
    </row>
    <row r="202" spans="2:2" ht="15" customHeight="1">
      <c r="B202" s="153"/>
    </row>
    <row r="203" spans="2:2" ht="15" customHeight="1">
      <c r="B203" s="153"/>
    </row>
    <row r="204" spans="2:2" ht="15" customHeight="1">
      <c r="B204" s="153"/>
    </row>
    <row r="205" spans="2:2" ht="15" customHeight="1">
      <c r="B205" s="153"/>
    </row>
    <row r="206" spans="2:2" ht="15" customHeight="1">
      <c r="B206" s="153"/>
    </row>
    <row r="207" spans="2:2" ht="15" customHeight="1">
      <c r="B207" s="153"/>
    </row>
    <row r="208" spans="2:2" ht="15" customHeight="1">
      <c r="B208" s="153"/>
    </row>
    <row r="209" spans="2:2" ht="15" customHeight="1">
      <c r="B209" s="153"/>
    </row>
    <row r="210" spans="2:2" ht="15" customHeight="1">
      <c r="B210" s="153"/>
    </row>
    <row r="211" spans="2:2" ht="15" customHeight="1">
      <c r="B211" s="153"/>
    </row>
    <row r="212" spans="2:2" ht="15" customHeight="1">
      <c r="B212" s="153"/>
    </row>
    <row r="213" spans="2:2" ht="15" customHeight="1">
      <c r="B213" s="153"/>
    </row>
    <row r="214" spans="2:2" ht="15" customHeight="1">
      <c r="B214" s="153"/>
    </row>
    <row r="215" spans="2:2" ht="15" customHeight="1">
      <c r="B215" s="153"/>
    </row>
    <row r="216" spans="2:2" ht="15" customHeight="1">
      <c r="B216" s="153"/>
    </row>
    <row r="217" spans="2:2" ht="15" customHeight="1">
      <c r="B217" s="153"/>
    </row>
    <row r="218" spans="2:2" ht="15" customHeight="1">
      <c r="B218" s="153"/>
    </row>
    <row r="219" spans="2:2" ht="15" customHeight="1">
      <c r="B219" s="153"/>
    </row>
  </sheetData>
  <sortState xmlns:xlrd2="http://schemas.microsoft.com/office/spreadsheetml/2017/richdata2" ref="F1:F149">
    <sortCondition ref="F1:F149"/>
  </sortState>
  <mergeCells count="1">
    <mergeCell ref="J1:M1"/>
  </mergeCells>
  <conditionalFormatting sqref="A1:A172">
    <cfRule type="duplicateValues" dxfId="7" priority="143"/>
  </conditionalFormatting>
  <conditionalFormatting sqref="A173:A175 A220:A1048576">
    <cfRule type="duplicateValues" dxfId="6" priority="3"/>
  </conditionalFormatting>
  <conditionalFormatting sqref="A176:B219">
    <cfRule type="duplicateValues" dxfId="5" priority="1"/>
  </conditionalFormatting>
  <pageMargins left="0.25" right="0.25" top="0.75" bottom="0.75" header="0.3" footer="0.3"/>
  <pageSetup paperSize="9" scale="30" fitToHeight="0" orientation="landscape" useFirstPageNumber="1"/>
  <headerFooter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BB12-10E8-14CE-C2F8-B02C35301DE3}">
  <dimension ref="A1:Y88"/>
  <sheetViews>
    <sheetView workbookViewId="0">
      <selection activeCell="G6" sqref="G6"/>
    </sheetView>
  </sheetViews>
  <sheetFormatPr defaultColWidth="9.140625" defaultRowHeight="41.25" customHeight="1"/>
  <cols>
    <col min="1" max="1" width="8.140625" customWidth="1"/>
    <col min="2" max="2" width="5" customWidth="1"/>
    <col min="3" max="3" width="14.140625" customWidth="1"/>
    <col min="4" max="4" width="17.140625" customWidth="1"/>
    <col min="5" max="5" width="13.28515625" customWidth="1"/>
    <col min="6" max="6" width="8.5703125" customWidth="1"/>
    <col min="24" max="24" width="29.42578125" customWidth="1"/>
    <col min="25" max="25" width="11.7109375" style="184" customWidth="1"/>
  </cols>
  <sheetData>
    <row r="1" spans="1:25" ht="41.25" customHeight="1">
      <c r="A1" s="323" t="s">
        <v>2005</v>
      </c>
      <c r="B1" s="323"/>
      <c r="C1" s="323"/>
      <c r="D1" s="323"/>
      <c r="E1" s="323"/>
      <c r="F1" s="323"/>
      <c r="X1" s="235" t="s">
        <v>2</v>
      </c>
      <c r="Y1" s="235" t="s">
        <v>2006</v>
      </c>
    </row>
    <row r="2" spans="1:25" s="184" customFormat="1" ht="41.25" customHeight="1">
      <c r="A2" s="214" t="s">
        <v>2007</v>
      </c>
      <c r="B2" s="214" t="s">
        <v>3</v>
      </c>
      <c r="C2" s="214" t="s">
        <v>7</v>
      </c>
      <c r="D2" s="214" t="s">
        <v>2008</v>
      </c>
      <c r="E2" s="214" t="s">
        <v>12</v>
      </c>
      <c r="F2" s="214"/>
      <c r="X2" s="236" t="s">
        <v>323</v>
      </c>
      <c r="Y2" s="237">
        <f>COUNTIF('Vendas 2026'!C:C,X2)</f>
        <v>19</v>
      </c>
    </row>
    <row r="3" spans="1:25" ht="41.25" customHeight="1">
      <c r="A3" s="154">
        <v>2024</v>
      </c>
      <c r="B3" s="238">
        <f>SUM('Vendas 2024'!D2:D846)</f>
        <v>1576</v>
      </c>
      <c r="C3" s="239">
        <f>SUM('Vendas 2024'!H2:H846)</f>
        <v>10772.958642857124</v>
      </c>
      <c r="D3" s="239">
        <f>SUM('Vendas 2024'!J:J)</f>
        <v>27772.775999999994</v>
      </c>
      <c r="E3" s="239">
        <f t="shared" ref="E3:E5" si="0">D3-C3</f>
        <v>16999.817357142871</v>
      </c>
      <c r="F3" s="154"/>
      <c r="X3" s="236" t="s">
        <v>2009</v>
      </c>
      <c r="Y3" s="237">
        <f>COUNTIF('Vendas 2026'!C:C,X3)</f>
        <v>102</v>
      </c>
    </row>
    <row r="4" spans="1:25" ht="41.25" customHeight="1">
      <c r="A4" s="154">
        <v>2025</v>
      </c>
      <c r="B4" s="238">
        <f>SUM(Table_24[QT])</f>
        <v>1826</v>
      </c>
      <c r="C4" s="239">
        <f>SUM('Vendas 2025'!H:H)</f>
        <v>11786.313333333328</v>
      </c>
      <c r="D4" s="239">
        <f>SUM('Vendas 2025'!J:J)</f>
        <v>35020.979999999989</v>
      </c>
      <c r="E4" s="239">
        <f t="shared" si="0"/>
        <v>23234.666666666661</v>
      </c>
      <c r="F4" s="239"/>
      <c r="X4" s="236" t="s">
        <v>321</v>
      </c>
      <c r="Y4" s="237">
        <f>COUNTIF('Vendas 2026'!C:C,X4)</f>
        <v>13</v>
      </c>
    </row>
    <row r="5" spans="1:25" ht="41.25" customHeight="1">
      <c r="A5" s="154">
        <v>2026</v>
      </c>
      <c r="B5" s="238">
        <f>SUM('Vendas 2026'!D2:D1048576)</f>
        <v>679</v>
      </c>
      <c r="C5" s="239">
        <f>SUM('Vendas 2026'!H:H)</f>
        <v>13468.66166666666</v>
      </c>
      <c r="D5" s="239">
        <f>SUM('Vendas 2026'!J:J)</f>
        <v>23013.059999999983</v>
      </c>
      <c r="E5" s="239">
        <f t="shared" si="0"/>
        <v>9544.3983333333235</v>
      </c>
      <c r="F5" s="239"/>
      <c r="X5" s="236" t="s">
        <v>1092</v>
      </c>
      <c r="Y5" s="237">
        <f>COUNTIF('Vendas 2026'!C:C,X5)</f>
        <v>21</v>
      </c>
    </row>
    <row r="6" spans="1:25" ht="41.25" customHeight="1">
      <c r="A6" s="184"/>
      <c r="B6" s="184"/>
      <c r="X6" s="236" t="s">
        <v>827</v>
      </c>
      <c r="Y6" s="237">
        <f>COUNTIF('Vendas 2026'!C:C,X6)</f>
        <v>4</v>
      </c>
    </row>
    <row r="7" spans="1:25" ht="41.25" customHeight="1">
      <c r="A7" s="240" t="s">
        <v>2007</v>
      </c>
      <c r="B7" s="240"/>
      <c r="C7" s="240" t="s">
        <v>22</v>
      </c>
      <c r="D7" s="240" t="s">
        <v>555</v>
      </c>
      <c r="E7" s="240" t="s">
        <v>1016</v>
      </c>
      <c r="F7" s="240" t="s">
        <v>1108</v>
      </c>
      <c r="X7" s="236" t="s">
        <v>999</v>
      </c>
      <c r="Y7" s="237">
        <f>COUNTIF('Vendas 2026'!C:C,X7)</f>
        <v>3</v>
      </c>
    </row>
    <row r="8" spans="1:25" ht="41.25" customHeight="1">
      <c r="A8" s="174">
        <v>2025</v>
      </c>
      <c r="B8" s="174"/>
      <c r="C8" s="174">
        <f>COUNTIF('Vendas 2025'!F:F,Relatorio!C7)</f>
        <v>68</v>
      </c>
      <c r="D8" s="174">
        <f>COUNTIF('Vendas 2025'!F:F,Relatorio!D7)</f>
        <v>829</v>
      </c>
      <c r="E8" s="174">
        <f>COUNTIF('Vendas 2025'!F:F,Relatorio!E7)</f>
        <v>13</v>
      </c>
      <c r="F8" s="174">
        <f t="shared" ref="F8:F9" si="1">SUM(C8:E8)</f>
        <v>910</v>
      </c>
      <c r="X8" s="236" t="s">
        <v>1011</v>
      </c>
      <c r="Y8" s="237">
        <f>COUNTIF('Vendas 2026'!C:C,X8)</f>
        <v>2</v>
      </c>
    </row>
    <row r="9" spans="1:25" ht="41.25" customHeight="1">
      <c r="A9" s="174">
        <v>2026</v>
      </c>
      <c r="B9" s="174"/>
      <c r="C9" s="174">
        <f>COUNTIF(Table_246[Vendedor],Relatorio!C7)</f>
        <v>187</v>
      </c>
      <c r="D9" s="174">
        <f>COUNTIF(Table_246[Vendedor],Relatorio!D7)</f>
        <v>222</v>
      </c>
      <c r="E9" s="174">
        <f>COUNTIF(Table_246[Vendedor],Relatorio!E7)</f>
        <v>41</v>
      </c>
      <c r="F9" s="174">
        <f t="shared" si="1"/>
        <v>450</v>
      </c>
      <c r="X9" s="236" t="s">
        <v>2010</v>
      </c>
      <c r="Y9" s="237">
        <f>COUNTIF('Vendas 2026'!C:C,X9)</f>
        <v>3</v>
      </c>
    </row>
    <row r="10" spans="1:25" ht="41.25" customHeight="1">
      <c r="X10" s="236" t="s">
        <v>784</v>
      </c>
      <c r="Y10" s="237">
        <f>COUNTIF('Vendas 2026'!C:C,X10)</f>
        <v>2</v>
      </c>
    </row>
    <row r="11" spans="1:25" ht="41.25" customHeight="1">
      <c r="A11" s="184"/>
      <c r="B11" s="184"/>
      <c r="X11" s="236" t="s">
        <v>2011</v>
      </c>
      <c r="Y11" s="237">
        <f>COUNTIF('Vendas 2026'!C:C,X11)</f>
        <v>0</v>
      </c>
    </row>
    <row r="12" spans="1:25" ht="41.25" customHeight="1">
      <c r="A12" s="184"/>
      <c r="X12" s="236" t="s">
        <v>2012</v>
      </c>
      <c r="Y12" s="237">
        <f>COUNTIF('Vendas 2026'!C:C,X12)</f>
        <v>1</v>
      </c>
    </row>
    <row r="13" spans="1:25" ht="41.25" customHeight="1">
      <c r="A13" s="184"/>
      <c r="X13" s="236" t="s">
        <v>2013</v>
      </c>
      <c r="Y13" s="237">
        <f>COUNTIF('Vendas 2026'!C:C,X13)</f>
        <v>1</v>
      </c>
    </row>
    <row r="14" spans="1:25" ht="41.25" customHeight="1">
      <c r="A14" s="184"/>
      <c r="D14" s="239"/>
      <c r="X14" s="236" t="s">
        <v>1002</v>
      </c>
      <c r="Y14" s="237">
        <f>COUNTIF('Vendas 2026'!C:C,X14)</f>
        <v>1</v>
      </c>
    </row>
    <row r="15" spans="1:25" ht="41.25" customHeight="1">
      <c r="A15" s="184"/>
      <c r="X15" s="236" t="s">
        <v>2014</v>
      </c>
      <c r="Y15" s="237">
        <f>COUNTIF('Vendas 2026'!C:C,X15)</f>
        <v>1</v>
      </c>
    </row>
    <row r="16" spans="1:25" ht="41.25" customHeight="1">
      <c r="A16" s="184"/>
      <c r="X16" s="236" t="s">
        <v>2015</v>
      </c>
      <c r="Y16" s="237">
        <f>COUNTIF('Vendas 2026'!C:C,X16)</f>
        <v>0</v>
      </c>
    </row>
    <row r="17" spans="1:25" ht="41.25" customHeight="1">
      <c r="A17" s="184"/>
      <c r="X17" s="236" t="s">
        <v>2016</v>
      </c>
      <c r="Y17" s="237">
        <f>COUNTIF('Vendas 2026'!C:C,X17)</f>
        <v>2</v>
      </c>
    </row>
    <row r="18" spans="1:25" ht="41.25" customHeight="1">
      <c r="A18" s="184"/>
      <c r="X18" s="236" t="s">
        <v>700</v>
      </c>
      <c r="Y18" s="237">
        <f>COUNTIF('Vendas 2026'!C:C,X18)</f>
        <v>1</v>
      </c>
    </row>
    <row r="19" spans="1:25" ht="41.25" customHeight="1">
      <c r="A19" s="184"/>
      <c r="X19" s="236" t="s">
        <v>2017</v>
      </c>
      <c r="Y19" s="237">
        <f>COUNTIF('Vendas 2026'!C:C,X19)</f>
        <v>1</v>
      </c>
    </row>
    <row r="20" spans="1:25" ht="41.25" customHeight="1">
      <c r="A20" s="184"/>
      <c r="X20" s="236" t="s">
        <v>2018</v>
      </c>
      <c r="Y20" s="237">
        <f>COUNTIF('Vendas 2026'!C:C,X20)</f>
        <v>1</v>
      </c>
    </row>
    <row r="21" spans="1:25" ht="41.25" customHeight="1">
      <c r="A21" s="184"/>
      <c r="X21" s="236" t="s">
        <v>2019</v>
      </c>
      <c r="Y21" s="237">
        <f>COUNTIF('Vendas 2026'!C:C,X21)</f>
        <v>1</v>
      </c>
    </row>
    <row r="22" spans="1:25" ht="41.25" customHeight="1">
      <c r="A22" s="184"/>
      <c r="X22" s="236" t="s">
        <v>2020</v>
      </c>
      <c r="Y22" s="237">
        <f>COUNTIF('Vendas 2026'!C:C,X22)</f>
        <v>1</v>
      </c>
    </row>
    <row r="23" spans="1:25" ht="41.25" customHeight="1">
      <c r="A23" s="184"/>
      <c r="X23" s="236" t="s">
        <v>2021</v>
      </c>
      <c r="Y23" s="237">
        <f>COUNTIF('Vendas 2026'!C:C,X23)</f>
        <v>2</v>
      </c>
    </row>
    <row r="24" spans="1:25" ht="41.25" customHeight="1">
      <c r="A24" s="184"/>
      <c r="X24" s="236" t="s">
        <v>2022</v>
      </c>
      <c r="Y24" s="237">
        <f>COUNTIF('Vendas 2026'!C:C,X24)</f>
        <v>1</v>
      </c>
    </row>
    <row r="25" spans="1:25" ht="41.25" customHeight="1">
      <c r="A25" s="184"/>
      <c r="X25" s="236" t="s">
        <v>2023</v>
      </c>
      <c r="Y25" s="237">
        <f>COUNTIF('Vendas 2026'!C:C,X25)</f>
        <v>1</v>
      </c>
    </row>
    <row r="26" spans="1:25" ht="41.25" customHeight="1">
      <c r="A26" s="184"/>
      <c r="X26" s="236" t="s">
        <v>2024</v>
      </c>
      <c r="Y26" s="237">
        <f>COUNTIF('Vendas 2026'!C:C,X26)</f>
        <v>1</v>
      </c>
    </row>
    <row r="27" spans="1:25" ht="41.25" customHeight="1">
      <c r="A27" s="184"/>
      <c r="X27" s="236" t="s">
        <v>1026</v>
      </c>
      <c r="Y27" s="237">
        <f>COUNTIF('Vendas 2026'!C:C,X27)</f>
        <v>1</v>
      </c>
    </row>
    <row r="28" spans="1:25" ht="41.25" customHeight="1">
      <c r="A28" s="184"/>
      <c r="X28" s="236" t="s">
        <v>2025</v>
      </c>
      <c r="Y28" s="237">
        <f>COUNTIF('Vendas 2026'!C:C,X28)</f>
        <v>1</v>
      </c>
    </row>
    <row r="29" spans="1:25" ht="41.25" customHeight="1">
      <c r="A29" s="184"/>
      <c r="X29" s="236" t="s">
        <v>2026</v>
      </c>
      <c r="Y29" s="237">
        <f>COUNTIF('Vendas 2026'!C:C,X29)</f>
        <v>1</v>
      </c>
    </row>
    <row r="30" spans="1:25" ht="41.25" customHeight="1">
      <c r="A30" s="184"/>
      <c r="X30" s="236" t="s">
        <v>2027</v>
      </c>
      <c r="Y30" s="237">
        <f>COUNTIF('Vendas 2026'!C:C,X30)</f>
        <v>1</v>
      </c>
    </row>
    <row r="31" spans="1:25" ht="41.25" customHeight="1">
      <c r="A31" s="184"/>
      <c r="X31" s="236" t="s">
        <v>2028</v>
      </c>
      <c r="Y31" s="237">
        <f>COUNTIF('Vendas 2026'!C:C,X31)</f>
        <v>0</v>
      </c>
    </row>
    <row r="32" spans="1:25" ht="41.25" customHeight="1">
      <c r="A32" s="184"/>
      <c r="X32" s="236" t="s">
        <v>2029</v>
      </c>
      <c r="Y32" s="237">
        <f>COUNTIF('Vendas 2026'!C:C,X32)</f>
        <v>1</v>
      </c>
    </row>
    <row r="33" spans="1:25" ht="41.25" customHeight="1">
      <c r="A33" s="184"/>
      <c r="X33" s="236" t="s">
        <v>2030</v>
      </c>
      <c r="Y33" s="237">
        <f>COUNTIF('Vendas 2026'!C:C,X33)</f>
        <v>1</v>
      </c>
    </row>
    <row r="34" spans="1:25" ht="41.25" customHeight="1">
      <c r="A34" s="184"/>
      <c r="X34" s="236" t="s">
        <v>2031</v>
      </c>
      <c r="Y34" s="237">
        <f>COUNTIF('Vendas 2026'!C:C,X34)</f>
        <v>1</v>
      </c>
    </row>
    <row r="35" spans="1:25" ht="41.25" customHeight="1">
      <c r="A35" s="184"/>
      <c r="X35" s="236" t="s">
        <v>954</v>
      </c>
      <c r="Y35" s="237">
        <f>COUNTIF('Vendas 2026'!C:C,X35)</f>
        <v>0</v>
      </c>
    </row>
    <row r="36" spans="1:25" ht="41.25" customHeight="1">
      <c r="A36" s="184"/>
      <c r="X36" s="236" t="s">
        <v>2032</v>
      </c>
      <c r="Y36" s="237">
        <f>COUNTIF('Vendas 2026'!C:C,X36)</f>
        <v>2</v>
      </c>
    </row>
    <row r="37" spans="1:25" ht="41.25" customHeight="1">
      <c r="A37" s="184"/>
      <c r="X37" s="236" t="s">
        <v>2033</v>
      </c>
      <c r="Y37" s="237">
        <f>COUNTIF('Vendas 2026'!C:C,X37)</f>
        <v>3</v>
      </c>
    </row>
    <row r="38" spans="1:25" ht="41.25" customHeight="1">
      <c r="A38" s="184"/>
      <c r="X38" s="236" t="s">
        <v>1040</v>
      </c>
      <c r="Y38" s="237">
        <f>COUNTIF('Vendas 2026'!C:C,X38)</f>
        <v>1</v>
      </c>
    </row>
    <row r="39" spans="1:25" ht="41.25" customHeight="1">
      <c r="A39" s="184"/>
      <c r="X39" s="236" t="s">
        <v>2034</v>
      </c>
      <c r="Y39" s="237">
        <f>COUNTIF('Vendas 2026'!C:C,X39)</f>
        <v>1</v>
      </c>
    </row>
    <row r="40" spans="1:25" ht="41.25" customHeight="1">
      <c r="A40" s="184"/>
      <c r="X40" s="236" t="s">
        <v>2035</v>
      </c>
      <c r="Y40" s="237">
        <f>COUNTIF('Vendas 2026'!C:C,X40)</f>
        <v>7</v>
      </c>
    </row>
    <row r="41" spans="1:25" ht="41.25" customHeight="1">
      <c r="A41" s="184"/>
      <c r="X41" s="236" t="s">
        <v>915</v>
      </c>
      <c r="Y41" s="237">
        <f>COUNTIF('Vendas 2026'!C:C,X41)</f>
        <v>1</v>
      </c>
    </row>
    <row r="42" spans="1:25" ht="41.25" customHeight="1">
      <c r="A42" s="184"/>
      <c r="X42" s="236" t="s">
        <v>2036</v>
      </c>
      <c r="Y42" s="237">
        <f>COUNTIF('Vendas 2026'!C:C,X42)</f>
        <v>1</v>
      </c>
    </row>
    <row r="43" spans="1:25" ht="41.25" customHeight="1">
      <c r="A43" s="184"/>
      <c r="X43" s="236" t="s">
        <v>1051</v>
      </c>
      <c r="Y43" s="237">
        <f>COUNTIF('Vendas 2026'!C:C,X43)</f>
        <v>1</v>
      </c>
    </row>
    <row r="44" spans="1:25" ht="41.25" customHeight="1">
      <c r="A44" s="184"/>
      <c r="X44" s="236" t="s">
        <v>1544</v>
      </c>
      <c r="Y44" s="237">
        <f>COUNTIF('Vendas 2026'!C:C,X44)</f>
        <v>0</v>
      </c>
    </row>
    <row r="45" spans="1:25" ht="41.25" customHeight="1">
      <c r="A45" s="184"/>
      <c r="X45" s="236" t="s">
        <v>760</v>
      </c>
      <c r="Y45" s="237">
        <f>COUNTIF('Vendas 2026'!C:C,X45)</f>
        <v>1</v>
      </c>
    </row>
    <row r="46" spans="1:25" ht="41.25" customHeight="1">
      <c r="A46" s="184"/>
      <c r="X46" s="236" t="s">
        <v>2037</v>
      </c>
      <c r="Y46" s="237">
        <f>COUNTIF('Vendas 2026'!C:C,X46)</f>
        <v>2</v>
      </c>
    </row>
    <row r="47" spans="1:25" ht="41.25" customHeight="1">
      <c r="A47" s="184"/>
      <c r="X47" s="236" t="s">
        <v>2038</v>
      </c>
      <c r="Y47" s="237">
        <f>COUNTIF('Vendas 2026'!C:C,X47)</f>
        <v>2</v>
      </c>
    </row>
    <row r="48" spans="1:25" ht="41.25" customHeight="1">
      <c r="A48" s="184"/>
      <c r="X48" s="236" t="s">
        <v>2039</v>
      </c>
      <c r="Y48" s="237">
        <f>COUNTIF('Vendas 2026'!C:C,X48)</f>
        <v>3</v>
      </c>
    </row>
    <row r="49" spans="1:25" ht="41.25" customHeight="1">
      <c r="A49" s="184"/>
      <c r="X49" s="236" t="s">
        <v>2040</v>
      </c>
      <c r="Y49" s="237">
        <f>COUNTIF('Vendas 2026'!C:C,X49)</f>
        <v>9</v>
      </c>
    </row>
    <row r="50" spans="1:25" ht="41.25" customHeight="1">
      <c r="A50" s="184"/>
      <c r="X50" s="241"/>
      <c r="Y50" s="237"/>
    </row>
    <row r="51" spans="1:25" ht="41.25" customHeight="1">
      <c r="A51" s="184"/>
      <c r="X51" s="241"/>
      <c r="Y51" s="237"/>
    </row>
    <row r="52" spans="1:25" ht="41.25" customHeight="1">
      <c r="A52" s="184"/>
      <c r="X52" s="241"/>
      <c r="Y52" s="237"/>
    </row>
    <row r="53" spans="1:25" ht="41.25" customHeight="1">
      <c r="A53" s="184"/>
      <c r="X53" s="241"/>
      <c r="Y53" s="237"/>
    </row>
    <row r="54" spans="1:25" ht="41.25" customHeight="1">
      <c r="A54" s="184"/>
      <c r="X54" s="241"/>
      <c r="Y54" s="237"/>
    </row>
    <row r="55" spans="1:25" ht="41.25" customHeight="1">
      <c r="A55" s="184"/>
      <c r="X55" s="241"/>
      <c r="Y55" s="237"/>
    </row>
    <row r="56" spans="1:25" ht="41.25" customHeight="1">
      <c r="A56" s="184"/>
      <c r="X56" s="241"/>
      <c r="Y56" s="237"/>
    </row>
    <row r="57" spans="1:25" ht="41.25" customHeight="1">
      <c r="A57" s="184"/>
      <c r="X57" s="241"/>
      <c r="Y57" s="237"/>
    </row>
    <row r="58" spans="1:25" ht="41.25" customHeight="1">
      <c r="A58" s="184"/>
      <c r="X58" s="241"/>
      <c r="Y58" s="237"/>
    </row>
    <row r="59" spans="1:25" ht="41.25" customHeight="1">
      <c r="A59" s="184"/>
      <c r="X59" s="241"/>
      <c r="Y59" s="237"/>
    </row>
    <row r="60" spans="1:25" ht="41.25" customHeight="1">
      <c r="A60" s="184"/>
    </row>
    <row r="61" spans="1:25" ht="41.25" customHeight="1">
      <c r="A61" s="184"/>
    </row>
    <row r="62" spans="1:25" ht="41.25" customHeight="1">
      <c r="A62" s="184"/>
    </row>
    <row r="63" spans="1:25" ht="41.25" customHeight="1">
      <c r="A63" s="184"/>
    </row>
    <row r="64" spans="1:25" ht="41.25" customHeight="1">
      <c r="A64" s="184"/>
    </row>
    <row r="65" spans="1:1" ht="41.25" customHeight="1">
      <c r="A65" s="184"/>
    </row>
    <row r="66" spans="1:1" ht="41.25" customHeight="1">
      <c r="A66" s="184"/>
    </row>
    <row r="67" spans="1:1" ht="41.25" customHeight="1">
      <c r="A67" s="184"/>
    </row>
    <row r="68" spans="1:1" ht="41.25" customHeight="1">
      <c r="A68" s="184"/>
    </row>
    <row r="69" spans="1:1" ht="41.25" customHeight="1">
      <c r="A69" s="184"/>
    </row>
    <row r="70" spans="1:1" ht="41.25" customHeight="1">
      <c r="A70" s="184"/>
    </row>
    <row r="71" spans="1:1" ht="41.25" customHeight="1">
      <c r="A71" s="184"/>
    </row>
    <row r="72" spans="1:1" ht="41.25" customHeight="1">
      <c r="A72" s="184"/>
    </row>
    <row r="73" spans="1:1" ht="41.25" customHeight="1">
      <c r="A73" s="184"/>
    </row>
    <row r="74" spans="1:1" ht="41.25" customHeight="1">
      <c r="A74" s="184"/>
    </row>
    <row r="75" spans="1:1" ht="41.25" customHeight="1">
      <c r="A75" s="184"/>
    </row>
    <row r="76" spans="1:1" ht="41.25" customHeight="1">
      <c r="A76" s="184"/>
    </row>
    <row r="77" spans="1:1" ht="41.25" customHeight="1">
      <c r="A77" s="184"/>
    </row>
    <row r="78" spans="1:1" ht="41.25" customHeight="1">
      <c r="A78" s="184"/>
    </row>
    <row r="79" spans="1:1" ht="41.25" customHeight="1">
      <c r="A79" s="184"/>
    </row>
    <row r="80" spans="1:1" ht="41.25" customHeight="1">
      <c r="A80" s="184"/>
    </row>
    <row r="81" spans="1:1" ht="41.25" customHeight="1">
      <c r="A81" s="184"/>
    </row>
    <row r="82" spans="1:1" ht="41.25" customHeight="1">
      <c r="A82" s="184"/>
    </row>
    <row r="83" spans="1:1" ht="41.25" customHeight="1">
      <c r="A83" s="184"/>
    </row>
    <row r="84" spans="1:1" ht="41.25" customHeight="1">
      <c r="A84" s="184"/>
    </row>
    <row r="85" spans="1:1" ht="41.25" customHeight="1">
      <c r="A85" s="184"/>
    </row>
    <row r="86" spans="1:1" ht="41.25" customHeight="1">
      <c r="A86" s="184"/>
    </row>
    <row r="87" spans="1:1" ht="41.25" customHeight="1">
      <c r="A87" s="184"/>
    </row>
    <row r="88" spans="1:1" ht="41.25" customHeight="1">
      <c r="A88" s="184"/>
    </row>
  </sheetData>
  <autoFilter ref="X1:Y88" xr:uid="{00000000-0009-0000-0000-000007000000}"/>
  <mergeCells count="1">
    <mergeCell ref="A1:F1"/>
  </mergeCells>
  <conditionalFormatting sqref="X2:X49">
    <cfRule type="expression" dxfId="4" priority="1">
      <formula>AK1="Aguardando"</formula>
    </cfRule>
    <cfRule type="expression" dxfId="3" priority="2">
      <formula>AK1="Transferido"</formula>
    </cfRule>
  </conditionalFormatting>
  <pageMargins left="0.51" right="0.51" top="0.79" bottom="0.79" header="0.31" footer="0.31"/>
  <pageSetup orientation="portrait"/>
  <headerFooter>
    <oddHeader>&amp;L&amp;C&amp;R</oddHeader>
    <oddFooter>&amp;L&amp;C&amp;R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BB03D-55D2-9148-3FC8-C7340B49B5A6}">
  <dimension ref="A1:F46"/>
  <sheetViews>
    <sheetView topLeftCell="A24" workbookViewId="0">
      <selection activeCell="E36" sqref="E36"/>
    </sheetView>
  </sheetViews>
  <sheetFormatPr defaultColWidth="8.85546875" defaultRowHeight="15" customHeight="1"/>
  <cols>
    <col min="1" max="1" width="5.28515625" customWidth="1"/>
    <col min="2" max="2" width="4.5703125" customWidth="1"/>
    <col min="3" max="3" width="13.85546875" customWidth="1"/>
    <col min="4" max="4" width="20.7109375" customWidth="1"/>
    <col min="5" max="5" width="20" customWidth="1"/>
    <col min="6" max="6" width="16.28515625" bestFit="1" customWidth="1"/>
  </cols>
  <sheetData>
    <row r="1" spans="1:6" ht="21" customHeight="1">
      <c r="A1" s="324" t="s">
        <v>2041</v>
      </c>
      <c r="B1" s="325"/>
      <c r="C1" s="325"/>
      <c r="D1" s="325"/>
      <c r="E1" s="325"/>
      <c r="F1" s="325"/>
    </row>
    <row r="3" spans="1:6" ht="15.75" customHeight="1">
      <c r="A3" s="242" t="s">
        <v>2007</v>
      </c>
      <c r="B3" s="242" t="s">
        <v>0</v>
      </c>
      <c r="C3" s="242" t="s">
        <v>2042</v>
      </c>
      <c r="D3" s="242" t="s">
        <v>2043</v>
      </c>
      <c r="E3" s="242" t="s">
        <v>2044</v>
      </c>
      <c r="F3" s="242" t="s">
        <v>2045</v>
      </c>
    </row>
    <row r="4" spans="1:6" ht="15" customHeight="1">
      <c r="A4" s="258">
        <v>2024</v>
      </c>
      <c r="B4" s="259">
        <v>1</v>
      </c>
      <c r="C4" s="260" t="s">
        <v>1398</v>
      </c>
      <c r="D4" s="261">
        <f>SUMIF('Vendas 2024'!A:A,1,'Vendas 2024'!D:D)</f>
        <v>39</v>
      </c>
      <c r="E4" s="262">
        <f>SUMIF('Vendas 2024'!A:A,1,'Vendas 2024'!J:J)</f>
        <v>1602.5</v>
      </c>
      <c r="F4" s="262">
        <f>SUMIF('Vendas 2024'!A:A,1,'Vendas 2024'!M:M)</f>
        <v>699.06</v>
      </c>
    </row>
    <row r="5" spans="1:6" ht="15" customHeight="1">
      <c r="A5" s="258">
        <v>2024</v>
      </c>
      <c r="B5" s="259">
        <v>2</v>
      </c>
      <c r="C5" s="260" t="s">
        <v>1403</v>
      </c>
      <c r="D5" s="261">
        <f>SUMIF('Vendas 2024'!A:A,2,'Vendas 2024'!D:D)</f>
        <v>128</v>
      </c>
      <c r="E5" s="262">
        <f>SUMIF('Vendas 2024'!A:A,2,'Vendas 2024'!J:J)</f>
        <v>2821.45</v>
      </c>
      <c r="F5" s="262">
        <f>SUMIF('Vendas 2024'!A:A,2,'Vendas 2024'!M:M)</f>
        <v>1483.64</v>
      </c>
    </row>
    <row r="6" spans="1:6" ht="15" customHeight="1">
      <c r="A6" s="257">
        <v>2024</v>
      </c>
      <c r="B6" s="243">
        <v>3</v>
      </c>
      <c r="C6" s="244" t="s">
        <v>1409</v>
      </c>
      <c r="D6" s="245">
        <f>SUMIF('Vendas 2024'!A:A,3,'Vendas 2024'!D:D)</f>
        <v>90</v>
      </c>
      <c r="E6" s="246">
        <f>SUMIF('Vendas 2024'!A:A,3,'Vendas 2024'!J:J)</f>
        <v>2774.31</v>
      </c>
      <c r="F6" s="246">
        <f>SUMIF('Vendas 2024'!A:A,3,'Vendas 2024'!M:M)</f>
        <v>1572.9399999999998</v>
      </c>
    </row>
    <row r="7" spans="1:6" ht="15" customHeight="1">
      <c r="A7" s="257">
        <v>2024</v>
      </c>
      <c r="B7" s="243">
        <v>4</v>
      </c>
      <c r="C7" s="244" t="s">
        <v>1414</v>
      </c>
      <c r="D7" s="245">
        <f>SUMIF('Vendas 2024'!A:A,4,'Vendas 2024'!D:D)</f>
        <v>97</v>
      </c>
      <c r="E7" s="246">
        <f>SUMIF('Vendas 2024'!A:A,4,'Vendas 2024'!J:J)</f>
        <v>3156</v>
      </c>
      <c r="F7" s="246">
        <f>SUMIF('Vendas 2024'!A:A,4,'Vendas 2024'!M:M)</f>
        <v>1607.52</v>
      </c>
    </row>
    <row r="8" spans="1:6" ht="15" customHeight="1">
      <c r="A8" s="257">
        <v>2024</v>
      </c>
      <c r="B8" s="243">
        <v>5</v>
      </c>
      <c r="C8" s="244" t="s">
        <v>1417</v>
      </c>
      <c r="D8" s="245">
        <f>SUMIF('Vendas 2024'!A:A,5,'Vendas 2024'!D:D)</f>
        <v>86</v>
      </c>
      <c r="E8" s="246">
        <f>SUMIF('Vendas 2024'!A:A,5,'Vendas 2024'!J:J)</f>
        <v>2106.3900000000003</v>
      </c>
      <c r="F8" s="246">
        <f>SUMIF('Vendas 2024'!A:A,5,'Vendas 2024'!M:M)</f>
        <v>1323.6700000000003</v>
      </c>
    </row>
    <row r="9" spans="1:6" ht="15" customHeight="1">
      <c r="A9" s="257">
        <v>2024</v>
      </c>
      <c r="B9" s="243">
        <v>6</v>
      </c>
      <c r="C9" s="244" t="s">
        <v>1422</v>
      </c>
      <c r="D9" s="245">
        <f>SUMIF('Vendas 2024'!A:A,6,'Vendas 2024'!D:D)</f>
        <v>186</v>
      </c>
      <c r="E9" s="246">
        <f>SUMIF('Vendas 2024'!A:A,6,'Vendas 2024'!J:J)</f>
        <v>1955.096</v>
      </c>
      <c r="F9" s="246">
        <f>SUMIF('Vendas 2024'!A:A,6,'Vendas 2024'!M:M)</f>
        <v>1140.2659999999998</v>
      </c>
    </row>
    <row r="10" spans="1:6" ht="15" customHeight="1">
      <c r="A10" s="257">
        <v>2024</v>
      </c>
      <c r="B10" s="243">
        <v>7</v>
      </c>
      <c r="C10" s="244" t="s">
        <v>1426</v>
      </c>
      <c r="D10" s="245">
        <f>SUMIF('Vendas 2024'!A:A,7,'Vendas 2024'!D:D)</f>
        <v>166</v>
      </c>
      <c r="E10" s="246">
        <f>SUMIF('Vendas 2024'!A:A,7,'Vendas 2024'!J:J)</f>
        <v>1837</v>
      </c>
      <c r="F10" s="246">
        <f>SUMIF('Vendas 2024'!A:A,7,'Vendas 2024'!M:M)</f>
        <v>1339.8299999999997</v>
      </c>
    </row>
    <row r="11" spans="1:6" ht="15" customHeight="1">
      <c r="A11" s="257">
        <v>2024</v>
      </c>
      <c r="B11" s="243">
        <v>8</v>
      </c>
      <c r="C11" s="244" t="s">
        <v>1431</v>
      </c>
      <c r="D11" s="245">
        <f>SUMIF('Vendas 2024'!A:A,8,'Vendas 2024'!D:D)</f>
        <v>181</v>
      </c>
      <c r="E11" s="246">
        <f>SUMIF('Vendas 2024'!A:A,8,'Vendas 2024'!J:J)</f>
        <v>1998.5</v>
      </c>
      <c r="F11" s="246">
        <f>SUMIF('Vendas 2024'!A:A,8,'Vendas 2024'!M:M)</f>
        <v>1511.2945000000004</v>
      </c>
    </row>
    <row r="12" spans="1:6" ht="15" customHeight="1">
      <c r="A12" s="257">
        <v>2024</v>
      </c>
      <c r="B12" s="243">
        <v>9</v>
      </c>
      <c r="C12" s="244" t="s">
        <v>1435</v>
      </c>
      <c r="D12" s="245">
        <f>SUMIF('Vendas 2024'!A:A,9,'Vendas 2024'!D:D)</f>
        <v>160</v>
      </c>
      <c r="E12" s="246">
        <f>SUMIF('Vendas 2024'!A:A,9,'Vendas 2024'!J:J)</f>
        <v>2324.7200000000003</v>
      </c>
      <c r="F12" s="246">
        <f>SUMIF('Vendas 2024'!A:A,9,'Vendas 2024'!M:M)</f>
        <v>1407.2271428571428</v>
      </c>
    </row>
    <row r="13" spans="1:6" ht="15" customHeight="1">
      <c r="A13" s="257">
        <v>2024</v>
      </c>
      <c r="B13" s="243">
        <v>10</v>
      </c>
      <c r="C13" s="244" t="s">
        <v>1437</v>
      </c>
      <c r="D13" s="245">
        <f>SUMIF('Vendas 2024'!A:A,10,'Vendas 2024'!D:D)</f>
        <v>163</v>
      </c>
      <c r="E13" s="246">
        <f>SUMIF('Vendas 2024'!A:A,10,'Vendas 2024'!J:J)</f>
        <v>1656.78</v>
      </c>
      <c r="F13" s="246">
        <f>SUMIF('Vendas 2024'!A:A,10,'Vendas 2024'!M:M)</f>
        <v>1264.8290476190475</v>
      </c>
    </row>
    <row r="14" spans="1:6" ht="15" customHeight="1">
      <c r="A14" s="257">
        <v>2024</v>
      </c>
      <c r="B14" s="243">
        <v>11</v>
      </c>
      <c r="C14" s="244" t="s">
        <v>1439</v>
      </c>
      <c r="D14" s="245">
        <f>SUMIF('Vendas 2024'!A:A,11,'Vendas 2024'!D:D)</f>
        <v>144</v>
      </c>
      <c r="E14" s="246">
        <f>SUMIF('Vendas 2024'!A:A,11,'Vendas 2024'!J:J)</f>
        <v>2532.5</v>
      </c>
      <c r="F14" s="246">
        <f>SUMIF('Vendas 2024'!A:A,11,'Vendas 2024'!M:M)</f>
        <v>1820.3594999999998</v>
      </c>
    </row>
    <row r="15" spans="1:6" ht="15" customHeight="1">
      <c r="A15" s="257">
        <v>2024</v>
      </c>
      <c r="B15" s="243">
        <v>12</v>
      </c>
      <c r="C15" s="244" t="s">
        <v>1442</v>
      </c>
      <c r="D15" s="245">
        <f>SUMIF('Vendas 2024'!A:A,12,'Vendas 2024'!D:D)</f>
        <v>135</v>
      </c>
      <c r="E15" s="246">
        <f>SUMIF('Vendas 2024'!A:A,12,'Vendas 2024'!J:J)</f>
        <v>2997.5299999999997</v>
      </c>
      <c r="F15" s="246">
        <f>SUMIF('Vendas 2024'!A:A,12,'Vendas 2024'!M:M)</f>
        <v>1823.6811666666667</v>
      </c>
    </row>
    <row r="16" spans="1:6" ht="15" customHeight="1">
      <c r="A16" s="326" t="s">
        <v>2046</v>
      </c>
      <c r="B16" s="325"/>
      <c r="C16" s="325"/>
      <c r="D16" s="247">
        <f t="shared" ref="D16:F44" si="0">SUM(D4:D15)</f>
        <v>1575</v>
      </c>
      <c r="E16" s="248">
        <f t="shared" si="0"/>
        <v>27762.775999999998</v>
      </c>
      <c r="F16" s="248">
        <f t="shared" si="0"/>
        <v>16994.317357142856</v>
      </c>
    </row>
    <row r="18" spans="1:6" ht="15" customHeight="1">
      <c r="A18" s="258">
        <v>2025</v>
      </c>
      <c r="B18" s="259">
        <v>1</v>
      </c>
      <c r="C18" s="260" t="s">
        <v>1398</v>
      </c>
      <c r="D18" s="261">
        <f>SUMIF('Vendas 2025'!A:A,1,'Vendas 2025'!D:D)</f>
        <v>157</v>
      </c>
      <c r="E18" s="262">
        <f>SUMIF('Vendas 2025'!A:A,1,'Vendas 2025'!J:J)</f>
        <v>2794.75</v>
      </c>
      <c r="F18" s="262">
        <f>SUMIF('Vendas 2025'!A:A,1,'Vendas 2025'!M:M)</f>
        <v>2205.0789999999997</v>
      </c>
    </row>
    <row r="19" spans="1:6" ht="15" customHeight="1">
      <c r="A19" s="258">
        <v>2025</v>
      </c>
      <c r="B19" s="259">
        <v>2</v>
      </c>
      <c r="C19" s="260" t="s">
        <v>1403</v>
      </c>
      <c r="D19" s="261">
        <f>SUMIF('Vendas 2025'!A:A,2,'Vendas 2025'!D:D)</f>
        <v>114</v>
      </c>
      <c r="E19" s="262">
        <f>SUMIF('Vendas 2025'!A:A,2,'Vendas 2025'!J:J)</f>
        <v>2417.5</v>
      </c>
      <c r="F19" s="262">
        <f>SUMIF('Vendas 2025'!A:A,2,'Vendas 2025'!M:M)</f>
        <v>1788.6890000000005</v>
      </c>
    </row>
    <row r="20" spans="1:6" ht="15" customHeight="1">
      <c r="A20" s="257">
        <v>2025</v>
      </c>
      <c r="B20" s="243">
        <v>3</v>
      </c>
      <c r="C20" s="244" t="s">
        <v>1409</v>
      </c>
      <c r="D20" s="245">
        <f>SUMIF('Vendas 2025'!A:A,3,'Vendas 2025'!D:D)</f>
        <v>126</v>
      </c>
      <c r="E20" s="246">
        <f>SUMIF('Vendas 2025'!A:A,3,'Vendas 2025'!J:J)</f>
        <v>2597.67</v>
      </c>
      <c r="F20" s="246">
        <f>SUMIF('Vendas 2025'!A:A,3,'Vendas 2025'!M:M)</f>
        <v>1438.5320000000002</v>
      </c>
    </row>
    <row r="21" spans="1:6" ht="15" customHeight="1">
      <c r="A21" s="257">
        <v>2025</v>
      </c>
      <c r="B21" s="243">
        <v>4</v>
      </c>
      <c r="C21" s="244" t="s">
        <v>1414</v>
      </c>
      <c r="D21" s="245">
        <f>SUMIF('Vendas 2025'!A:A,4,'Vendas 2025'!D:D)</f>
        <v>327</v>
      </c>
      <c r="E21" s="246">
        <f>SUMIF('Vendas 2025'!A:A,4,'Vendas 2025'!J:J)</f>
        <v>4854.5</v>
      </c>
      <c r="F21" s="246">
        <f>SUMIF('Vendas 2025'!A:A,4,'Vendas 2025'!M:M)</f>
        <v>3859.2499999999991</v>
      </c>
    </row>
    <row r="22" spans="1:6" ht="15" customHeight="1">
      <c r="A22" s="257">
        <v>2025</v>
      </c>
      <c r="B22" s="243">
        <v>5</v>
      </c>
      <c r="C22" s="244" t="s">
        <v>1417</v>
      </c>
      <c r="D22" s="245">
        <f>SUMIF('Vendas 2025'!A:A,5,'Vendas 2025'!D:D)</f>
        <v>109</v>
      </c>
      <c r="E22" s="246">
        <f>SUMIF('Vendas 2025'!A:A,5,'Vendas 2025'!J:J)</f>
        <v>1409.5</v>
      </c>
      <c r="F22" s="246">
        <f>SUMIF('Vendas 2025'!A:A,5,'Vendas 2025'!M:M)</f>
        <v>1121.3400000000001</v>
      </c>
    </row>
    <row r="23" spans="1:6" ht="15" customHeight="1">
      <c r="A23" s="257">
        <v>2025</v>
      </c>
      <c r="B23" s="243">
        <v>6</v>
      </c>
      <c r="C23" s="244" t="s">
        <v>1422</v>
      </c>
      <c r="D23" s="245">
        <f>SUMIF('Vendas 2025'!A:A,6,'Vendas 2025'!D:D)</f>
        <v>98</v>
      </c>
      <c r="E23" s="246">
        <f>SUMIF('Vendas 2025'!A:A,6,'Vendas 2025'!J:J)</f>
        <v>2367.5</v>
      </c>
      <c r="F23" s="246">
        <f>SUMIF('Vendas 2025'!A:A,6,'Vendas 2025'!M:M)</f>
        <v>2115.6999999999998</v>
      </c>
    </row>
    <row r="24" spans="1:6" ht="15" customHeight="1">
      <c r="A24" s="257">
        <v>2025</v>
      </c>
      <c r="B24" s="243">
        <v>7</v>
      </c>
      <c r="C24" s="244" t="s">
        <v>1426</v>
      </c>
      <c r="D24" s="245">
        <f>SUMIF('Vendas 2025'!A:A,7,'Vendas 2025'!D:D)</f>
        <v>187</v>
      </c>
      <c r="E24" s="246">
        <f>SUMIF('Vendas 2025'!A:A,7,'Vendas 2025'!J:J)</f>
        <v>2124.5</v>
      </c>
      <c r="F24" s="246">
        <f>SUMIF('Vendas 2025'!A:A,7,'Vendas 2025'!M:M)</f>
        <v>1443.18</v>
      </c>
    </row>
    <row r="25" spans="1:6" ht="15" customHeight="1">
      <c r="A25" s="257">
        <v>2025</v>
      </c>
      <c r="B25" s="243">
        <v>8</v>
      </c>
      <c r="C25" s="244" t="s">
        <v>1431</v>
      </c>
      <c r="D25" s="245">
        <f>SUMIF('Vendas 2025'!A:A,8,'Vendas 2025'!D:D)</f>
        <v>179</v>
      </c>
      <c r="E25" s="246">
        <f>SUMIF('Vendas 2025'!A:A,8,'Vendas 2025'!J:J)</f>
        <v>1918.5</v>
      </c>
      <c r="F25" s="246">
        <f>SUMIF('Vendas 2025'!A:A,8,'Vendas 2025'!M:M)</f>
        <v>1200.8066666666666</v>
      </c>
    </row>
    <row r="26" spans="1:6" ht="15" customHeight="1">
      <c r="A26" s="257">
        <v>2025</v>
      </c>
      <c r="B26" s="243">
        <v>9</v>
      </c>
      <c r="C26" s="244" t="s">
        <v>1435</v>
      </c>
      <c r="D26" s="245">
        <f>SUMIF('Vendas 2025'!A:A,9,'Vendas 2025'!D:D)</f>
        <v>119</v>
      </c>
      <c r="E26" s="246">
        <f>SUMIF('Vendas 2025'!A:A,9,'Vendas 2025'!J:J)</f>
        <v>1916</v>
      </c>
      <c r="F26" s="246">
        <f>SUMIF('Vendas 2025'!A:A,9,'Vendas 2025'!M:M)</f>
        <v>1127.5300000000004</v>
      </c>
    </row>
    <row r="27" spans="1:6" ht="15" customHeight="1">
      <c r="A27" s="257">
        <v>2025</v>
      </c>
      <c r="B27" s="243">
        <v>10</v>
      </c>
      <c r="C27" s="244" t="s">
        <v>1437</v>
      </c>
      <c r="D27" s="245">
        <f>SUMIF('Vendas 2025'!A:A,10,'Vendas 2025'!D:D)</f>
        <v>175</v>
      </c>
      <c r="E27" s="246">
        <f>SUMIF('Vendas 2025'!A:A,10,'Vendas 2025'!J:J)</f>
        <v>4380.6799999999985</v>
      </c>
      <c r="F27" s="246">
        <f>SUMIF('Vendas 2025'!A:A,10,'Vendas 2025'!M:M)</f>
        <v>2227.4799999999987</v>
      </c>
    </row>
    <row r="28" spans="1:6" ht="15" customHeight="1">
      <c r="A28" s="257">
        <v>2025</v>
      </c>
      <c r="B28" s="243">
        <v>11</v>
      </c>
      <c r="C28" s="244" t="s">
        <v>1439</v>
      </c>
      <c r="D28" s="245">
        <f>SUMIF('Vendas 2025'!A:A,11,'Vendas 2025'!D:D)</f>
        <v>105</v>
      </c>
      <c r="E28" s="246">
        <f>SUMIF('Vendas 2025'!A:A,11,'Vendas 2025'!J:J)</f>
        <v>2802.5700000000006</v>
      </c>
      <c r="F28" s="246">
        <f>SUMIF('Vendas 2025'!A:A,11,'Vendas 2025'!M:M)</f>
        <v>1750.8599999999997</v>
      </c>
    </row>
    <row r="29" spans="1:6" ht="15" customHeight="1">
      <c r="A29" s="257">
        <v>2025</v>
      </c>
      <c r="B29" s="243">
        <v>12</v>
      </c>
      <c r="C29" s="244" t="s">
        <v>1442</v>
      </c>
      <c r="D29" s="245">
        <f>SUMIF('Vendas 2025'!A:A,12,'Vendas 2025'!D:D)</f>
        <v>130</v>
      </c>
      <c r="E29" s="246">
        <f>SUMIF('Vendas 2025'!A:A,12,'Vendas 2025'!J:J)</f>
        <v>5437.3099999999995</v>
      </c>
      <c r="F29" s="246">
        <f>SUMIF('Vendas 2025'!A:A,12,'Vendas 2025'!M:M)</f>
        <v>2978.22</v>
      </c>
    </row>
    <row r="30" spans="1:6" ht="15" customHeight="1">
      <c r="A30" s="326" t="s">
        <v>2047</v>
      </c>
      <c r="B30" s="325"/>
      <c r="C30" s="325"/>
      <c r="D30" s="247">
        <f t="shared" si="0"/>
        <v>1826</v>
      </c>
      <c r="E30" s="248">
        <f t="shared" si="0"/>
        <v>35020.979999999996</v>
      </c>
      <c r="F30" s="248">
        <f t="shared" si="0"/>
        <v>23256.666666666668</v>
      </c>
    </row>
    <row r="32" spans="1:6" ht="15" customHeight="1">
      <c r="A32" s="258">
        <v>2026</v>
      </c>
      <c r="B32" s="259">
        <v>1</v>
      </c>
      <c r="C32" s="260" t="s">
        <v>1398</v>
      </c>
      <c r="D32" s="261">
        <f>SUMIF('Vendas 2026'!A:A,1,'Vendas 2026'!D:D)</f>
        <v>109</v>
      </c>
      <c r="E32" s="262">
        <f>SUMIF('Vendas 2026'!A:A,1,'Vendas 2026'!J:J)</f>
        <v>2040.69</v>
      </c>
      <c r="F32" s="262">
        <f>SUMIF('Vendas 2026'!A:A,1,'Vendas 2026'!K:K)</f>
        <v>2040.69</v>
      </c>
    </row>
    <row r="33" spans="1:6" ht="15" customHeight="1">
      <c r="A33" s="258">
        <v>2026</v>
      </c>
      <c r="B33" s="259">
        <v>2</v>
      </c>
      <c r="C33" s="260" t="s">
        <v>1403</v>
      </c>
      <c r="D33" s="261">
        <f>SUMIF('Vendas 2026'!A:A,2,'Vendas 2026'!D:D)</f>
        <v>119</v>
      </c>
      <c r="E33" s="262">
        <f>SUMIF('Vendas 2026'!A:A,2,'Vendas 2026'!J:J)</f>
        <v>2040.8500000000001</v>
      </c>
      <c r="F33" s="262">
        <f>SUMIF('Vendas 2026'!A:A,2,'Vendas 2026'!K:K)</f>
        <v>2040.8500000000001</v>
      </c>
    </row>
    <row r="34" spans="1:6" ht="15" customHeight="1">
      <c r="A34" s="257">
        <v>2026</v>
      </c>
      <c r="B34" s="243">
        <v>3</v>
      </c>
      <c r="C34" s="244" t="s">
        <v>1409</v>
      </c>
      <c r="D34" s="245">
        <f>SUMIF('Vendas 2026'!A:A,3,'Vendas 2026'!D:D)</f>
        <v>73</v>
      </c>
      <c r="E34" s="246">
        <f>SUMIF('Vendas 2026'!A:A,3,'Vendas 2026'!J:J)</f>
        <v>3096.9899999999984</v>
      </c>
      <c r="F34" s="246">
        <f>SUMIF('Vendas 2026'!A:A,3,'Vendas 2026'!K:K)</f>
        <v>3096.9899999999984</v>
      </c>
    </row>
    <row r="35" spans="1:6" ht="15" customHeight="1">
      <c r="A35" s="257">
        <v>2026</v>
      </c>
      <c r="B35" s="243">
        <v>4</v>
      </c>
      <c r="C35" s="244" t="s">
        <v>1414</v>
      </c>
      <c r="D35" s="245">
        <f>SUMIF('Vendas 2026'!A:A,4,'Vendas 2026'!D:D)</f>
        <v>93</v>
      </c>
      <c r="E35" s="246">
        <f>SUMIF('Vendas 2026'!A:A,4,'Vendas 2026'!J:J)</f>
        <v>3790.8800000000006</v>
      </c>
      <c r="F35" s="246">
        <f>SUMIF('Vendas 2026'!A:A,4,'Vendas 2026'!K:K)</f>
        <v>3790.8800000000006</v>
      </c>
    </row>
    <row r="36" spans="1:6" ht="15" customHeight="1">
      <c r="A36" s="257">
        <v>2026</v>
      </c>
      <c r="B36" s="243">
        <v>5</v>
      </c>
      <c r="C36" s="244" t="s">
        <v>1417</v>
      </c>
      <c r="D36" s="245">
        <f>SUMIF('Vendas 2026'!A:A,5,'Vendas 2026'!D:D)</f>
        <v>169</v>
      </c>
      <c r="E36" s="246">
        <f>SUMIF('Vendas 2026'!A:A,5,'Vendas 2026'!J:J)</f>
        <v>4049.7200000000007</v>
      </c>
      <c r="F36" s="246">
        <f>SUMIF('Vendas 2026'!A:A,5,'Vendas 2026'!K:K)</f>
        <v>4049.7200000000007</v>
      </c>
    </row>
    <row r="37" spans="1:6" ht="15" customHeight="1">
      <c r="A37" s="257">
        <v>2026</v>
      </c>
      <c r="B37" s="243">
        <v>6</v>
      </c>
      <c r="C37" s="244" t="s">
        <v>1422</v>
      </c>
      <c r="D37" s="245">
        <f>SUMIF('Vendas 2026'!A:A,6,'Vendas 2026'!D:D)</f>
        <v>116</v>
      </c>
      <c r="E37" s="246">
        <f>SUMIF('Vendas 2026'!A:A,6,'Vendas 2026'!J:J)</f>
        <v>7993.93</v>
      </c>
      <c r="F37" s="246">
        <f>SUMIF('Vendas 2026'!A:A,6,'Vendas 2026'!K:K)</f>
        <v>7477.79</v>
      </c>
    </row>
    <row r="38" spans="1:6" ht="15" customHeight="1">
      <c r="A38" s="257">
        <v>2026</v>
      </c>
      <c r="B38" s="243">
        <v>7</v>
      </c>
      <c r="C38" s="244" t="s">
        <v>1426</v>
      </c>
      <c r="D38" s="245">
        <f>SUMIF('Vendas 2026'!A:A,7,'Vendas 2026'!D:D)</f>
        <v>0</v>
      </c>
      <c r="E38" s="246">
        <f>SUMIF('Vendas 2026'!A:A,7,'Vendas 2026'!J:J)</f>
        <v>0</v>
      </c>
      <c r="F38" s="246">
        <f>SUMIF('Vendas 2026'!A:A,7,'Vendas 2026'!K:K)</f>
        <v>0</v>
      </c>
    </row>
    <row r="39" spans="1:6" ht="15" customHeight="1">
      <c r="A39" s="257">
        <v>2026</v>
      </c>
      <c r="B39" s="243">
        <v>8</v>
      </c>
      <c r="C39" s="244" t="s">
        <v>1431</v>
      </c>
      <c r="D39" s="245">
        <f>SUMIF('Vendas 2026'!A:A,8,'Vendas 2026'!D:D)</f>
        <v>0</v>
      </c>
      <c r="E39" s="246">
        <f>SUMIF('Vendas 2026'!A:A,8,'Vendas 2026'!J:J)</f>
        <v>0</v>
      </c>
      <c r="F39" s="246">
        <f>SUMIF('Vendas 2026'!A:A,8,'Vendas 2026'!K:K)</f>
        <v>0</v>
      </c>
    </row>
    <row r="40" spans="1:6" ht="15" customHeight="1">
      <c r="A40" s="257">
        <v>2026</v>
      </c>
      <c r="B40" s="243">
        <v>9</v>
      </c>
      <c r="C40" s="244" t="s">
        <v>1435</v>
      </c>
      <c r="D40" s="245">
        <f>SUMIF('Vendas 2026'!A:A,9,'Vendas 2026'!D:D)</f>
        <v>0</v>
      </c>
      <c r="E40" s="246">
        <f>SUMIF('Vendas 2026'!A:A,9,'Vendas 2026'!J:J)</f>
        <v>0</v>
      </c>
      <c r="F40" s="246">
        <f>SUMIF('Vendas 2026'!A:A,9,'Vendas 2026'!K:K)</f>
        <v>0</v>
      </c>
    </row>
    <row r="41" spans="1:6" ht="15" customHeight="1">
      <c r="A41" s="257">
        <v>2026</v>
      </c>
      <c r="B41" s="243">
        <v>10</v>
      </c>
      <c r="C41" s="244" t="s">
        <v>1437</v>
      </c>
      <c r="D41" s="245">
        <f>SUMIF('Vendas 2026'!A:A,10,'Vendas 2026'!D:D)</f>
        <v>0</v>
      </c>
      <c r="E41" s="246">
        <f>SUMIF('Vendas 2026'!A:A,10,'Vendas 2026'!J:J)</f>
        <v>0</v>
      </c>
      <c r="F41" s="246">
        <f>SUMIF('Vendas 2026'!A:A,10,'Vendas 2026'!K:K)</f>
        <v>0</v>
      </c>
    </row>
    <row r="42" spans="1:6" ht="15" customHeight="1">
      <c r="A42" s="257">
        <v>2026</v>
      </c>
      <c r="B42" s="243">
        <v>11</v>
      </c>
      <c r="C42" s="244" t="s">
        <v>1439</v>
      </c>
      <c r="D42" s="245">
        <f>SUMIF('Vendas 2026'!A:A,11,'Vendas 2026'!D:D)</f>
        <v>0</v>
      </c>
      <c r="E42" s="246">
        <f>SUMIF('Vendas 2026'!A:A,11,'Vendas 2026'!J:J)</f>
        <v>0</v>
      </c>
      <c r="F42" s="246">
        <f>SUMIF('Vendas 2026'!A:A,11,'Vendas 2026'!K:K)</f>
        <v>0</v>
      </c>
    </row>
    <row r="43" spans="1:6" ht="15" customHeight="1">
      <c r="A43" s="257">
        <v>2026</v>
      </c>
      <c r="B43" s="243">
        <v>12</v>
      </c>
      <c r="C43" s="244" t="s">
        <v>1442</v>
      </c>
      <c r="D43" s="245">
        <f>SUMIF('Vendas 2026'!A:A,12,'Vendas 2026'!D:D)</f>
        <v>0</v>
      </c>
      <c r="E43" s="246">
        <f>SUMIF('Vendas 2026'!A:A,12,'Vendas 2026'!J:J)</f>
        <v>0</v>
      </c>
      <c r="F43" s="246">
        <f>SUMIF('Vendas 2026'!A:A,12,'Vendas 2026'!K:K)</f>
        <v>0</v>
      </c>
    </row>
    <row r="44" spans="1:6" ht="15" customHeight="1">
      <c r="A44" s="326" t="s">
        <v>2048</v>
      </c>
      <c r="B44" s="325"/>
      <c r="C44" s="325"/>
      <c r="D44" s="247">
        <f t="shared" si="0"/>
        <v>679</v>
      </c>
      <c r="E44" s="248">
        <f t="shared" si="0"/>
        <v>23013.06</v>
      </c>
      <c r="F44" s="248">
        <f t="shared" si="0"/>
        <v>22496.920000000002</v>
      </c>
    </row>
    <row r="46" spans="1:6" ht="15" customHeight="1">
      <c r="A46" s="327" t="s">
        <v>2049</v>
      </c>
      <c r="B46" s="328"/>
      <c r="C46" s="328"/>
      <c r="D46" s="255">
        <f t="shared" ref="D46:F46" si="1">D16+D30+D44</f>
        <v>4080</v>
      </c>
      <c r="E46" s="256">
        <f t="shared" si="1"/>
        <v>85796.815999999992</v>
      </c>
      <c r="F46" s="256">
        <f t="shared" si="1"/>
        <v>62747.904023809519</v>
      </c>
    </row>
  </sheetData>
  <mergeCells count="5">
    <mergeCell ref="A1:F1"/>
    <mergeCell ref="A16:C16"/>
    <mergeCell ref="A30:C30"/>
    <mergeCell ref="A44:C44"/>
    <mergeCell ref="A46:C46"/>
  </mergeCell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6</vt:i4>
      </vt:variant>
    </vt:vector>
  </HeadingPairs>
  <TitlesOfParts>
    <vt:vector size="15" baseType="lpstr">
      <vt:lpstr>Vendas 2024</vt:lpstr>
      <vt:lpstr>Vendas 2025</vt:lpstr>
      <vt:lpstr>Vendas 2026</vt:lpstr>
      <vt:lpstr>PROD</vt:lpstr>
      <vt:lpstr>Nota Fiscal</vt:lpstr>
      <vt:lpstr>Devedores</vt:lpstr>
      <vt:lpstr>jogos</vt:lpstr>
      <vt:lpstr>Relatorio</vt:lpstr>
      <vt:lpstr>Relatório Mensal</vt:lpstr>
      <vt:lpstr>Devedores!_FiltrarBancodeDados</vt:lpstr>
      <vt:lpstr>jogos!_FiltrarBancodeDados</vt:lpstr>
      <vt:lpstr>Relatorio!_FiltrarBancodeDados</vt:lpstr>
      <vt:lpstr>'Vendas 2025'!Produtos</vt:lpstr>
      <vt:lpstr>'Vendas 2026'!Produtos</vt:lpstr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cunha</dc:creator>
  <cp:lastModifiedBy>leo</cp:lastModifiedBy>
  <cp:lastPrinted>2026-06-04T14:32:45Z</cp:lastPrinted>
  <dcterms:created xsi:type="dcterms:W3CDTF">2024-01-04T12:47:10Z</dcterms:created>
  <dcterms:modified xsi:type="dcterms:W3CDTF">2026-07-13T18:38:41Z</dcterms:modified>
</cp:coreProperties>
</file>